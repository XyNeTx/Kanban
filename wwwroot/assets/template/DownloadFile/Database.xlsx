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@lab\VS2022\WarrantyClaimSystem\WarrantyClaimSystem\wwwroot\assets\template\DownloadFile\"/>
    </mc:Choice>
  </mc:AlternateContent>
  <bookViews>
    <workbookView xWindow="255" yWindow="2715" windowWidth="20205" windowHeight="1770" tabRatio="685" activeTab="5"/>
  </bookViews>
  <sheets>
    <sheet name="From Bing" sheetId="39" r:id="rId1"/>
    <sheet name="Distributor" sheetId="33" r:id="rId2"/>
    <sheet name="Line Code" sheetId="37" r:id="rId3"/>
    <sheet name="T1 &amp; T2 Code" sheetId="31" r:id="rId4"/>
    <sheet name="T1 &amp; T2 Code (Old)" sheetId="38" r:id="rId5"/>
    <sheet name="Data base" sheetId="29" r:id="rId6"/>
    <sheet name="Notification" sheetId="34" r:id="rId7"/>
    <sheet name="Dealer code Up 18 May'16" sheetId="36" r:id="rId8"/>
  </sheets>
  <externalReferences>
    <externalReference r:id="rId9"/>
  </externalReferences>
  <definedNames>
    <definedName name="_xlnm._FilterDatabase" localSheetId="5" hidden="1">'Data base'!$A$2:$HU$2306</definedName>
    <definedName name="_xlnm._FilterDatabase" localSheetId="7" hidden="1">'Dealer code Up 18 May''16'!#REF!</definedName>
    <definedName name="_xlnm._FilterDatabase" localSheetId="1" hidden="1">Distributor!$A$1:$D$261</definedName>
    <definedName name="_xlnm._FilterDatabase" localSheetId="2" hidden="1">'Line Code'!$A$1:$B$132</definedName>
    <definedName name="_xlnm._FilterDatabase" localSheetId="3" hidden="1">'T1 &amp; T2 Code'!$E$1:$E$107</definedName>
    <definedName name="_xlnm._FilterDatabase" localSheetId="4" hidden="1">'T1 &amp; T2 Code (Old)'!$E$1:$E$108</definedName>
    <definedName name="_xlnm.Print_Area" localSheetId="5">'Data base'!#REF!</definedName>
    <definedName name="_xlnm.Print_Titles" localSheetId="5">'Data base'!#REF!</definedName>
    <definedName name="Query1">#REF!</definedName>
  </definedNames>
  <calcPr calcId="162913"/>
</workbook>
</file>

<file path=xl/calcChain.xml><?xml version="1.0" encoding="utf-8"?>
<calcChain xmlns="http://schemas.openxmlformats.org/spreadsheetml/2006/main">
  <c r="G2308" i="29" l="1"/>
  <c r="G2307" i="29"/>
  <c r="D2308" i="29"/>
  <c r="D2307" i="29"/>
  <c r="D2306" i="29"/>
  <c r="D2305" i="29"/>
  <c r="A266" i="33"/>
  <c r="A267" i="33"/>
  <c r="A265" i="33"/>
  <c r="A264" i="33"/>
  <c r="A263" i="33"/>
  <c r="A262" i="33"/>
  <c r="A268" i="33"/>
  <c r="D2303" i="29"/>
  <c r="D2304" i="29"/>
  <c r="D475" i="29"/>
  <c r="D2302" i="29"/>
  <c r="D1293" i="29"/>
  <c r="A254" i="33"/>
  <c r="A253" i="33"/>
  <c r="A252" i="33"/>
  <c r="D1766" i="29"/>
  <c r="D1765" i="29"/>
  <c r="E57" i="31"/>
  <c r="E56" i="31"/>
  <c r="E55" i="31"/>
  <c r="E54" i="31"/>
  <c r="E53" i="31"/>
  <c r="E52" i="31"/>
  <c r="E51" i="31"/>
  <c r="E58" i="31"/>
  <c r="E49" i="31"/>
  <c r="E48" i="31"/>
  <c r="E47" i="31"/>
  <c r="E46" i="31"/>
  <c r="E45" i="31"/>
  <c r="E21" i="31"/>
  <c r="E15" i="31"/>
  <c r="B86" i="38"/>
  <c r="B85" i="38"/>
  <c r="B84" i="38"/>
  <c r="B83" i="38"/>
  <c r="B82" i="38"/>
  <c r="E81" i="38"/>
  <c r="B81" i="38"/>
  <c r="E80" i="38"/>
  <c r="B80" i="38"/>
  <c r="E79" i="38"/>
  <c r="B79" i="38"/>
  <c r="E78" i="38"/>
  <c r="B78" i="38"/>
  <c r="E77" i="38"/>
  <c r="B77" i="38"/>
  <c r="E76" i="38"/>
  <c r="B76" i="38"/>
  <c r="E75" i="38"/>
  <c r="B75" i="38"/>
  <c r="E74" i="38"/>
  <c r="B74" i="38"/>
  <c r="E73" i="38"/>
  <c r="B73" i="38"/>
  <c r="E72" i="38"/>
  <c r="B72" i="38"/>
  <c r="E71" i="38"/>
  <c r="B71" i="38"/>
  <c r="E70" i="38"/>
  <c r="B70" i="38"/>
  <c r="E69" i="38"/>
  <c r="B69" i="38"/>
  <c r="E68" i="38"/>
  <c r="B68" i="38"/>
  <c r="E67" i="38"/>
  <c r="B67" i="38"/>
  <c r="E66" i="38"/>
  <c r="B66" i="38"/>
  <c r="E65" i="38"/>
  <c r="B65" i="38"/>
  <c r="E64" i="38"/>
  <c r="B64" i="38"/>
  <c r="E63" i="38"/>
  <c r="B63" i="38"/>
  <c r="E62" i="38"/>
  <c r="B62" i="38"/>
  <c r="E61" i="38"/>
  <c r="B61" i="38"/>
  <c r="E60" i="38"/>
  <c r="B60" i="38"/>
  <c r="E59" i="38"/>
  <c r="B59" i="38"/>
  <c r="E58" i="38"/>
  <c r="B58" i="38"/>
  <c r="E57" i="38"/>
  <c r="B57" i="38"/>
  <c r="E56" i="38"/>
  <c r="B56" i="38"/>
  <c r="E55" i="38"/>
  <c r="B55" i="38"/>
  <c r="E54" i="38"/>
  <c r="B54" i="38"/>
  <c r="E53" i="38"/>
  <c r="B53" i="38"/>
  <c r="E52" i="38"/>
  <c r="B52" i="38"/>
  <c r="E51" i="38"/>
  <c r="B51" i="38"/>
  <c r="E50" i="38"/>
  <c r="B50" i="38"/>
  <c r="E49" i="38"/>
  <c r="B49" i="38"/>
  <c r="E48" i="38"/>
  <c r="B48" i="38"/>
  <c r="E47" i="38"/>
  <c r="B47" i="38"/>
  <c r="E46" i="38"/>
  <c r="B46" i="38"/>
  <c r="E45" i="38"/>
  <c r="B45" i="38"/>
  <c r="E44" i="38"/>
  <c r="B44" i="38"/>
  <c r="E43" i="38"/>
  <c r="B43" i="38"/>
  <c r="E42" i="38"/>
  <c r="B42" i="38"/>
  <c r="E41" i="38"/>
  <c r="B41" i="38"/>
  <c r="E40" i="38"/>
  <c r="B40" i="38"/>
  <c r="E39" i="38"/>
  <c r="B39" i="38"/>
  <c r="E38" i="38"/>
  <c r="B38" i="38"/>
  <c r="E37" i="38"/>
  <c r="B37" i="38"/>
  <c r="E36" i="38"/>
  <c r="B36" i="38"/>
  <c r="E35" i="38"/>
  <c r="B35" i="38"/>
  <c r="E34" i="38"/>
  <c r="B34" i="38"/>
  <c r="E33" i="38"/>
  <c r="B33" i="38"/>
  <c r="E32" i="38"/>
  <c r="B32" i="38"/>
  <c r="E31" i="38"/>
  <c r="B31" i="38"/>
  <c r="E30" i="38"/>
  <c r="B30" i="38"/>
  <c r="E29" i="38"/>
  <c r="B29" i="38"/>
  <c r="E28" i="38"/>
  <c r="B28" i="38"/>
  <c r="E27" i="38"/>
  <c r="B27" i="38"/>
  <c r="E26" i="38"/>
  <c r="B26" i="38"/>
  <c r="E25" i="38"/>
  <c r="B25" i="38"/>
  <c r="E24" i="38"/>
  <c r="B24" i="38"/>
  <c r="E23" i="38"/>
  <c r="B23" i="38"/>
  <c r="E22" i="38"/>
  <c r="B22" i="38"/>
  <c r="E21" i="38"/>
  <c r="B21" i="38"/>
  <c r="E20" i="38"/>
  <c r="B20" i="38"/>
  <c r="E19" i="38"/>
  <c r="B19" i="38"/>
  <c r="E18" i="38"/>
  <c r="B18" i="38"/>
  <c r="E17" i="38"/>
  <c r="B17" i="38"/>
  <c r="E16" i="38"/>
  <c r="B16" i="38"/>
  <c r="E15" i="38"/>
  <c r="B15" i="38"/>
  <c r="E14" i="38"/>
  <c r="B14" i="38"/>
  <c r="E13" i="38"/>
  <c r="B13" i="38"/>
  <c r="E12" i="38"/>
  <c r="B12" i="38"/>
  <c r="E11" i="38"/>
  <c r="B11" i="38"/>
  <c r="E10" i="38"/>
  <c r="B10" i="38"/>
  <c r="E9" i="38"/>
  <c r="B9" i="38"/>
  <c r="E8" i="38"/>
  <c r="B8" i="38"/>
  <c r="E7" i="38"/>
  <c r="B7" i="38"/>
  <c r="E6" i="38"/>
  <c r="B6" i="38"/>
  <c r="E5" i="38"/>
  <c r="B5" i="38"/>
  <c r="E4" i="38"/>
  <c r="B4" i="38"/>
  <c r="E3" i="38"/>
  <c r="B3" i="38"/>
  <c r="E2" i="38"/>
  <c r="B2" i="38"/>
  <c r="E1" i="38"/>
  <c r="B1" i="38"/>
  <c r="D1679" i="29"/>
  <c r="D1644" i="29"/>
  <c r="D617" i="29"/>
  <c r="G739" i="29"/>
  <c r="G738" i="29"/>
  <c r="G737" i="29"/>
  <c r="G736" i="29"/>
  <c r="G735" i="29"/>
  <c r="D739" i="29"/>
  <c r="D738" i="29"/>
  <c r="D737" i="29"/>
  <c r="D736" i="29"/>
  <c r="D735" i="29"/>
  <c r="D2283" i="29"/>
  <c r="A150" i="33"/>
  <c r="A199" i="33"/>
  <c r="D2269" i="29"/>
  <c r="D2268" i="29"/>
  <c r="A112" i="33"/>
  <c r="E22" i="31"/>
  <c r="D1760" i="29"/>
  <c r="D1647" i="29"/>
  <c r="D1682" i="29"/>
  <c r="D476" i="29"/>
  <c r="D473" i="29"/>
  <c r="D474" i="29"/>
  <c r="A191" i="33"/>
  <c r="D1680" i="29"/>
  <c r="D1645" i="29"/>
  <c r="A196" i="33"/>
  <c r="A184" i="33"/>
  <c r="D1764" i="29"/>
  <c r="D1763" i="29"/>
  <c r="A194" i="33"/>
  <c r="A198" i="33"/>
  <c r="A201" i="33"/>
  <c r="D1636" i="29"/>
  <c r="D1762" i="29"/>
  <c r="D214" i="29"/>
  <c r="D1056" i="29"/>
  <c r="D135" i="29"/>
  <c r="D975" i="29"/>
  <c r="D2261" i="29"/>
  <c r="D195" i="29"/>
  <c r="D2257" i="29"/>
  <c r="A143" i="33"/>
  <c r="A234" i="33"/>
  <c r="D766" i="29"/>
  <c r="D765" i="29"/>
  <c r="D764" i="29"/>
  <c r="D763" i="29"/>
  <c r="D762" i="29"/>
  <c r="D761" i="29"/>
  <c r="D760" i="29"/>
  <c r="D759" i="29"/>
  <c r="D758" i="29"/>
  <c r="D757" i="29"/>
  <c r="D756" i="29"/>
  <c r="D755" i="29"/>
  <c r="D754" i="29"/>
  <c r="D753" i="29"/>
  <c r="D752" i="29"/>
  <c r="D751" i="29"/>
  <c r="D750" i="29"/>
  <c r="D749" i="29"/>
  <c r="D748" i="29"/>
  <c r="D747" i="29"/>
  <c r="D746" i="29"/>
  <c r="D745" i="29"/>
  <c r="D744" i="29"/>
  <c r="D743" i="29"/>
  <c r="D742" i="29"/>
  <c r="D740" i="29"/>
  <c r="D734" i="29"/>
  <c r="D733" i="29"/>
  <c r="D732" i="29"/>
  <c r="D731" i="29"/>
  <c r="D730" i="29"/>
  <c r="D729" i="29"/>
  <c r="D728" i="29"/>
  <c r="D727" i="29"/>
  <c r="D726" i="29"/>
  <c r="D725" i="29"/>
  <c r="D724" i="29"/>
  <c r="D723" i="29"/>
  <c r="D722" i="29"/>
  <c r="D721" i="29"/>
  <c r="D720" i="29"/>
  <c r="D719" i="29"/>
  <c r="D718" i="29"/>
  <c r="D717" i="29"/>
  <c r="D716" i="29"/>
  <c r="D715" i="29"/>
  <c r="D714" i="29"/>
  <c r="D713" i="29"/>
  <c r="D712" i="29"/>
  <c r="D711" i="29"/>
  <c r="D710" i="29"/>
  <c r="D709" i="29"/>
  <c r="D708" i="29"/>
  <c r="D707" i="29"/>
  <c r="D706" i="29"/>
  <c r="D705" i="29"/>
  <c r="D704" i="29"/>
  <c r="D703" i="29"/>
  <c r="D702" i="29"/>
  <c r="D701" i="29"/>
  <c r="D700" i="29"/>
  <c r="D699" i="29"/>
  <c r="D698" i="29"/>
  <c r="D697" i="29"/>
  <c r="D696" i="29"/>
  <c r="D695" i="29"/>
  <c r="D694" i="29"/>
  <c r="D693" i="29"/>
  <c r="D692" i="29"/>
  <c r="D691" i="29"/>
  <c r="D690" i="29"/>
  <c r="D689" i="29"/>
  <c r="D688" i="29"/>
  <c r="D687" i="29"/>
  <c r="D686" i="29"/>
  <c r="D685" i="29"/>
  <c r="D684" i="29"/>
  <c r="D683" i="29"/>
  <c r="D682" i="29"/>
  <c r="D681" i="29"/>
  <c r="D680" i="29"/>
  <c r="D679" i="29"/>
  <c r="D678" i="29"/>
  <c r="D677" i="29"/>
  <c r="D676" i="29"/>
  <c r="D675" i="29"/>
  <c r="D674" i="29"/>
  <c r="D673" i="29"/>
  <c r="D672" i="29"/>
  <c r="D671" i="29"/>
  <c r="D670" i="29"/>
  <c r="D669" i="29"/>
  <c r="D668" i="29"/>
  <c r="D667" i="29"/>
  <c r="D666" i="29"/>
  <c r="D665" i="29"/>
  <c r="D664" i="29"/>
  <c r="D663" i="29"/>
  <c r="D662" i="29"/>
  <c r="D661" i="29"/>
  <c r="D660" i="29"/>
  <c r="D659" i="29"/>
  <c r="D658" i="29"/>
  <c r="D657" i="29"/>
  <c r="D656" i="29"/>
  <c r="D655" i="29"/>
  <c r="D654" i="29"/>
  <c r="D653" i="29"/>
  <c r="D652" i="29"/>
  <c r="D651" i="29"/>
  <c r="D650" i="29"/>
  <c r="D649" i="29"/>
  <c r="D648" i="29"/>
  <c r="D647" i="29"/>
  <c r="D646" i="29"/>
  <c r="D645" i="29"/>
  <c r="D644" i="29"/>
  <c r="D643" i="29"/>
  <c r="D741" i="29"/>
  <c r="D1263" i="29"/>
  <c r="D1287" i="29"/>
  <c r="D1286" i="29"/>
  <c r="D90" i="29"/>
  <c r="D12" i="29"/>
  <c r="D11" i="29"/>
  <c r="D10" i="29"/>
  <c r="D9" i="29"/>
  <c r="D8" i="29"/>
  <c r="D1761" i="29"/>
  <c r="D1759" i="29"/>
  <c r="D1638" i="29"/>
  <c r="D1634" i="29"/>
  <c r="D1639" i="29"/>
  <c r="D968" i="29"/>
  <c r="D967" i="29"/>
  <c r="D966" i="29"/>
  <c r="D965" i="29"/>
  <c r="D1641" i="29"/>
  <c r="D1640" i="29"/>
  <c r="D1637" i="29"/>
  <c r="D1635" i="29"/>
  <c r="D1065" i="29"/>
  <c r="D1064" i="29"/>
  <c r="D1063" i="29"/>
  <c r="D1062" i="29"/>
  <c r="D1061" i="29"/>
  <c r="D1060" i="29"/>
  <c r="D1059" i="29"/>
  <c r="D1058" i="29"/>
  <c r="D1055" i="29"/>
  <c r="D3" i="29"/>
  <c r="D1188" i="29"/>
  <c r="D1187" i="29"/>
  <c r="D1262" i="29"/>
  <c r="A3" i="36"/>
  <c r="I3" i="36"/>
  <c r="A4" i="36"/>
  <c r="I4" i="36"/>
  <c r="A5" i="36"/>
  <c r="I5" i="36"/>
  <c r="A6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50" i="36"/>
  <c r="I51" i="36"/>
  <c r="I52" i="36"/>
  <c r="I53" i="36"/>
  <c r="I54" i="36"/>
  <c r="I55" i="36"/>
  <c r="I56" i="36"/>
  <c r="I57" i="36"/>
  <c r="I58" i="36"/>
  <c r="I59" i="36"/>
  <c r="I60" i="36"/>
  <c r="I61" i="36"/>
  <c r="I62" i="36"/>
  <c r="I63" i="36"/>
  <c r="I64" i="36"/>
  <c r="I65" i="36"/>
  <c r="I66" i="36"/>
  <c r="I67" i="36"/>
  <c r="I68" i="36"/>
  <c r="I69" i="36"/>
  <c r="I70" i="36"/>
  <c r="I71" i="36"/>
  <c r="I72" i="36"/>
  <c r="I73" i="36"/>
  <c r="I74" i="36"/>
  <c r="I75" i="36"/>
  <c r="I76" i="36"/>
  <c r="I77" i="36"/>
  <c r="I78" i="36"/>
  <c r="I79" i="36"/>
  <c r="I80" i="36"/>
  <c r="I81" i="36"/>
  <c r="I82" i="36"/>
  <c r="I83" i="36"/>
  <c r="I84" i="36"/>
  <c r="I85" i="36"/>
  <c r="I86" i="36"/>
  <c r="I87" i="36"/>
  <c r="I88" i="36"/>
  <c r="I89" i="36"/>
  <c r="I90" i="36"/>
  <c r="I91" i="36"/>
  <c r="I92" i="36"/>
  <c r="I93" i="36"/>
  <c r="I94" i="36"/>
  <c r="I95" i="36"/>
  <c r="I96" i="36"/>
  <c r="I97" i="36"/>
  <c r="I98" i="36"/>
  <c r="I99" i="36"/>
  <c r="I100" i="36"/>
  <c r="I101" i="36"/>
  <c r="I102" i="36"/>
  <c r="I103" i="36"/>
  <c r="I104" i="36"/>
  <c r="I105" i="36"/>
  <c r="I106" i="36"/>
  <c r="I107" i="36"/>
  <c r="I108" i="36"/>
  <c r="I109" i="36"/>
  <c r="I110" i="36"/>
  <c r="I111" i="36"/>
  <c r="I112" i="36"/>
  <c r="I113" i="36"/>
  <c r="I114" i="36"/>
  <c r="I115" i="36"/>
  <c r="I116" i="36"/>
  <c r="I117" i="36"/>
  <c r="I118" i="36"/>
  <c r="I119" i="36"/>
  <c r="I120" i="36"/>
  <c r="I121" i="36"/>
  <c r="I122" i="36"/>
  <c r="I123" i="36"/>
  <c r="I124" i="36"/>
  <c r="I125" i="36"/>
  <c r="I126" i="36"/>
  <c r="I127" i="36"/>
  <c r="I128" i="36"/>
  <c r="I129" i="36"/>
  <c r="I130" i="36"/>
  <c r="I131" i="36"/>
  <c r="I132" i="36"/>
  <c r="I133" i="36"/>
  <c r="I134" i="36"/>
  <c r="I135" i="36"/>
  <c r="I136" i="36"/>
  <c r="I137" i="36"/>
  <c r="I138" i="36"/>
  <c r="I139" i="36"/>
  <c r="I140" i="36"/>
  <c r="I141" i="36"/>
  <c r="I142" i="36"/>
  <c r="I143" i="36"/>
  <c r="I144" i="36"/>
  <c r="I145" i="36"/>
  <c r="I146" i="36"/>
  <c r="I147" i="36"/>
  <c r="I148" i="36"/>
  <c r="I149" i="36"/>
  <c r="I150" i="36"/>
  <c r="I151" i="36"/>
  <c r="I152" i="36"/>
  <c r="I153" i="36"/>
  <c r="I154" i="36"/>
  <c r="I155" i="36"/>
  <c r="I156" i="36"/>
  <c r="I157" i="36"/>
  <c r="I158" i="36"/>
  <c r="I159" i="36"/>
  <c r="I160" i="36"/>
  <c r="I161" i="36"/>
  <c r="I162" i="36"/>
  <c r="I163" i="36"/>
  <c r="I164" i="36"/>
  <c r="I165" i="36"/>
  <c r="I166" i="36"/>
  <c r="I167" i="36"/>
  <c r="I168" i="36"/>
  <c r="I169" i="36"/>
  <c r="I170" i="36"/>
  <c r="I171" i="36"/>
  <c r="I172" i="36"/>
  <c r="I173" i="36"/>
  <c r="I174" i="36"/>
  <c r="I175" i="36"/>
  <c r="I176" i="36"/>
  <c r="I177" i="36"/>
  <c r="I178" i="36"/>
  <c r="I179" i="36"/>
  <c r="I180" i="36"/>
  <c r="I181" i="36"/>
  <c r="I182" i="36"/>
  <c r="I183" i="36"/>
  <c r="I184" i="36"/>
  <c r="I185" i="36"/>
  <c r="I186" i="36"/>
  <c r="I187" i="36"/>
  <c r="I188" i="36"/>
  <c r="I189" i="36"/>
  <c r="I190" i="36"/>
  <c r="I191" i="36"/>
  <c r="I192" i="36"/>
  <c r="I193" i="36"/>
  <c r="I194" i="36"/>
  <c r="I195" i="36"/>
  <c r="I196" i="36"/>
  <c r="I197" i="36"/>
  <c r="I198" i="36"/>
  <c r="I199" i="36"/>
  <c r="I200" i="36"/>
  <c r="I201" i="36"/>
  <c r="I202" i="36"/>
  <c r="I203" i="36"/>
  <c r="I204" i="36"/>
  <c r="I205" i="36"/>
  <c r="I206" i="36"/>
  <c r="I207" i="36"/>
  <c r="I208" i="36"/>
  <c r="I209" i="36"/>
  <c r="I210" i="36"/>
  <c r="I211" i="36"/>
  <c r="I212" i="36"/>
  <c r="I213" i="36"/>
  <c r="I214" i="36"/>
  <c r="I215" i="36"/>
  <c r="I216" i="36"/>
  <c r="I217" i="36"/>
  <c r="I218" i="36"/>
  <c r="I219" i="36"/>
  <c r="I220" i="36"/>
  <c r="I221" i="36"/>
  <c r="I222" i="36"/>
  <c r="I223" i="36"/>
  <c r="I224" i="36"/>
  <c r="I225" i="36"/>
  <c r="I226" i="36"/>
  <c r="I227" i="36"/>
  <c r="I228" i="36"/>
  <c r="I229" i="36"/>
  <c r="I230" i="36"/>
  <c r="I231" i="36"/>
  <c r="I232" i="36"/>
  <c r="I233" i="36"/>
  <c r="I234" i="36"/>
  <c r="I235" i="36"/>
  <c r="I236" i="36"/>
  <c r="I237" i="36"/>
  <c r="I238" i="36"/>
  <c r="I239" i="36"/>
  <c r="I240" i="36"/>
  <c r="I241" i="36"/>
  <c r="I242" i="36"/>
  <c r="I243" i="36"/>
  <c r="I244" i="36"/>
  <c r="I245" i="36"/>
  <c r="I246" i="36"/>
  <c r="I247" i="36"/>
  <c r="I248" i="36"/>
  <c r="I249" i="36"/>
  <c r="I250" i="36"/>
  <c r="I251" i="36"/>
  <c r="I252" i="36"/>
  <c r="I253" i="36"/>
  <c r="I254" i="36"/>
  <c r="I255" i="36"/>
  <c r="I256" i="36"/>
  <c r="I257" i="36"/>
  <c r="I258" i="36"/>
  <c r="I259" i="36"/>
  <c r="I260" i="36"/>
  <c r="I261" i="36"/>
  <c r="I262" i="36"/>
  <c r="I263" i="36"/>
  <c r="I264" i="36"/>
  <c r="I265" i="36"/>
  <c r="I266" i="36"/>
  <c r="I267" i="36"/>
  <c r="I268" i="36"/>
  <c r="I269" i="36"/>
  <c r="I270" i="36"/>
  <c r="I271" i="36"/>
  <c r="I272" i="36"/>
  <c r="I273" i="36"/>
  <c r="I274" i="36"/>
  <c r="I275" i="36"/>
  <c r="I276" i="36"/>
  <c r="I277" i="36"/>
  <c r="I278" i="36"/>
  <c r="I279" i="36"/>
  <c r="I280" i="36"/>
  <c r="I281" i="36"/>
  <c r="I282" i="36"/>
  <c r="I283" i="36"/>
  <c r="I284" i="36"/>
  <c r="I285" i="36"/>
  <c r="I286" i="36"/>
  <c r="I287" i="36"/>
  <c r="I288" i="36"/>
  <c r="I289" i="36"/>
  <c r="I290" i="36"/>
  <c r="I291" i="36"/>
  <c r="I292" i="36"/>
  <c r="I293" i="36"/>
  <c r="I294" i="36"/>
  <c r="I295" i="36"/>
  <c r="I296" i="36"/>
  <c r="I297" i="36"/>
  <c r="I298" i="36"/>
  <c r="I299" i="36"/>
  <c r="I300" i="36"/>
  <c r="I301" i="36"/>
  <c r="I302" i="36"/>
  <c r="I303" i="36"/>
  <c r="I304" i="36"/>
  <c r="I305" i="36"/>
  <c r="I306" i="36"/>
  <c r="I307" i="36"/>
  <c r="I308" i="36"/>
  <c r="I309" i="36"/>
  <c r="I310" i="36"/>
  <c r="I311" i="36"/>
  <c r="I312" i="36"/>
  <c r="I313" i="36"/>
  <c r="I314" i="36"/>
  <c r="I315" i="36"/>
  <c r="I316" i="36"/>
  <c r="I317" i="36"/>
  <c r="I318" i="36"/>
  <c r="I319" i="36"/>
  <c r="I320" i="36"/>
  <c r="I321" i="36"/>
  <c r="I322" i="36"/>
  <c r="I323" i="36"/>
  <c r="I324" i="36"/>
  <c r="I325" i="36"/>
  <c r="I326" i="36"/>
  <c r="I327" i="36"/>
  <c r="I328" i="36"/>
  <c r="I329" i="36"/>
  <c r="I330" i="36"/>
  <c r="I331" i="36"/>
  <c r="I332" i="36"/>
  <c r="I333" i="36"/>
  <c r="I334" i="36"/>
  <c r="I335" i="36"/>
  <c r="I336" i="36"/>
  <c r="I337" i="36"/>
  <c r="I338" i="36"/>
  <c r="I339" i="36"/>
  <c r="I340" i="36"/>
  <c r="I341" i="36"/>
  <c r="I342" i="36"/>
  <c r="I343" i="36"/>
  <c r="I344" i="36"/>
  <c r="I345" i="36"/>
  <c r="I346" i="36"/>
  <c r="I347" i="36"/>
  <c r="I348" i="36"/>
  <c r="I349" i="36"/>
  <c r="I350" i="36"/>
  <c r="I351" i="36"/>
  <c r="I352" i="36"/>
  <c r="I353" i="36"/>
  <c r="I354" i="36"/>
  <c r="I355" i="36"/>
  <c r="I356" i="36"/>
  <c r="I357" i="36"/>
  <c r="I358" i="36"/>
  <c r="I359" i="36"/>
  <c r="I360" i="36"/>
  <c r="I361" i="36"/>
  <c r="I362" i="36"/>
  <c r="I363" i="36"/>
  <c r="I364" i="36"/>
  <c r="I365" i="36"/>
  <c r="I366" i="36"/>
  <c r="I367" i="36"/>
  <c r="I368" i="36"/>
  <c r="I369" i="36"/>
  <c r="I370" i="36"/>
  <c r="I371" i="36"/>
  <c r="I372" i="36"/>
  <c r="I373" i="36"/>
  <c r="I374" i="36"/>
  <c r="I375" i="36"/>
  <c r="I376" i="36"/>
  <c r="I377" i="36"/>
  <c r="I378" i="36"/>
  <c r="I379" i="36"/>
  <c r="I380" i="36"/>
  <c r="I381" i="36"/>
  <c r="I382" i="36"/>
  <c r="I383" i="36"/>
  <c r="I384" i="36"/>
  <c r="I385" i="36"/>
  <c r="I386" i="36"/>
  <c r="I387" i="36"/>
  <c r="I388" i="36"/>
  <c r="I389" i="36"/>
  <c r="I390" i="36"/>
  <c r="I391" i="36"/>
  <c r="I392" i="36"/>
  <c r="I393" i="36"/>
  <c r="I394" i="36"/>
  <c r="I395" i="36"/>
  <c r="I396" i="36"/>
  <c r="I397" i="36"/>
  <c r="I398" i="36"/>
  <c r="I399" i="36"/>
  <c r="I400" i="36"/>
  <c r="I401" i="36"/>
  <c r="I402" i="36"/>
  <c r="I403" i="36"/>
  <c r="I404" i="36"/>
  <c r="I405" i="36"/>
  <c r="I406" i="36"/>
  <c r="I407" i="36"/>
  <c r="I408" i="36"/>
  <c r="I409" i="36"/>
  <c r="I410" i="36"/>
  <c r="I411" i="36"/>
  <c r="I412" i="36"/>
  <c r="I413" i="36"/>
  <c r="I414" i="36"/>
  <c r="I415" i="36"/>
  <c r="I416" i="36"/>
  <c r="I417" i="36"/>
  <c r="I418" i="36"/>
  <c r="I419" i="36"/>
  <c r="I420" i="36"/>
  <c r="I421" i="36"/>
  <c r="I422" i="36"/>
  <c r="I423" i="36"/>
  <c r="I424" i="36"/>
  <c r="I425" i="36"/>
  <c r="I426" i="36"/>
  <c r="I427" i="36"/>
  <c r="I428" i="36"/>
  <c r="I429" i="36"/>
  <c r="I430" i="36"/>
  <c r="I431" i="36"/>
  <c r="I432" i="36"/>
  <c r="I433" i="36"/>
  <c r="I434" i="36"/>
  <c r="I435" i="36"/>
  <c r="I436" i="36"/>
  <c r="I437" i="36"/>
  <c r="I438" i="36"/>
  <c r="I439" i="36"/>
  <c r="I440" i="36"/>
  <c r="I441" i="36"/>
  <c r="I442" i="36"/>
  <c r="I443" i="36"/>
  <c r="I444" i="36"/>
  <c r="I445" i="36"/>
  <c r="I446" i="36"/>
  <c r="I447" i="36"/>
  <c r="I448" i="36"/>
  <c r="I449" i="36"/>
  <c r="I450" i="36"/>
  <c r="I451" i="36"/>
  <c r="I452" i="36"/>
  <c r="I453" i="36"/>
  <c r="B1" i="31"/>
  <c r="E1" i="31"/>
  <c r="B2" i="31"/>
  <c r="E2" i="31"/>
  <c r="B3" i="31"/>
  <c r="E3" i="31"/>
  <c r="B4" i="31"/>
  <c r="E4" i="31"/>
  <c r="B5" i="31"/>
  <c r="E5" i="31"/>
  <c r="B6" i="31"/>
  <c r="E6" i="31"/>
  <c r="B7" i="31"/>
  <c r="E7" i="31"/>
  <c r="B8" i="31"/>
  <c r="E8" i="31"/>
  <c r="B9" i="31"/>
  <c r="E9" i="31"/>
  <c r="B10" i="31"/>
  <c r="E10" i="31"/>
  <c r="B11" i="31"/>
  <c r="E11" i="31"/>
  <c r="B12" i="31"/>
  <c r="E12" i="31"/>
  <c r="B13" i="31"/>
  <c r="E13" i="31"/>
  <c r="B14" i="31"/>
  <c r="E14" i="31"/>
  <c r="B15" i="31"/>
  <c r="B16" i="31"/>
  <c r="E16" i="31"/>
  <c r="B17" i="31"/>
  <c r="E17" i="31"/>
  <c r="B18" i="31"/>
  <c r="E18" i="31"/>
  <c r="B19" i="31"/>
  <c r="E19" i="31"/>
  <c r="B20" i="31"/>
  <c r="E20" i="31"/>
  <c r="B21" i="31"/>
  <c r="B22" i="31"/>
  <c r="E23" i="31"/>
  <c r="B23" i="31"/>
  <c r="E24" i="31"/>
  <c r="B24" i="31"/>
  <c r="E25" i="31"/>
  <c r="B25" i="31"/>
  <c r="E26" i="31"/>
  <c r="B26" i="31"/>
  <c r="E27" i="31"/>
  <c r="B27" i="31"/>
  <c r="E28" i="31"/>
  <c r="B28" i="31"/>
  <c r="E29" i="31"/>
  <c r="B29" i="31"/>
  <c r="E30" i="31"/>
  <c r="B30" i="31"/>
  <c r="E31" i="31"/>
  <c r="B31" i="31"/>
  <c r="E32" i="31"/>
  <c r="B32" i="31"/>
  <c r="E33" i="31"/>
  <c r="B33" i="31"/>
  <c r="E34" i="31"/>
  <c r="B34" i="31"/>
  <c r="E35" i="31"/>
  <c r="B35" i="31"/>
  <c r="E36" i="31"/>
  <c r="B36" i="31"/>
  <c r="E37" i="31"/>
  <c r="B37" i="31"/>
  <c r="E38" i="31"/>
  <c r="B38" i="31"/>
  <c r="E39" i="31"/>
  <c r="B39" i="31"/>
  <c r="E40" i="31"/>
  <c r="B40" i="31"/>
  <c r="E41" i="31"/>
  <c r="B41" i="31"/>
  <c r="E42" i="31"/>
  <c r="B42" i="31"/>
  <c r="E43" i="31"/>
  <c r="B43" i="31"/>
  <c r="E44" i="31"/>
  <c r="B44" i="31"/>
  <c r="E50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59" i="31"/>
  <c r="B60" i="31"/>
  <c r="B61" i="31"/>
  <c r="B62" i="31"/>
  <c r="B63" i="31"/>
  <c r="B64" i="31"/>
  <c r="B65" i="31"/>
  <c r="B66" i="31"/>
  <c r="B67" i="31"/>
  <c r="B68" i="31"/>
  <c r="B69" i="31"/>
  <c r="B70" i="31"/>
  <c r="B71" i="31"/>
  <c r="B72" i="31"/>
  <c r="B73" i="31"/>
  <c r="B74" i="31"/>
  <c r="B75" i="31"/>
  <c r="B76" i="31"/>
  <c r="B77" i="31"/>
  <c r="B78" i="31"/>
  <c r="B79" i="31"/>
  <c r="B80" i="31"/>
  <c r="B81" i="31"/>
  <c r="B82" i="31"/>
  <c r="B83" i="31"/>
  <c r="B84" i="31"/>
  <c r="B85" i="31"/>
  <c r="B86" i="31"/>
  <c r="A68" i="33"/>
  <c r="A36" i="33"/>
  <c r="A85" i="33"/>
  <c r="A225" i="33"/>
  <c r="A21" i="33"/>
  <c r="A48" i="33"/>
  <c r="A56" i="33"/>
  <c r="A82" i="33"/>
  <c r="A86" i="33"/>
  <c r="A88" i="33"/>
  <c r="A128" i="33"/>
  <c r="A139" i="33"/>
  <c r="A138" i="33"/>
  <c r="A153" i="33"/>
  <c r="A154" i="33"/>
  <c r="A151" i="33"/>
  <c r="A214" i="33"/>
  <c r="A63" i="33"/>
  <c r="A14" i="33"/>
  <c r="A101" i="33"/>
  <c r="A17" i="33"/>
  <c r="A23" i="33"/>
  <c r="A80" i="33"/>
  <c r="A125" i="33"/>
  <c r="A72" i="33"/>
  <c r="A8" i="33"/>
  <c r="A78" i="33"/>
  <c r="A130" i="33"/>
  <c r="A183" i="33"/>
  <c r="A57" i="33"/>
  <c r="A180" i="33"/>
  <c r="A9" i="33"/>
  <c r="A26" i="33"/>
  <c r="A25" i="33"/>
  <c r="A27" i="33"/>
  <c r="A84" i="33"/>
  <c r="A39" i="33"/>
  <c r="A44" i="33"/>
  <c r="A45" i="33"/>
  <c r="A46" i="33"/>
  <c r="A58" i="33"/>
  <c r="A59" i="33"/>
  <c r="A60" i="33"/>
  <c r="A61" i="33"/>
  <c r="A67" i="33"/>
  <c r="A10" i="33"/>
  <c r="A51" i="33"/>
  <c r="A186" i="33"/>
  <c r="A155" i="33"/>
  <c r="A157" i="33"/>
  <c r="A224" i="33"/>
  <c r="A227" i="33"/>
  <c r="A182" i="33"/>
  <c r="A181" i="33"/>
  <c r="A18" i="33"/>
  <c r="A19" i="33"/>
  <c r="A20" i="33"/>
  <c r="A29" i="33"/>
  <c r="A53" i="33"/>
  <c r="A54" i="33"/>
  <c r="A219" i="33"/>
  <c r="A70" i="33"/>
  <c r="A71" i="33"/>
  <c r="A98" i="33"/>
  <c r="A90" i="33"/>
  <c r="A159" i="33"/>
  <c r="A160" i="33"/>
  <c r="A87" i="33"/>
  <c r="A147" i="33"/>
  <c r="A163" i="33"/>
  <c r="A188" i="33"/>
  <c r="A176" i="33"/>
  <c r="A187" i="33"/>
  <c r="A75" i="33"/>
  <c r="A233" i="33"/>
  <c r="A11" i="33"/>
  <c r="A43" i="33"/>
  <c r="A42" i="33"/>
  <c r="A41" i="33"/>
  <c r="A40" i="33"/>
  <c r="A91" i="33"/>
  <c r="A38" i="33"/>
  <c r="A77" i="33"/>
  <c r="A178" i="33"/>
  <c r="A177" i="33"/>
  <c r="A65" i="33"/>
  <c r="A222" i="33"/>
  <c r="A74" i="33"/>
  <c r="A104" i="33"/>
  <c r="A164" i="33"/>
  <c r="A173" i="33"/>
  <c r="A100" i="33"/>
  <c r="A4" i="33"/>
  <c r="A5" i="33"/>
  <c r="A6" i="33"/>
  <c r="A7" i="33"/>
  <c r="A35" i="33"/>
  <c r="A64" i="33"/>
  <c r="A205" i="33"/>
  <c r="A47" i="33"/>
  <c r="A22" i="33"/>
  <c r="A55" i="33"/>
  <c r="A140" i="33"/>
  <c r="A66" i="33"/>
  <c r="A175" i="33"/>
  <c r="A73" i="33"/>
  <c r="A235" i="33"/>
  <c r="A76" i="33"/>
  <c r="A83" i="33"/>
  <c r="A49" i="33"/>
  <c r="A50" i="33"/>
  <c r="A105" i="33"/>
  <c r="A117" i="33"/>
  <c r="A118" i="33"/>
  <c r="A120" i="33"/>
  <c r="A119" i="33"/>
  <c r="A123" i="33"/>
  <c r="A121" i="33"/>
  <c r="A127" i="33"/>
  <c r="A170" i="33"/>
  <c r="A133" i="33"/>
  <c r="A144" i="33"/>
  <c r="A142" i="33"/>
  <c r="A145" i="33"/>
  <c r="A131" i="33"/>
  <c r="A132" i="33"/>
  <c r="A165" i="33"/>
  <c r="A171" i="33"/>
  <c r="A32" i="33"/>
  <c r="A166" i="33"/>
  <c r="A169" i="33"/>
  <c r="A162" i="33"/>
  <c r="A185" i="33"/>
  <c r="A204" i="33"/>
  <c r="A212" i="33"/>
  <c r="A221" i="33"/>
  <c r="A215" i="33"/>
  <c r="A62" i="33"/>
  <c r="A30" i="33"/>
  <c r="A33" i="33"/>
  <c r="A126" i="33"/>
  <c r="A31" i="33"/>
  <c r="A141" i="33"/>
  <c r="A236" i="33"/>
  <c r="A156" i="33"/>
  <c r="A52" i="33"/>
  <c r="A79" i="33"/>
  <c r="A96" i="33"/>
  <c r="A97" i="33"/>
  <c r="A99" i="33"/>
  <c r="A102" i="33"/>
  <c r="A116" i="33"/>
  <c r="A115" i="33"/>
  <c r="A124" i="33"/>
  <c r="A15" i="33"/>
  <c r="A161" i="33"/>
  <c r="A109" i="33"/>
  <c r="A189" i="33"/>
  <c r="A220" i="33"/>
  <c r="A216" i="33"/>
  <c r="A217" i="33"/>
  <c r="A232" i="33"/>
  <c r="A168" i="33"/>
  <c r="A16" i="33"/>
  <c r="A148" i="33"/>
  <c r="A3" i="33"/>
  <c r="A24" i="33"/>
  <c r="A28" i="33"/>
  <c r="A134" i="33"/>
  <c r="A34" i="33"/>
  <c r="A179" i="33"/>
  <c r="A206" i="33"/>
  <c r="A210" i="33"/>
  <c r="A89" i="33"/>
  <c r="A92" i="33"/>
  <c r="A93" i="33"/>
  <c r="A110" i="33"/>
  <c r="A111" i="33"/>
  <c r="A113" i="33"/>
  <c r="A114" i="33"/>
  <c r="A136" i="33"/>
  <c r="A230" i="33"/>
  <c r="A228" i="33"/>
  <c r="A229" i="33"/>
  <c r="A152" i="33"/>
  <c r="A172" i="33"/>
  <c r="A107" i="33"/>
  <c r="A108" i="33"/>
  <c r="A208" i="33"/>
  <c r="A209" i="33"/>
  <c r="A207" i="33"/>
  <c r="A12" i="33"/>
  <c r="A13" i="33"/>
  <c r="A69" i="33"/>
  <c r="A226" i="33"/>
  <c r="A81" i="33"/>
  <c r="A95" i="33"/>
  <c r="A94" i="33"/>
  <c r="A149" i="33"/>
  <c r="A137" i="33"/>
  <c r="A158" i="33"/>
  <c r="A211" i="33"/>
  <c r="A122" i="33"/>
  <c r="A223" i="33"/>
  <c r="A174" i="33"/>
  <c r="A213" i="33"/>
  <c r="A2" i="33"/>
  <c r="A231" i="33"/>
  <c r="A135" i="33"/>
  <c r="A129" i="33"/>
  <c r="A167" i="33"/>
  <c r="A202" i="33"/>
  <c r="A203" i="33"/>
  <c r="A106" i="33"/>
  <c r="A146" i="33"/>
  <c r="A103" i="33"/>
  <c r="A37" i="33"/>
  <c r="A218" i="33"/>
</calcChain>
</file>

<file path=xl/comments1.xml><?xml version="1.0" encoding="utf-8"?>
<comments xmlns="http://schemas.openxmlformats.org/spreadsheetml/2006/main">
  <authors>
    <author>114645</author>
    <author>PC-SMS1</author>
    <author>20051689</author>
    <author>Hino Motors (Thailand) Ltd.</author>
    <author>19940716</author>
    <author>19960836</author>
  </authors>
  <commentList>
    <comment ref="D8" authorId="0" shapeId="0">
      <text>
        <r>
          <rPr>
            <b/>
            <sz val="10"/>
            <color indexed="81"/>
            <rFont val="Tahoma"/>
            <family val="2"/>
          </rPr>
          <t>HMMT Part no. 41039-034070-1</t>
        </r>
      </text>
    </comment>
    <comment ref="D9" authorId="0" shapeId="0">
      <text>
        <r>
          <rPr>
            <b/>
            <sz val="10"/>
            <color indexed="81"/>
            <rFont val="Tahoma"/>
            <family val="2"/>
          </rPr>
          <t>HMMT Part no. 41039-034090-1</t>
        </r>
      </text>
    </comment>
    <comment ref="D58" authorId="1" shapeId="0">
      <text>
        <r>
          <rPr>
            <b/>
            <sz val="8"/>
            <color indexed="81"/>
            <rFont val="Tahoma"/>
            <family val="2"/>
          </rPr>
          <t xml:space="preserve"> 41201-09350 IS SET UP TO REPLACE 41201-09240</t>
        </r>
      </text>
    </comment>
    <comment ref="D65" authorId="2" shapeId="0">
      <text>
        <r>
          <rPr>
            <b/>
            <sz val="8"/>
            <color indexed="81"/>
            <rFont val="Tahoma"/>
            <family val="2"/>
          </rPr>
          <t>Change from 
412040K010</t>
        </r>
      </text>
    </comment>
    <comment ref="J104" authorId="3" shapeId="0">
      <text>
        <r>
          <rPr>
            <b/>
            <sz val="8"/>
            <color indexed="81"/>
            <rFont val="MS Sans Serif"/>
            <family val="2"/>
          </rPr>
          <t xml:space="preserve">Old : HMJ/CKD
</t>
        </r>
        <r>
          <rPr>
            <b/>
            <sz val="8"/>
            <color indexed="10"/>
            <rFont val="MS Sans Serif"/>
            <family val="2"/>
          </rPr>
          <t>(missing data)</t>
        </r>
        <r>
          <rPr>
            <sz val="8"/>
            <color indexed="81"/>
            <rFont val="MS Sans Serif"/>
            <family val="2"/>
          </rPr>
          <t xml:space="preserve">
</t>
        </r>
      </text>
    </comment>
    <comment ref="D171" authorId="1" shapeId="0">
      <text>
        <r>
          <rPr>
            <b/>
            <sz val="8"/>
            <color indexed="81"/>
            <rFont val="Tahoma"/>
            <family val="2"/>
          </rPr>
          <t>PC-SMS1:</t>
        </r>
        <r>
          <rPr>
            <sz val="8"/>
            <color indexed="81"/>
            <rFont val="Tahoma"/>
            <family val="2"/>
          </rPr>
          <t xml:space="preserve">
Common with 42110-0K190
</t>
        </r>
      </text>
    </comment>
    <comment ref="D172" authorId="1" shapeId="0">
      <text>
        <r>
          <rPr>
            <b/>
            <sz val="8"/>
            <color indexed="81"/>
            <rFont val="Tahoma"/>
            <family val="2"/>
          </rPr>
          <t>PC-SMS1:</t>
        </r>
        <r>
          <rPr>
            <sz val="8"/>
            <color indexed="81"/>
            <rFont val="Tahoma"/>
            <family val="2"/>
          </rPr>
          <t xml:space="preserve">
Common with 42110-0K200</t>
        </r>
      </text>
    </comment>
    <comment ref="D466" authorId="1" shapeId="0">
      <text>
        <r>
          <rPr>
            <b/>
            <sz val="8"/>
            <color indexed="81"/>
            <rFont val="Tahoma"/>
            <family val="2"/>
          </rPr>
          <t>Replace 52105-0K020</t>
        </r>
      </text>
    </comment>
    <comment ref="D467" authorId="1" shapeId="0">
      <text>
        <r>
          <rPr>
            <b/>
            <sz val="8"/>
            <color indexed="81"/>
            <rFont val="Tahoma"/>
            <family val="2"/>
          </rPr>
          <t>Replace 52105-0K060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506" authorId="1" shapeId="0">
      <text>
        <r>
          <rPr>
            <b/>
            <sz val="8"/>
            <color indexed="81"/>
            <rFont val="Tahoma"/>
            <family val="2"/>
          </rPr>
          <t>Change from 68318-0K904 (Change only part no. assy ,component no change)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507" authorId="0" shapeId="0">
      <text>
        <r>
          <rPr>
            <b/>
            <sz val="8"/>
            <color indexed="81"/>
            <rFont val="Tahoma"/>
            <family val="2"/>
          </rPr>
          <t>Change from 65318-0K903 (Change only part no. assy ,component no change)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508" authorId="0" shapeId="0">
      <text>
        <r>
          <rPr>
            <b/>
            <sz val="8"/>
            <color indexed="81"/>
            <rFont val="Tahoma"/>
            <family val="2"/>
          </rPr>
          <t>Change from 65318-0K902 (Change only part no. assy ,component no change)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514" authorId="0" shapeId="0">
      <text>
        <r>
          <rPr>
            <b/>
            <sz val="8"/>
            <color indexed="81"/>
            <rFont val="Tahoma"/>
            <family val="2"/>
          </rPr>
          <t>Change from 65631-0K904 (Change only part no. assy ,component no change)</t>
        </r>
      </text>
    </comment>
    <comment ref="D519" authorId="0" shapeId="0">
      <text>
        <r>
          <rPr>
            <b/>
            <sz val="8"/>
            <color indexed="81"/>
            <rFont val="Tahoma"/>
            <family val="2"/>
          </rPr>
          <t>Change from 65632-0K902 (Change only part no. assy ,component no change)</t>
        </r>
      </text>
    </comment>
    <comment ref="D597" authorId="0" shapeId="0">
      <text>
        <r>
          <rPr>
            <sz val="12"/>
            <color indexed="81"/>
            <rFont val="Tahoma"/>
            <family val="2"/>
          </rPr>
          <t xml:space="preserve">TMT Flag2 component part
</t>
        </r>
      </text>
    </comment>
    <comment ref="D619" authorId="2" shapeId="0">
      <text>
        <r>
          <rPr>
            <b/>
            <sz val="8"/>
            <color indexed="81"/>
            <rFont val="Tahoma"/>
            <family val="2"/>
          </rPr>
          <t>Change from 90311T0013</t>
        </r>
      </text>
    </comment>
    <comment ref="D622" authorId="2" shapeId="0">
      <text>
        <r>
          <rPr>
            <b/>
            <sz val="8"/>
            <color indexed="81"/>
            <rFont val="Tahoma"/>
            <family val="2"/>
          </rPr>
          <t>Change from 90311T0015</t>
        </r>
      </text>
    </comment>
    <comment ref="D624" authorId="2" shapeId="0">
      <text>
        <r>
          <rPr>
            <b/>
            <sz val="8"/>
            <color indexed="81"/>
            <rFont val="Tahoma"/>
            <family val="2"/>
          </rPr>
          <t>Change from 90311T0016</t>
        </r>
      </text>
    </comment>
    <comment ref="D625" authorId="0" shapeId="0">
      <text>
        <r>
          <rPr>
            <sz val="12"/>
            <color indexed="81"/>
            <rFont val="Tahoma"/>
            <family val="2"/>
          </rPr>
          <t>TMT Flag2 component part</t>
        </r>
      </text>
    </comment>
    <comment ref="J631" authorId="4" shapeId="0">
      <text>
        <r>
          <rPr>
            <b/>
            <sz val="8"/>
            <color indexed="81"/>
            <rFont val="Tahoma"/>
            <family val="2"/>
          </rPr>
          <t>Change from NSK</t>
        </r>
      </text>
    </comment>
    <comment ref="D642" authorId="0" shapeId="0">
      <text>
        <r>
          <rPr>
            <sz val="12"/>
            <color indexed="81"/>
            <rFont val="Tahoma"/>
            <family val="2"/>
          </rPr>
          <t>TMT Flag2 component part</t>
        </r>
      </text>
    </comment>
    <comment ref="J755" authorId="3" shapeId="0">
      <text>
        <r>
          <rPr>
            <b/>
            <sz val="8"/>
            <color indexed="81"/>
            <rFont val="MS Sans Serif"/>
            <family val="2"/>
          </rPr>
          <t>OLD :Local (CAP)</t>
        </r>
        <r>
          <rPr>
            <sz val="8"/>
            <color indexed="81"/>
            <rFont val="MS Sans Serif"/>
            <family val="2"/>
          </rPr>
          <t xml:space="preserve">
</t>
        </r>
      </text>
    </comment>
    <comment ref="D766" authorId="2" shapeId="0">
      <text>
        <r>
          <rPr>
            <b/>
            <sz val="8"/>
            <color indexed="81"/>
            <rFont val="Tahoma"/>
            <family val="2"/>
          </rPr>
          <t>Change from 
412520K010</t>
        </r>
      </text>
    </comment>
    <comment ref="D934" authorId="5" shapeId="0">
      <text>
        <r>
          <rPr>
            <b/>
            <sz val="8"/>
            <color indexed="81"/>
            <rFont val="Tahoma"/>
            <family val="2"/>
          </rPr>
          <t>Change P/No. to 90311T0015</t>
        </r>
      </text>
    </comment>
    <comment ref="D935" authorId="5" shapeId="0">
      <text>
        <r>
          <rPr>
            <b/>
            <sz val="8"/>
            <color indexed="81"/>
            <rFont val="Tahoma"/>
            <family val="2"/>
          </rPr>
          <t>Change P/No. to 90311T0016</t>
        </r>
      </text>
    </comment>
    <comment ref="D942" authorId="4" shapeId="0">
      <text>
        <r>
          <rPr>
            <b/>
            <sz val="8"/>
            <color indexed="81"/>
            <rFont val="Tahoma"/>
            <family val="2"/>
          </rPr>
          <t>Frome 41110-0K240</t>
        </r>
      </text>
    </comment>
    <comment ref="D943" authorId="4" shapeId="0">
      <text>
        <r>
          <rPr>
            <b/>
            <sz val="8"/>
            <color indexed="81"/>
            <rFont val="Tahoma"/>
            <family val="2"/>
          </rPr>
          <t>Frome 41110-0K250</t>
        </r>
      </text>
    </comment>
    <comment ref="D944" authorId="4" shapeId="0">
      <text>
        <r>
          <rPr>
            <b/>
            <sz val="8"/>
            <color indexed="81"/>
            <rFont val="Tahoma"/>
            <family val="2"/>
          </rPr>
          <t>Frome 41110-0K260</t>
        </r>
      </text>
    </comment>
    <comment ref="D945" authorId="4" shapeId="0">
      <text>
        <r>
          <rPr>
            <b/>
            <sz val="8"/>
            <color indexed="81"/>
            <rFont val="Tahoma"/>
            <family val="2"/>
          </rPr>
          <t>Frome 41110-0K270</t>
        </r>
      </text>
    </comment>
    <comment ref="D946" authorId="4" shapeId="0">
      <text>
        <r>
          <rPr>
            <b/>
            <sz val="8"/>
            <color indexed="81"/>
            <rFont val="Tahoma"/>
            <family val="2"/>
          </rPr>
          <t>Frome 41110-0K280</t>
        </r>
      </text>
    </comment>
    <comment ref="D947" authorId="4" shapeId="0">
      <text>
        <r>
          <rPr>
            <b/>
            <sz val="8"/>
            <color indexed="81"/>
            <rFont val="Tahoma"/>
            <family val="2"/>
          </rPr>
          <t>Frome 41110-0K290</t>
        </r>
      </text>
    </comment>
    <comment ref="D948" authorId="4" shapeId="0">
      <text>
        <r>
          <rPr>
            <b/>
            <sz val="8"/>
            <color indexed="81"/>
            <rFont val="Tahoma"/>
            <family val="2"/>
          </rPr>
          <t>Frome 41110-0K310</t>
        </r>
      </text>
    </comment>
    <comment ref="D949" authorId="4" shapeId="0">
      <text>
        <r>
          <rPr>
            <b/>
            <sz val="8"/>
            <color indexed="81"/>
            <rFont val="Tahoma"/>
            <family val="2"/>
          </rPr>
          <t>Frome 41110-0K350</t>
        </r>
      </text>
    </comment>
    <comment ref="D950" authorId="4" shapeId="0">
      <text>
        <r>
          <rPr>
            <b/>
            <sz val="8"/>
            <color indexed="81"/>
            <rFont val="Tahoma"/>
            <family val="2"/>
          </rPr>
          <t>Frome 41110-0K360</t>
        </r>
      </text>
    </comment>
    <comment ref="D951" authorId="4" shapeId="0">
      <text>
        <r>
          <rPr>
            <b/>
            <sz val="8"/>
            <color indexed="81"/>
            <rFont val="Tahoma"/>
            <family val="2"/>
          </rPr>
          <t>Frome 51201-0K030</t>
        </r>
      </text>
    </comment>
    <comment ref="D952" authorId="2" shapeId="0">
      <text>
        <r>
          <rPr>
            <b/>
            <sz val="8"/>
            <color indexed="81"/>
            <rFont val="Tahoma"/>
            <family val="2"/>
          </rPr>
          <t>Change to 
90311T0013</t>
        </r>
      </text>
    </comment>
    <comment ref="D953" authorId="2" shapeId="0">
      <text>
        <r>
          <rPr>
            <b/>
            <sz val="8"/>
            <color indexed="81"/>
            <rFont val="Tahoma"/>
            <family val="2"/>
          </rPr>
          <t>Change to 
411100K010</t>
        </r>
      </text>
    </comment>
    <comment ref="D955" authorId="2" shapeId="0">
      <text>
        <r>
          <rPr>
            <b/>
            <sz val="8"/>
            <color indexed="81"/>
            <rFont val="Tahoma"/>
            <family val="2"/>
          </rPr>
          <t>Change from 
412510K010</t>
        </r>
      </text>
    </comment>
    <comment ref="D958" authorId="2" shapeId="0">
      <text>
        <r>
          <rPr>
            <b/>
            <sz val="8"/>
            <color indexed="81"/>
            <rFont val="Tahoma"/>
            <family val="2"/>
          </rPr>
          <t>411100K040</t>
        </r>
      </text>
    </comment>
    <comment ref="D959" authorId="2" shapeId="0">
      <text>
        <r>
          <rPr>
            <b/>
            <sz val="8"/>
            <color indexed="81"/>
            <rFont val="Tahoma"/>
            <family val="2"/>
          </rPr>
          <t>411100K040</t>
        </r>
      </text>
    </comment>
    <comment ref="D960" authorId="2" shapeId="0">
      <text>
        <r>
          <rPr>
            <b/>
            <sz val="8"/>
            <color indexed="81"/>
            <rFont val="Tahoma"/>
            <family val="2"/>
          </rPr>
          <t>411100K050</t>
        </r>
      </text>
    </comment>
    <comment ref="D961" authorId="2" shapeId="0">
      <text>
        <r>
          <rPr>
            <b/>
            <sz val="8"/>
            <color indexed="81"/>
            <rFont val="Tahoma"/>
            <family val="2"/>
          </rPr>
          <t>411100K080</t>
        </r>
      </text>
    </comment>
    <comment ref="D1288" authorId="0" shapeId="0">
      <text>
        <r>
          <rPr>
            <b/>
            <sz val="10"/>
            <color indexed="81"/>
            <rFont val="Tahoma"/>
            <family val="2"/>
          </rPr>
          <t>HMMT Part no. 41039-034070-1</t>
        </r>
      </text>
    </comment>
  </commentList>
</comments>
</file>

<file path=xl/sharedStrings.xml><?xml version="1.0" encoding="utf-8"?>
<sst xmlns="http://schemas.openxmlformats.org/spreadsheetml/2006/main" count="14936" uniqueCount="5321">
  <si>
    <t>BUMPER S/A FR. ( CO. ไม่มีรู )</t>
  </si>
  <si>
    <t>52101-04130-1 [ CO ]</t>
  </si>
  <si>
    <t>BUMPER S/A FR. ( EDP 4 รู )</t>
  </si>
  <si>
    <t>52101-04140-1 [ ED ]</t>
  </si>
  <si>
    <t>BUMPER S/A FR. ( CO. 4 รู )</t>
  </si>
  <si>
    <t>52101-04150-1 [ CO ]</t>
  </si>
  <si>
    <t>BUMPER S/A FR. ( CO. 5 รู )</t>
  </si>
  <si>
    <t>625100K010B0</t>
  </si>
  <si>
    <t>62511YE011E0</t>
  </si>
  <si>
    <t>62511-YE011-E0</t>
  </si>
  <si>
    <t>62511YE020E0</t>
  </si>
  <si>
    <t>62511-YE020-E0</t>
  </si>
  <si>
    <t>62512YE011E0</t>
  </si>
  <si>
    <t>62512-YE011-E0</t>
  </si>
  <si>
    <t>62512YE020E0</t>
  </si>
  <si>
    <t>62512-YE020-E0</t>
  </si>
  <si>
    <t>625200K080A0</t>
  </si>
  <si>
    <t>625200K080B0</t>
  </si>
  <si>
    <t>67111-35130-1</t>
  </si>
  <si>
    <t>67112-35130-1</t>
  </si>
  <si>
    <t>512300K040</t>
  </si>
  <si>
    <t>CROSSMEMBER ASSY, FRAME, NO.3</t>
  </si>
  <si>
    <t>51341-0K020-83</t>
  </si>
  <si>
    <t>65741-0K011-83</t>
  </si>
  <si>
    <t>65742-0K011-83</t>
  </si>
  <si>
    <t>51706-0K020-83</t>
  </si>
  <si>
    <t>F. GUIANA</t>
  </si>
  <si>
    <t>Brunei (NBT) (Asia)</t>
  </si>
  <si>
    <t>Myanmar (Asia)</t>
  </si>
  <si>
    <t>Cambodia (Asia)</t>
  </si>
  <si>
    <t>TFTM (Asia)</t>
  </si>
  <si>
    <t>TMCI  (Asia)</t>
  </si>
  <si>
    <t>Hong Kong (Asia)</t>
  </si>
  <si>
    <t>Laos (Asia)</t>
  </si>
  <si>
    <t>Singapao (BMS) (Asia)</t>
  </si>
  <si>
    <t>Korea (Inchcape) (Asia)</t>
  </si>
  <si>
    <t>Korea (Jinse) (Asia)</t>
  </si>
  <si>
    <t>Thailand  (Asia)</t>
  </si>
  <si>
    <t>Indonesia Manu (TMMIN) (Asia)</t>
  </si>
  <si>
    <t>Indonesia Dist.TAM) (Asia)</t>
  </si>
  <si>
    <t>Philippines (Asia)</t>
  </si>
  <si>
    <t>Malaysia (Asia)</t>
  </si>
  <si>
    <t>Australia (Oceania)</t>
  </si>
  <si>
    <t>Australia (TMCA) (Oceania)</t>
  </si>
  <si>
    <t>Fiji (Oceania)</t>
  </si>
  <si>
    <t>Vanuatu (Oceania)</t>
  </si>
  <si>
    <t>P.N.G (Oceania)</t>
  </si>
  <si>
    <t>New Zealand (TNZ) (Oceania)</t>
  </si>
  <si>
    <t>TMP (Oceania)</t>
  </si>
  <si>
    <t>UMWT (Oceania)</t>
  </si>
  <si>
    <t>Solomon (Oceania)</t>
  </si>
  <si>
    <t>Tonga (Oceania)</t>
  </si>
  <si>
    <t>W.Samoa (Oceania)</t>
  </si>
  <si>
    <t>N. Caledonia (Oceania)</t>
  </si>
  <si>
    <t>Micronesia (Oceania)</t>
  </si>
  <si>
    <t>Loosening, Falling Off</t>
  </si>
  <si>
    <t>Tahiti (Oceania)</t>
  </si>
  <si>
    <t>Kiribati (Oceania)</t>
  </si>
  <si>
    <t>Norfolk. Is (Oceania)</t>
  </si>
  <si>
    <t>Tiwan (Small/V)  (Dyna) (Asia)</t>
  </si>
  <si>
    <t>BRACKET SUB-ASSY, CAB MOUNTING, NO.3 LH</t>
  </si>
  <si>
    <t>65141-0K010-83</t>
  </si>
  <si>
    <t>65142-0K010-83</t>
  </si>
  <si>
    <t>SUPPORT, MAIN SILL, LH</t>
  </si>
  <si>
    <t>65317-0K060-83</t>
  </si>
  <si>
    <t>65317-0K010-83</t>
  </si>
  <si>
    <t>65318-0K010-83</t>
  </si>
  <si>
    <t>65318-0K060-83</t>
  </si>
  <si>
    <t>65710-0K010-83</t>
  </si>
  <si>
    <t>RAIL ASSY, TAIL GATE TOP</t>
  </si>
  <si>
    <t>65711-0K020-83</t>
  </si>
  <si>
    <t>RAIL, TAIL GATE TOP</t>
  </si>
  <si>
    <t>65712-0K010-83</t>
  </si>
  <si>
    <t>REINFORCEMENT, TAIL GATE TOP, NO.2</t>
  </si>
  <si>
    <t>BUMPER SUB-ASSY, RR</t>
  </si>
  <si>
    <t>65783-0K020-83</t>
  </si>
  <si>
    <t>REINFORCEMENT, TAIL GATE LOCK, RH</t>
  </si>
  <si>
    <t>65784-0K020-83</t>
  </si>
  <si>
    <t>REINFORCEMENT, TAIL GATE LOCK, LH</t>
  </si>
  <si>
    <t>PANEL, RR BODY SIDE INNER, RH</t>
  </si>
  <si>
    <t>65826-0K080-83</t>
  </si>
  <si>
    <t>65827-0K010-83</t>
  </si>
  <si>
    <t>PANEL, RR BODY SIDE INNER, LH</t>
  </si>
  <si>
    <t>HMMT2 (Coating HMMT3)</t>
  </si>
  <si>
    <t>REINFORCEMENT SUB-ASSY,FR BUMPER</t>
  </si>
  <si>
    <t>TMJ</t>
  </si>
  <si>
    <t>TUBE DIFFERENTIAL</t>
  </si>
  <si>
    <t>CABLE ASSY,PARKING ,NO.2</t>
  </si>
  <si>
    <t>51203-0K040</t>
  </si>
  <si>
    <t>BRACKET SUB-ASSY,LWR COUNT LINK SUPT,RH</t>
  </si>
  <si>
    <t>BRACKET SUB-ASSY,LWR COUNT LINK SUPT,LH</t>
  </si>
  <si>
    <t>RETAINER,SPRING,LH</t>
  </si>
  <si>
    <t>HMMT [Exclusive]</t>
  </si>
  <si>
    <t>HMMT [Part Set]</t>
  </si>
  <si>
    <t>HMMT/ATFB</t>
  </si>
  <si>
    <t>41433-35010-1</t>
  </si>
  <si>
    <t>SLEEVE,DIFERENTIAL CLUTCH</t>
  </si>
  <si>
    <t>521050K902</t>
  </si>
  <si>
    <t>512040K030</t>
  </si>
  <si>
    <t>510010K420</t>
  </si>
  <si>
    <t>510010K410</t>
  </si>
  <si>
    <t>464300K050</t>
  </si>
  <si>
    <t>464200K050</t>
  </si>
  <si>
    <t>413110K050</t>
  </si>
  <si>
    <t>BUMPER SUB-ASSY, RR (Color)</t>
  </si>
  <si>
    <t>Viatnam (Sumitomo)</t>
  </si>
  <si>
    <t>Vietnam (TTC)</t>
  </si>
  <si>
    <t>Vietnam (IMC)</t>
  </si>
  <si>
    <t>India (TKM)</t>
  </si>
  <si>
    <t>BUMPER SUB-ASSY, RR (Chromium)</t>
  </si>
  <si>
    <t>HMMT3</t>
  </si>
  <si>
    <t>413110K040</t>
  </si>
  <si>
    <t>413110K030</t>
  </si>
  <si>
    <t>4133130030</t>
  </si>
  <si>
    <t>4134130020</t>
  </si>
  <si>
    <t>413420K020</t>
  </si>
  <si>
    <t>413610K220</t>
  </si>
  <si>
    <t>413610K230</t>
  </si>
  <si>
    <t>510010K790</t>
  </si>
  <si>
    <t>66110-0K011-</t>
  </si>
  <si>
    <t>66120-0K011-</t>
  </si>
  <si>
    <t>413610K240</t>
  </si>
  <si>
    <t>413610K250</t>
  </si>
  <si>
    <t>412520K020</t>
  </si>
  <si>
    <t>512040K010</t>
  </si>
  <si>
    <t>521050K020</t>
  </si>
  <si>
    <t>421000K050</t>
  </si>
  <si>
    <t>90178-T0077-</t>
  </si>
  <si>
    <t>NUT, FLANGE</t>
  </si>
  <si>
    <t>657000K050</t>
  </si>
  <si>
    <t>9011608329</t>
  </si>
  <si>
    <t>656320K906</t>
  </si>
  <si>
    <t>314780K010</t>
  </si>
  <si>
    <t>412220K020</t>
  </si>
  <si>
    <t>412520K010</t>
  </si>
  <si>
    <t>412520K030</t>
  </si>
  <si>
    <t>413060K010</t>
  </si>
  <si>
    <t>413110K010</t>
  </si>
  <si>
    <t>413110K060</t>
  </si>
  <si>
    <t>413110K070</t>
  </si>
  <si>
    <t>044950K010</t>
  </si>
  <si>
    <t>044950K020</t>
  </si>
  <si>
    <t>049410K030</t>
  </si>
  <si>
    <t>049430K010</t>
  </si>
  <si>
    <t>049430K030</t>
  </si>
  <si>
    <t>424310K080</t>
  </si>
  <si>
    <t>424310K120</t>
  </si>
  <si>
    <t>4755009070</t>
  </si>
  <si>
    <t>475500K090</t>
  </si>
  <si>
    <t>476430K050</t>
  </si>
  <si>
    <t>476440K050</t>
  </si>
  <si>
    <t>SHOE KIT RR DRUM BRAKE</t>
  </si>
  <si>
    <t>SPRING KIT RR DRUM BRAKE SHOE HOLD DOWN</t>
  </si>
  <si>
    <t>421100K321</t>
  </si>
  <si>
    <t>42110-0K321</t>
  </si>
  <si>
    <t>421100K381</t>
  </si>
  <si>
    <t>411103D540</t>
  </si>
  <si>
    <t>41110-0K311</t>
  </si>
  <si>
    <t>42110-0K330</t>
  </si>
  <si>
    <t>41110-0K040</t>
  </si>
  <si>
    <t>41110-0K050</t>
  </si>
  <si>
    <t>41110-0K080</t>
  </si>
  <si>
    <t>42110-0K310</t>
  </si>
  <si>
    <t>42110-0K010</t>
  </si>
  <si>
    <t>42110-0K350</t>
  </si>
  <si>
    <t>66170-0K020</t>
  </si>
  <si>
    <t>90942-02079</t>
  </si>
  <si>
    <t xml:space="preserve">STRUT KIT RR BRAKE  </t>
  </si>
  <si>
    <t>WHEEL CYLINDER KIT</t>
  </si>
  <si>
    <t xml:space="preserve">LEVER AUTOMATIC ADJUST </t>
  </si>
  <si>
    <t>SHOE ASSY, BRAKE NO.2</t>
  </si>
  <si>
    <t>SHOE ASSY, BRAKE NO.3</t>
  </si>
  <si>
    <t>SHOE ASSY, BRAKE NO.4</t>
  </si>
  <si>
    <t>WASHER, TYPE C</t>
  </si>
  <si>
    <t>CUP KIT RR WHEEL CYLINDER</t>
  </si>
  <si>
    <t>BOOT, WHEEL CYLINDER</t>
  </si>
  <si>
    <t>CUP, CYLINDER</t>
  </si>
  <si>
    <t>CAP, BLEEDER PLUG</t>
  </si>
  <si>
    <t>PIN, SHOE HOLD DOWN SPRING</t>
  </si>
  <si>
    <t>CUP, SHOE HOLD DOWN SPRING</t>
  </si>
  <si>
    <t>SPRING, COMPRESSION</t>
  </si>
  <si>
    <t>SPRING KIT RR DRUM BRAKE</t>
  </si>
  <si>
    <t>SPRING, TENSION</t>
  </si>
  <si>
    <t>STRUT KIT RR DRUM BRAKE</t>
  </si>
  <si>
    <t>STRUT SET, PARKING BRK SHOE NO.1</t>
  </si>
  <si>
    <t>STRUT SET, PARKING BRK SHOE NO.2</t>
  </si>
  <si>
    <t>PLUG KIT RR DRUM BRAKE</t>
  </si>
  <si>
    <t>PLUG, SHOE ADJUSTMENT HOLE</t>
  </si>
  <si>
    <t>PLUG, SHOE INSPECTION HOLE</t>
  </si>
  <si>
    <t>474200K010</t>
  </si>
  <si>
    <t>474300K010</t>
  </si>
  <si>
    <t>474400K010</t>
  </si>
  <si>
    <t>049060K020</t>
  </si>
  <si>
    <t>475350K010</t>
  </si>
  <si>
    <t>512010D111</t>
  </si>
  <si>
    <t>CROSSMEMBER SUB-ASSY FR SUSPENSION</t>
  </si>
  <si>
    <t>51201-0D111-</t>
  </si>
  <si>
    <t>YARIS</t>
  </si>
  <si>
    <t>512010D091</t>
  </si>
  <si>
    <t>51201-0D091-</t>
  </si>
  <si>
    <t>049060K030</t>
  </si>
  <si>
    <t>049410K010</t>
  </si>
  <si>
    <t>90016AY003</t>
  </si>
  <si>
    <t>049420K020</t>
  </si>
  <si>
    <t>90016AY101</t>
  </si>
  <si>
    <t>90016AY102</t>
  </si>
  <si>
    <t>470610K010</t>
  </si>
  <si>
    <t>470620K010</t>
  </si>
  <si>
    <t>049490K010</t>
  </si>
  <si>
    <t>62511YE020B0</t>
  </si>
  <si>
    <t>62512YE020B0</t>
  </si>
  <si>
    <t>625200K010B0</t>
  </si>
  <si>
    <t>62594YE010B0</t>
  </si>
  <si>
    <t>62595YE010B0</t>
  </si>
  <si>
    <t>625100K090B0</t>
  </si>
  <si>
    <t>625100K090B1</t>
  </si>
  <si>
    <t>625100K090A0</t>
  </si>
  <si>
    <t>510010KG60</t>
  </si>
  <si>
    <t>Frozen (Icing)</t>
  </si>
  <si>
    <t>51178-0K010-83</t>
  </si>
  <si>
    <t>REINFORCE, SIDE RAIL INNER CHAN, NO.5 LH</t>
  </si>
  <si>
    <t>51191-0K010-83</t>
  </si>
  <si>
    <t>PATCH, RR FRAME RAIL, NO.1 RH</t>
  </si>
  <si>
    <t>51192-0K010-83</t>
  </si>
  <si>
    <t>PATCH, RR FRAME RAIL, NO.1 LH</t>
  </si>
  <si>
    <t>Group Name</t>
  </si>
  <si>
    <t>RR DIFF B190</t>
  </si>
  <si>
    <t>41204-0K020-</t>
  </si>
  <si>
    <t>41214-30021-1</t>
  </si>
  <si>
    <t>TAIHO</t>
  </si>
  <si>
    <t>41222-0K030-</t>
  </si>
  <si>
    <t>TAI</t>
  </si>
  <si>
    <t>41231-22010-1</t>
  </si>
  <si>
    <t>SPACER, DIFF DRIVE PINION BEARING</t>
  </si>
  <si>
    <t>41301-0K030-</t>
  </si>
  <si>
    <t>41311-0K030-</t>
  </si>
  <si>
    <t>41315-0K020-</t>
  </si>
  <si>
    <t>OTT</t>
  </si>
  <si>
    <t>GEAR, DIFFERENTIAL SIDE</t>
  </si>
  <si>
    <t>PINION, DIFFERENTIAL</t>
  </si>
  <si>
    <t>41342-0K020-</t>
  </si>
  <si>
    <t>41361-0K220-</t>
  </si>
  <si>
    <t>41361-0K230-</t>
  </si>
  <si>
    <t>42110-0K341-</t>
  </si>
  <si>
    <t>42110-0K401-</t>
  </si>
  <si>
    <t>42110-0K361-</t>
  </si>
  <si>
    <t>41361-0K240-</t>
  </si>
  <si>
    <t>41361-0K250-</t>
  </si>
  <si>
    <t>90177-T0008-</t>
  </si>
  <si>
    <t>ATC</t>
  </si>
  <si>
    <t>90311-T0014-</t>
  </si>
  <si>
    <t>90366-T0022-</t>
  </si>
  <si>
    <t>90366-T0025-</t>
  </si>
  <si>
    <t>90366-T0028-</t>
  </si>
  <si>
    <t>PANEL FLOOR SIDE RH</t>
  </si>
  <si>
    <t>Bumper</t>
  </si>
  <si>
    <t>52105-0K010-</t>
  </si>
  <si>
    <t>BUMPER SUB-ASSY, RR(LESS COLOR)</t>
  </si>
  <si>
    <t>SMM</t>
  </si>
  <si>
    <t>DEFLECTOR,DUST</t>
  </si>
  <si>
    <t>RR DIFF B200</t>
  </si>
  <si>
    <t>41331-71010-</t>
  </si>
  <si>
    <t>657000K180</t>
  </si>
  <si>
    <t>657000K190</t>
  </si>
  <si>
    <t>65700-0K180-</t>
  </si>
  <si>
    <t>65700-0K190-</t>
  </si>
  <si>
    <t>41341-71010-</t>
  </si>
  <si>
    <t>Frame</t>
  </si>
  <si>
    <t>51095-0K010-</t>
  </si>
  <si>
    <t>HOOK SUB-ASSY,TRANSPORT,RR RH</t>
  </si>
  <si>
    <t>TSA</t>
  </si>
  <si>
    <t>51096-0K010-</t>
  </si>
  <si>
    <t>Nicaragua</t>
  </si>
  <si>
    <t>HOOK SUB-ASSY,TRANSPORT,RR LH</t>
  </si>
  <si>
    <t>CROSSMEMBER SUB-ASSY,FRAME NO.4</t>
  </si>
  <si>
    <t>KIT</t>
  </si>
  <si>
    <t>51205-0K040-</t>
  </si>
  <si>
    <t>51206-0K010-</t>
  </si>
  <si>
    <t>CROSSMEMBER SUB-ASSY,FRAME NO.6</t>
  </si>
  <si>
    <t>65700-0K120-</t>
  </si>
  <si>
    <t>388N</t>
  </si>
  <si>
    <t>42110-04050-1</t>
  </si>
  <si>
    <t>42110-04060-1</t>
  </si>
  <si>
    <t>42110-04070-1</t>
  </si>
  <si>
    <t>42110-04120-1</t>
  </si>
  <si>
    <t>42110-35640-1</t>
  </si>
  <si>
    <t>52101-35360-1</t>
  </si>
  <si>
    <t>52101-35400-1</t>
  </si>
  <si>
    <t>52101-YZB02-1 [ CO ]</t>
  </si>
  <si>
    <t>52105-04050-1</t>
  </si>
  <si>
    <t>65700-0K130-</t>
  </si>
  <si>
    <t>51707-0K010-</t>
  </si>
  <si>
    <t>BRACKET SUB-ASSY,CAB MOUNTING,NO.4 RH</t>
  </si>
  <si>
    <t>YTC</t>
  </si>
  <si>
    <t>51708-0K010-</t>
  </si>
  <si>
    <t>BRACKET SUB-ASSY,CAB MOUNTING,NO.4 LH</t>
  </si>
  <si>
    <t>51709-0K010-</t>
  </si>
  <si>
    <t>BRACKET SUB-ASSY,CAB MOUNTING,NO.6</t>
  </si>
  <si>
    <t>BUMPER SUB-ASSY,RR (FLAT PLATING)</t>
  </si>
  <si>
    <t>57081-0K020-</t>
  </si>
  <si>
    <t>57771-0K010-</t>
  </si>
  <si>
    <t>PLATE,RR,SPRING,RH</t>
  </si>
  <si>
    <t>77501-0K010-</t>
  </si>
  <si>
    <t>BRACKET SUB-ASSY,FUEL TANK</t>
  </si>
  <si>
    <t>77601-0K070-</t>
  </si>
  <si>
    <t>BAND SUB-ASSY,FUEL TANK</t>
  </si>
  <si>
    <t>77612-0K100-</t>
  </si>
  <si>
    <t>BRACKET,FUEL TANK BAND</t>
  </si>
  <si>
    <t>77613-0K010-</t>
  </si>
  <si>
    <t>BRACKET,FUEL TANK BAND,NO.1</t>
  </si>
  <si>
    <t>RR Axle</t>
  </si>
  <si>
    <t>90170-08042-1</t>
  </si>
  <si>
    <t>NUT,HEXAGON</t>
  </si>
  <si>
    <t>12157-10010-1</t>
  </si>
  <si>
    <t>GASKET,DRAIN PLUG</t>
  </si>
  <si>
    <t>41B9</t>
  </si>
  <si>
    <t>41110-0K020-</t>
  </si>
  <si>
    <t>FR DIFF S20</t>
  </si>
  <si>
    <t>41110-0K360-</t>
  </si>
  <si>
    <t>42110-0K050-</t>
  </si>
  <si>
    <t>42423-20010-1</t>
  </si>
  <si>
    <t>42444-35070-1</t>
  </si>
  <si>
    <t>GASKET,BRAKE DRUM</t>
  </si>
  <si>
    <t>43517-35010-1</t>
  </si>
  <si>
    <t>ROTOR,SKID CONTROL,RR</t>
  </si>
  <si>
    <t>52023-0K010-</t>
  </si>
  <si>
    <t>REINFORCEMENT SUB-ASSY,RR BUMPER</t>
  </si>
  <si>
    <t>CAP</t>
  </si>
  <si>
    <t>TUBE, LWR ARM</t>
  </si>
  <si>
    <t>48656-0K010-83</t>
  </si>
  <si>
    <t>48656-0K020-83</t>
  </si>
  <si>
    <t>486560K030</t>
  </si>
  <si>
    <t>486560K040</t>
  </si>
  <si>
    <t>48713-0K010-83</t>
  </si>
  <si>
    <t>TUBE, UPR CONTROL ARM</t>
  </si>
  <si>
    <t>48713-0K020-83</t>
  </si>
  <si>
    <t>51105-0K030-83</t>
  </si>
  <si>
    <t>REINFORCE SUB-ASSY, INNER CHAN, NO.3 RH</t>
  </si>
  <si>
    <t>51106-0K030-83</t>
  </si>
  <si>
    <t>REINFORCE SUB-ASSY, INNER CHAN, NO.3 LH</t>
  </si>
  <si>
    <t>510010KA60</t>
  </si>
  <si>
    <t>51148-0K020-83</t>
  </si>
  <si>
    <t>REINFORCE, SIDE RAIL INNER CHAN, NO.4 LH</t>
  </si>
  <si>
    <t>51247-0K020-83</t>
  </si>
  <si>
    <t>REINFORCEMENT, FRAME NO.4 CROSSMEMBER</t>
  </si>
  <si>
    <t>51295-0K010-83</t>
  </si>
  <si>
    <t>PATCH, FRAME RR CROSSMEMBER, RH</t>
  </si>
  <si>
    <t>51296-0K010-83</t>
  </si>
  <si>
    <t>PATCH, FRAME RR CROSSMEMBER, lH</t>
  </si>
  <si>
    <t>GUSSET, CROSSMEMBER, NO.4 UPR</t>
  </si>
  <si>
    <t>513410K010</t>
  </si>
  <si>
    <t>51393-0K010-83</t>
  </si>
  <si>
    <t>GUSSET, RR FRAME CROSSMEMBER, LWR RH</t>
  </si>
  <si>
    <t>GUSSET, RR FRAME CROSSMEMBER, LWR LH</t>
  </si>
  <si>
    <t>51394-0K010-83</t>
  </si>
  <si>
    <t>90341-18006-1</t>
  </si>
  <si>
    <t>PLUG, W/HEAD STRAIGHT SCREW</t>
  </si>
  <si>
    <t>TAC</t>
  </si>
  <si>
    <t>90341-18057-1</t>
  </si>
  <si>
    <t>PLUG SUB-ASSY,W/HEAD STRAIGHT SCREW</t>
  </si>
  <si>
    <t>90564-35120-1</t>
  </si>
  <si>
    <t>SHIM</t>
  </si>
  <si>
    <t>Side Panel</t>
  </si>
  <si>
    <t>PANEL FLOOR SIDE LH</t>
  </si>
  <si>
    <t>PANEL WHEEL HOUSE RH</t>
  </si>
  <si>
    <t>PANEL WHEEL HOUSE LH</t>
  </si>
  <si>
    <t>PANEL RR BODY SIDE INNER RH</t>
  </si>
  <si>
    <t>PANEL RR BODY SIDE INNER LH</t>
  </si>
  <si>
    <t>PANEL RR BODY INNER SIDE LH</t>
  </si>
  <si>
    <t>17571-0L010-</t>
  </si>
  <si>
    <t>17578-0L010-</t>
  </si>
  <si>
    <t>BRACKET,EXHAUST PIPE SUPPORT,NO.8</t>
  </si>
  <si>
    <t>CAP,BLEEDER PLUG</t>
  </si>
  <si>
    <t>ADVICS</t>
  </si>
  <si>
    <t>GEAR KIT,DIFFERENTIAL</t>
  </si>
  <si>
    <t>41101-0K010-</t>
  </si>
  <si>
    <t>41101-0K030-</t>
  </si>
  <si>
    <t>SATI</t>
  </si>
  <si>
    <t>41110-0K010-</t>
  </si>
  <si>
    <t>41B8</t>
  </si>
  <si>
    <t>41110-0K040-</t>
  </si>
  <si>
    <t>41110-0K050-</t>
  </si>
  <si>
    <t>41110-0K060-</t>
  </si>
  <si>
    <t>41110-0K080-</t>
  </si>
  <si>
    <t>41110-0K100-</t>
  </si>
  <si>
    <t>41SA</t>
  </si>
  <si>
    <t>41110-0K280-</t>
  </si>
  <si>
    <t>41110-0K290-</t>
  </si>
  <si>
    <t>41110-0K310-</t>
  </si>
  <si>
    <t>B200 , S20</t>
  </si>
  <si>
    <t>41115-0K010-</t>
  </si>
  <si>
    <t>48656-0K031-83</t>
  </si>
  <si>
    <t>48656-0K041-83</t>
  </si>
  <si>
    <t>65632-0K010-83</t>
  </si>
  <si>
    <t>YNP</t>
  </si>
  <si>
    <t>51011-0K051-83</t>
  </si>
  <si>
    <t>51012-0K051-83</t>
  </si>
  <si>
    <t>51001-0KB31-</t>
  </si>
  <si>
    <t>51001-0KB41-</t>
  </si>
  <si>
    <t>51001-0KB51-</t>
  </si>
  <si>
    <t>51001-0KC01-</t>
  </si>
  <si>
    <t>51001-0KC11-</t>
  </si>
  <si>
    <t>51001-0KC21-</t>
  </si>
  <si>
    <t>51001-0KC31-</t>
  </si>
  <si>
    <t>51001-0KC50-</t>
  </si>
  <si>
    <t>51001-0KC60-</t>
  </si>
  <si>
    <t>51001-0KC80-</t>
  </si>
  <si>
    <t>51001-0KC90-</t>
  </si>
  <si>
    <t>51001-0KD10-</t>
  </si>
  <si>
    <t>51001-0KD20-</t>
  </si>
  <si>
    <t>51206-0K021-</t>
  </si>
  <si>
    <t>653170K902</t>
  </si>
  <si>
    <t>T1 Code (Symptom)  *** To Indicated the customer complaint or thr nature of failure. Please see the item 35 in TWC.</t>
  </si>
  <si>
    <t>T1</t>
  </si>
  <si>
    <t>T1_Team</t>
  </si>
  <si>
    <t>No A/T Lockup</t>
  </si>
  <si>
    <t>Imoroper A/T Locked Point</t>
  </si>
  <si>
    <t>Surge</t>
  </si>
  <si>
    <t>Parking Brake Does Not Hold Vehicle</t>
  </si>
  <si>
    <t>Stumble, Hesitate, Poor Accleration</t>
  </si>
  <si>
    <t>Improper Parking Brake Lever or Pedal Stroke</t>
  </si>
  <si>
    <t>Lack/Loss of Power</t>
  </si>
  <si>
    <t>Parking Brake Does Not Release Properly</t>
  </si>
  <si>
    <t>Excessive Knocking</t>
  </si>
  <si>
    <t>Wind Noise</t>
  </si>
  <si>
    <t>Engine  Cranks - Hard Start</t>
  </si>
  <si>
    <t>Windows Glass Fogging</t>
  </si>
  <si>
    <t>Engine Stalls - Restarts</t>
  </si>
  <si>
    <t>Abnormal Smell</t>
  </si>
  <si>
    <t>Excessive Fuel Consumption</t>
  </si>
  <si>
    <t>Leack-Others (Air,Fuel,Exhaust Gas, Refrigerant)</t>
  </si>
  <si>
    <t>Oil or GeressLeak, Oil Entering</t>
  </si>
  <si>
    <t>Overtheating</t>
  </si>
  <si>
    <t>Water leak, Water Entering</t>
  </si>
  <si>
    <t>Engine Run-on</t>
  </si>
  <si>
    <t>Poor Appearance</t>
  </si>
  <si>
    <t>Fails to Reach Normal Operating Temperature</t>
  </si>
  <si>
    <t>Poor Plating of Parts</t>
  </si>
  <si>
    <t>Engine No Start (Includes Percolation, Stall)</t>
  </si>
  <si>
    <t>Poor Plating Appearance</t>
  </si>
  <si>
    <t>Overflowing Exhaust Gas</t>
  </si>
  <si>
    <t>Rust Perforation of body</t>
  </si>
  <si>
    <t>Batter Does Not Hold Charge</t>
  </si>
  <si>
    <t>Ineffective When Swithched 'On'</t>
  </si>
  <si>
    <t>Failed emission Test</t>
  </si>
  <si>
    <t>Ineffective (Meter,Gauge,Clock,etc.)</t>
  </si>
  <si>
    <t>Back Fire</t>
  </si>
  <si>
    <t>Overcharge</t>
  </si>
  <si>
    <t>After Fire</t>
  </si>
  <si>
    <t>Ineffective Wiping or Washing</t>
  </si>
  <si>
    <t>Cluth Slipping, A/T Slipping</t>
  </si>
  <si>
    <t>Poor Sound (Horn,Radio,Buzzer,etc.)</t>
  </si>
  <si>
    <t>Fails to Disengage</t>
  </si>
  <si>
    <t>Disstorred Audio</t>
  </si>
  <si>
    <t>M/T Jumps Out of Gear</t>
  </si>
  <si>
    <t>M/T Gear Grind/Clash/Improper Engagement</t>
  </si>
  <si>
    <t>A/T will not Shift Up/Down</t>
  </si>
  <si>
    <t>Starter-Late To/Will Not Disebgage</t>
  </si>
  <si>
    <t>Shift Lever Sticks (M/T or A/T)</t>
  </si>
  <si>
    <t>Will Not Maintain  'On' or 'Off'</t>
  </si>
  <si>
    <t>No Forward or Reverse Movement (A/T Only)</t>
  </si>
  <si>
    <t>Continus To Operate When Switched 'Off'</t>
  </si>
  <si>
    <t xml:space="preserve">Odometer Display Incorrect </t>
  </si>
  <si>
    <t>Improper Coming-out of Lighter, Antenna, Audio</t>
  </si>
  <si>
    <t>A/T Abnornal Time Lag</t>
  </si>
  <si>
    <t>Poor Radio Reception</t>
  </si>
  <si>
    <t>Unstable Steering (Vehicle Wanders)</t>
  </si>
  <si>
    <t>Erroneous Behavior</t>
  </si>
  <si>
    <t>Excressive Shock (Includes A/T and Chassis)</t>
  </si>
  <si>
    <t>Engine Check Lamp 'On' /MIL 'On'</t>
  </si>
  <si>
    <t xml:space="preserve">Squeak Noise </t>
  </si>
  <si>
    <t>Tire Pressure Warning Lamp 'On'</t>
  </si>
  <si>
    <t>Pull to the Right or Left While Braking</t>
  </si>
  <si>
    <t>Poor Brake Performance (Excludes Parking Brake)</t>
  </si>
  <si>
    <t>Light Dim or Inoperative (Includes Headlamp etc.)</t>
  </si>
  <si>
    <t>Abnormal or Excessive Noise</t>
  </si>
  <si>
    <t>Grabs</t>
  </si>
  <si>
    <t>Interference (Resulting on Damange)</t>
  </si>
  <si>
    <t>Streering Wheel Off-Center</t>
  </si>
  <si>
    <t>High Operating Effort</t>
  </si>
  <si>
    <t>Poor Felling of Switches or Controls</t>
  </si>
  <si>
    <t>Others</t>
  </si>
  <si>
    <t>Improper Closing and/or Opening,Ineffective Lock</t>
  </si>
  <si>
    <t>Uneven Vehicle Height</t>
  </si>
  <si>
    <t>Brake Dragging (Excludes Parking Brake)</t>
  </si>
  <si>
    <t>Brakes Lock Wheel (S) Prematurely</t>
  </si>
  <si>
    <t>T2 Code (Cause)  *** To Show the condition of the originally failed part. Please see the item 36 in TWC.</t>
  </si>
  <si>
    <t>T2</t>
  </si>
  <si>
    <t>T2_Team</t>
  </si>
  <si>
    <t>Bump</t>
  </si>
  <si>
    <t>Scratched</t>
  </si>
  <si>
    <t>Scarred (e.g Bruise, Scratch, Cut, Scored</t>
  </si>
  <si>
    <t>Dents</t>
  </si>
  <si>
    <t>Broken, Spilt, Torn</t>
  </si>
  <si>
    <t>Panel Wave</t>
  </si>
  <si>
    <t>Rough/Cracking Seam Filler</t>
  </si>
  <si>
    <t>Matallic Mottling</t>
  </si>
  <si>
    <t>Weakened Loss of Tension or Resilience</t>
  </si>
  <si>
    <t>Thin Paint</t>
  </si>
  <si>
    <t>Pelling, Come-off</t>
  </si>
  <si>
    <t>Runs and Sags</t>
  </si>
  <si>
    <t>Crecked</t>
  </si>
  <si>
    <t>Polish Mark (Swirl Mark, Whitening, Fine Streak)</t>
  </si>
  <si>
    <t>Rusty, Corroded</t>
  </si>
  <si>
    <t>Cissing (Fish Eyes)</t>
  </si>
  <si>
    <t>Hardening or Softening</t>
  </si>
  <si>
    <t>Poor Repair</t>
  </si>
  <si>
    <t>Wear</t>
  </si>
  <si>
    <t>Seeds</t>
  </si>
  <si>
    <t>Metallic Blemish of Painted Parts</t>
  </si>
  <si>
    <t>Poor Repair Body Sealer Application</t>
  </si>
  <si>
    <t>Thin Paint of Painted Parts</t>
  </si>
  <si>
    <t>Poor Mastic Sealer Application</t>
  </si>
  <si>
    <t>Runs and Sage of Painted Parts</t>
  </si>
  <si>
    <t>Off-color</t>
  </si>
  <si>
    <t>Parting Line Defect for Two Tone Color</t>
  </si>
  <si>
    <t>Stripe Defect</t>
  </si>
  <si>
    <t>Cissing (Fish Eyes) of Painted Parts</t>
  </si>
  <si>
    <t>Overspray</t>
  </si>
  <si>
    <t>Poor Repair  of Painted Pats</t>
  </si>
  <si>
    <t>Rust Due to )Parts Installed Damage</t>
  </si>
  <si>
    <t>Seeds of Painted Parts</t>
  </si>
  <si>
    <t>Scratched by Interferance</t>
  </si>
  <si>
    <t xml:space="preserve">Poor Body Sealer Application </t>
  </si>
  <si>
    <t>Glue Adhered</t>
  </si>
  <si>
    <t>Improper Free Play</t>
  </si>
  <si>
    <t>Spot Discoloration</t>
  </si>
  <si>
    <t>Poor Contact</t>
  </si>
  <si>
    <t>Orange Peel, Poor Gloss</t>
  </si>
  <si>
    <t>Out of Balance</t>
  </si>
  <si>
    <t>Cracking</t>
  </si>
  <si>
    <t>Excessive Clearance or Backlash</t>
  </si>
  <si>
    <t>Blistering</t>
  </si>
  <si>
    <t>Lack of Clearance  or Backlash</t>
  </si>
  <si>
    <t>Feding</t>
  </si>
  <si>
    <t>Porous, Pinhole</t>
  </si>
  <si>
    <t>Chalking</t>
  </si>
  <si>
    <t>Poor Calking</t>
  </si>
  <si>
    <t>Peeling</t>
  </si>
  <si>
    <t>Faulty Machinig, Poor Forming</t>
  </si>
  <si>
    <t>Rusting Through</t>
  </si>
  <si>
    <t>Incorrect Part</t>
  </si>
  <si>
    <t>Rust on Hem/Joint</t>
  </si>
  <si>
    <t>Missing Part</t>
  </si>
  <si>
    <t>Rust spots</t>
  </si>
  <si>
    <t>Existence of Foreign Matter</t>
  </si>
  <si>
    <t>Anti-rust Wax Attach</t>
  </si>
  <si>
    <t>Lack of Lubricant, Adhesive, Sealer Poor Adhesion</t>
  </si>
  <si>
    <t>others</t>
  </si>
  <si>
    <t>Poor Fit, Poor Assembly</t>
  </si>
  <si>
    <t>A Seam Comes Apart</t>
  </si>
  <si>
    <t>Extra Parts</t>
  </si>
  <si>
    <t>Loose Threads</t>
  </si>
  <si>
    <t>Dirt</t>
  </si>
  <si>
    <t>Bubble</t>
  </si>
  <si>
    <t>Discoloration, Stain, Scorch, or Burn</t>
  </si>
  <si>
    <t>Poor Welding</t>
  </si>
  <si>
    <t>Open-Cricuit, Faulty Semi-conductor</t>
  </si>
  <si>
    <t>Short-Cricuit,Poor Insulation, Poor Contact</t>
  </si>
  <si>
    <t>Poor Programming</t>
  </si>
  <si>
    <t>Poorly Tightened</t>
  </si>
  <si>
    <t>Strick, Seized</t>
  </si>
  <si>
    <t>Unsmooth Sliding</t>
  </si>
  <si>
    <t>Clogged and/or Existence of Foreign Matter</t>
  </si>
  <si>
    <t>41204-0K010-</t>
  </si>
  <si>
    <t>41204-0K030-</t>
  </si>
  <si>
    <t>41214-26011-1</t>
  </si>
  <si>
    <t>SLINGER,DRIVE PINION OIL</t>
  </si>
  <si>
    <t>41222-0K010-</t>
  </si>
  <si>
    <t>PLATE,RING GEAR SET BOLT LOCK</t>
  </si>
  <si>
    <t>41231-24010-1</t>
  </si>
  <si>
    <t>SPACER,DRIVE PINION BEARING</t>
  </si>
  <si>
    <t>41231-35040-1</t>
  </si>
  <si>
    <t>41301-0K010-</t>
  </si>
  <si>
    <t>CASE SUB-ASSY,DIFFERENTIAL</t>
  </si>
  <si>
    <t>41301-0K020-</t>
  </si>
  <si>
    <t>41301-0K060-</t>
  </si>
  <si>
    <t>41301-0K070-</t>
  </si>
  <si>
    <t>41306-0K010-</t>
  </si>
  <si>
    <t>SPIDER SUB-ASSY,DIFFERENTIAL</t>
  </si>
  <si>
    <t>HKR</t>
  </si>
  <si>
    <t>41306-0K020-</t>
  </si>
  <si>
    <t>SHAFT SUB-ASSY,DIFF SIDE GEAR INTER</t>
  </si>
  <si>
    <t>41308-35010-1</t>
  </si>
  <si>
    <t>41311-0K010-</t>
  </si>
  <si>
    <t>CASE.DIFFERENTIAL</t>
  </si>
  <si>
    <t>41311-0K060-</t>
  </si>
  <si>
    <t>41311-0K070-</t>
  </si>
  <si>
    <t>41312-35040-</t>
  </si>
  <si>
    <t>CASE,DIFFERENTIAL,LH</t>
  </si>
  <si>
    <t>41315-0K010-</t>
  </si>
  <si>
    <t>NUT,DIFFERENTIAL BEARING ADJUSTING</t>
  </si>
  <si>
    <t>41316-0K010-</t>
  </si>
  <si>
    <t>LOCK,DIFF BEARING ADJUSTING NUT,NO.1</t>
  </si>
  <si>
    <t>41320-0K010-</t>
  </si>
  <si>
    <t>TUBE ASSY,DIFFERENTIAL</t>
  </si>
  <si>
    <t>41321-0K020-</t>
  </si>
  <si>
    <t>SHAFT,DIFF,SIDE GEAR INTERMEDIATE,NO.</t>
  </si>
  <si>
    <t>41342-0K010-</t>
  </si>
  <si>
    <t>SHAFT,DIFFERENTIAL PINION</t>
  </si>
  <si>
    <t>41351-0K010-</t>
  </si>
  <si>
    <t>WASHER,DIFFERENTIAL PINION THRUST</t>
  </si>
  <si>
    <t>41351-0K020-</t>
  </si>
  <si>
    <t>41361-0K010-</t>
  </si>
  <si>
    <t>WASHER,DIFFERENTIAL SIDE GEAR THRUST</t>
  </si>
  <si>
    <t>41361-0K020-</t>
  </si>
  <si>
    <t>41361-0K030-</t>
  </si>
  <si>
    <t>41361-0K040-</t>
  </si>
  <si>
    <t>41361-0K050-</t>
  </si>
  <si>
    <t>41361-0K060-</t>
  </si>
  <si>
    <t>41361-0K070-</t>
  </si>
  <si>
    <t>41361-0K080-</t>
  </si>
  <si>
    <t>41361-0K090-</t>
  </si>
  <si>
    <t>41361-0K100-</t>
  </si>
  <si>
    <t>41361-0K120-</t>
  </si>
  <si>
    <t>41361-0K130-</t>
  </si>
  <si>
    <t>41361-0K140-</t>
  </si>
  <si>
    <t>41361-0K150-</t>
  </si>
  <si>
    <t>41361-0K160-</t>
  </si>
  <si>
    <t>41361-0K170-</t>
  </si>
  <si>
    <t>41361-0K180-</t>
  </si>
  <si>
    <t>41361-0K190-</t>
  </si>
  <si>
    <t>41361-0K200-</t>
  </si>
  <si>
    <t>41361-0K210-</t>
  </si>
  <si>
    <t>SPIDER,DIFFERENTIAL</t>
  </si>
  <si>
    <t>41385-0K010-</t>
  </si>
  <si>
    <t>PLATE,CLUTCH</t>
  </si>
  <si>
    <t>41388-35020-1</t>
  </si>
  <si>
    <t>41434-35030-1</t>
  </si>
  <si>
    <t>HUB,DIFFERENTIAL CLUTCH</t>
  </si>
  <si>
    <t>41993-0K010-</t>
  </si>
  <si>
    <t>LABEL,DIFFERENTIAL OIL</t>
  </si>
  <si>
    <t>TSUCHIYA</t>
  </si>
  <si>
    <t>42110-0K010-</t>
  </si>
  <si>
    <t>42110-0K020-</t>
  </si>
  <si>
    <t>42110-0K060-</t>
  </si>
  <si>
    <t>NRC</t>
  </si>
  <si>
    <t>42301-0K010-</t>
  </si>
  <si>
    <t>SHAFT SUB-ASSY,RR AXLE</t>
  </si>
  <si>
    <t>42301-0K020-</t>
  </si>
  <si>
    <t>42301-0K030-</t>
  </si>
  <si>
    <t>42301-0K040-</t>
  </si>
  <si>
    <t>42311-0K010-</t>
  </si>
  <si>
    <t>42311-0K020-</t>
  </si>
  <si>
    <t>42311-0K030-</t>
  </si>
  <si>
    <t>42311-0K040-</t>
  </si>
  <si>
    <t>CASE,RR AXLE BEARING</t>
  </si>
  <si>
    <t>42441-26010-1</t>
  </si>
  <si>
    <t>42441-35020-1</t>
  </si>
  <si>
    <t>42443-30010-1</t>
  </si>
  <si>
    <t>GASKET,BRAKE DRUM OIL DEFLECTOR</t>
  </si>
  <si>
    <t>GASKET,BRAKE OIL DEFLECTOR</t>
  </si>
  <si>
    <t>42443-55020-1</t>
  </si>
  <si>
    <t>43211-0K030-</t>
  </si>
  <si>
    <t>43211-0K040-</t>
  </si>
  <si>
    <t>43212-0K030-</t>
  </si>
  <si>
    <t>43212-0K040-</t>
  </si>
  <si>
    <t>43502-0K010-</t>
  </si>
  <si>
    <t>510010K700</t>
  </si>
  <si>
    <t>HUB SUB-ASSY,FR AXLE</t>
  </si>
  <si>
    <t>43502-0K030-</t>
  </si>
  <si>
    <t>43502-0K050-</t>
  </si>
  <si>
    <t>CABLE ASSY,PARKING BRAKE,NO.2</t>
  </si>
  <si>
    <t>CTC</t>
  </si>
  <si>
    <t>CYLINDER ASSY,WHEEL BRAKE,RR</t>
  </si>
  <si>
    <t>48404-0K010-</t>
  </si>
  <si>
    <t>BRACKET SUB-ASSY,SPRING,NO.3RH</t>
  </si>
  <si>
    <t>48404-0K020-</t>
  </si>
  <si>
    <t>48404-0K030-</t>
  </si>
  <si>
    <t>48405-0K010-</t>
  </si>
  <si>
    <t>BRACKET SUB-ASSY,SPRING,NO.4</t>
  </si>
  <si>
    <t>48407-0K010-</t>
  </si>
  <si>
    <t>BRACKET SUB-ASSY,SPRING,NO.3 LH</t>
  </si>
  <si>
    <t>48407-0K020-</t>
  </si>
  <si>
    <t>48407-0K030-</t>
  </si>
  <si>
    <t>48416-0K010-</t>
  </si>
  <si>
    <t>BRACKET,SPRING,NO.4</t>
  </si>
  <si>
    <t>48505-0K010-</t>
  </si>
  <si>
    <t>BRACKET SUB-ASSY,RR SHOCK ABSORBER,UPR</t>
  </si>
  <si>
    <t>ARM SUB-ASSY,SUSPENSION,UPR RH</t>
  </si>
  <si>
    <t>ARM SUB-ASSY,SUSPENSION,UPR LH</t>
  </si>
  <si>
    <t>FRAME SUB-ASSY</t>
  </si>
  <si>
    <t>51001-0K380-</t>
  </si>
  <si>
    <t>51021-0K010-</t>
  </si>
  <si>
    <t>CROSSMEMBER SUB-ASSY,FRAME AUXILIARY</t>
  </si>
  <si>
    <t>51021-0K020-</t>
  </si>
  <si>
    <t>51025-0K010-</t>
  </si>
  <si>
    <t>BRACKET SUB-ASSY,FRM NO.3 C/MEMBER,RH</t>
  </si>
  <si>
    <t>51026-0K010-</t>
  </si>
  <si>
    <t>BRACKET SUB-ASSY,FRM NO.3 C/MEMBER,LH</t>
  </si>
  <si>
    <t>51035-0K010-</t>
  </si>
  <si>
    <t>PLATE SUB-ASSY,FRAME SIDE RAIL,RH</t>
  </si>
  <si>
    <t>51036-0K010-</t>
  </si>
  <si>
    <t>PLATE SUB-ASSY,FRAME SIDE RAIL,LH</t>
  </si>
  <si>
    <t>51071-0K020-</t>
  </si>
  <si>
    <t>BRACKET SUB-ASSY,RR BODY MT,NO.1 RH</t>
  </si>
  <si>
    <t>51071-0K030-</t>
  </si>
  <si>
    <t>51072-0K030-</t>
  </si>
  <si>
    <t>51073-0K010-</t>
  </si>
  <si>
    <t>BRACKET SUB-ASSY,RR BODY MT,NO.2 RH</t>
  </si>
  <si>
    <t>51074-0K010-</t>
  </si>
  <si>
    <t>BRACKET SUB-ASSY,RR BODY MT,NO.2 LH</t>
  </si>
  <si>
    <t>51075-0K010-</t>
  </si>
  <si>
    <t>BRACKET SUB-ASSY,RR BODY MT,NO.3 RH</t>
  </si>
  <si>
    <t>510010K160</t>
  </si>
  <si>
    <t>510010KC40</t>
  </si>
  <si>
    <t>51203-0K051-</t>
  </si>
  <si>
    <t>51204-0K032-</t>
  </si>
  <si>
    <t>51204-0K052-</t>
  </si>
  <si>
    <t>512040K042</t>
  </si>
  <si>
    <t>411100K081</t>
  </si>
  <si>
    <t>90149-80020-1</t>
  </si>
  <si>
    <t>SCREW</t>
  </si>
  <si>
    <t>DEFLECTOR,BRAKE DRUM OIL</t>
  </si>
  <si>
    <t>BRACKET SUB-ASSY,RR BODY MT,NO.4 RH</t>
  </si>
  <si>
    <t>51093-0K020-</t>
  </si>
  <si>
    <t>HOOK SUB-ASSY,TRANSPORT,FR</t>
  </si>
  <si>
    <t>51201-0K010-</t>
  </si>
  <si>
    <t>51202-0K010-</t>
  </si>
  <si>
    <t>51203-0K010-</t>
  </si>
  <si>
    <t>CROSSMEMBER S/A, FRAME, NO.3</t>
  </si>
  <si>
    <t>51204-0K020-</t>
  </si>
  <si>
    <t>51204-0K060-</t>
  </si>
  <si>
    <t>51205-0K030-</t>
  </si>
  <si>
    <t>435120K090</t>
  </si>
  <si>
    <t>DISC, FR</t>
  </si>
  <si>
    <t>435120K140</t>
  </si>
  <si>
    <t>435120K060</t>
  </si>
  <si>
    <t>435120K010</t>
  </si>
  <si>
    <t>044650K090</t>
  </si>
  <si>
    <t>PAD KIT, FR DISC BRAKE L/FITTING PARTS</t>
  </si>
  <si>
    <t>472010K020</t>
  </si>
  <si>
    <t>CYLINDER SUB-ASSY, BRAKE MASTER</t>
  </si>
  <si>
    <t>435120K120</t>
  </si>
  <si>
    <t>044780K130</t>
  </si>
  <si>
    <t>CYLINDER KIT, FR DISC BRAKE</t>
  </si>
  <si>
    <t>472010K010</t>
  </si>
  <si>
    <t>044650K340</t>
  </si>
  <si>
    <t>PAD KIT, DISC BRAKE L/FITTING PARTS, FR</t>
  </si>
  <si>
    <t>472010K040</t>
  </si>
  <si>
    <t>044950K120</t>
  </si>
  <si>
    <t>SHOE KIT, BRAKE, RR</t>
  </si>
  <si>
    <t>477300K061</t>
  </si>
  <si>
    <t>CYLINDER ASSY, DISC BRAKE, RH</t>
  </si>
  <si>
    <t>472010K030</t>
  </si>
  <si>
    <t>0447904030</t>
  </si>
  <si>
    <t>CYLINDER KIT, DISC BRAKE, FR</t>
  </si>
  <si>
    <t>044780K150</t>
  </si>
  <si>
    <t>049470K040</t>
  </si>
  <si>
    <t>FITTING KIT,DISC BRAKE, FR</t>
  </si>
  <si>
    <t>446100K180</t>
  </si>
  <si>
    <t>BOOSTER ASSY, BRAKE</t>
  </si>
  <si>
    <t>479100K020</t>
  </si>
  <si>
    <t>VALVE ASSY,</t>
  </si>
  <si>
    <t>446100K150</t>
  </si>
  <si>
    <t>049450K220</t>
  </si>
  <si>
    <t>SHIM KIT,ANTI SQUEAL, FR</t>
  </si>
  <si>
    <t>446100K140</t>
  </si>
  <si>
    <t>044650K020</t>
  </si>
  <si>
    <t>PAD KIT,4X4 15 S12W P/U</t>
  </si>
  <si>
    <t>446100K110</t>
  </si>
  <si>
    <t>472010K161</t>
  </si>
  <si>
    <t>477300K140</t>
  </si>
  <si>
    <t>477300K110</t>
  </si>
  <si>
    <t>446100K220</t>
  </si>
  <si>
    <t>477310K060</t>
  </si>
  <si>
    <t>PISTON, DISC BRAKE</t>
  </si>
  <si>
    <t>472010K140</t>
  </si>
  <si>
    <t>044650K260</t>
  </si>
  <si>
    <t>PAD KIT,DISC BRAKE L/FITTING PARTS, FR</t>
  </si>
  <si>
    <t>446100K120</t>
  </si>
  <si>
    <t>044930K010</t>
  </si>
  <si>
    <t>PISTON KIT, BRAKE MASTER CYLINDER</t>
  </si>
  <si>
    <t>477300K190</t>
  </si>
  <si>
    <t>472010K142</t>
  </si>
  <si>
    <t>446100K030</t>
  </si>
  <si>
    <t>4351206121</t>
  </si>
  <si>
    <t>477500K190</t>
  </si>
  <si>
    <t>CYLINDER ASSY, DISC BRAKE, LH</t>
  </si>
  <si>
    <t>479000K050</t>
  </si>
  <si>
    <t>VALVE ASSY, LOAD SENSING W/SPRING</t>
  </si>
  <si>
    <t>472010K160</t>
  </si>
  <si>
    <t>049470K080</t>
  </si>
  <si>
    <t>FITTING KIT, DISC BRAKE, FR</t>
  </si>
  <si>
    <t>477500K061</t>
  </si>
  <si>
    <t>049470K010</t>
  </si>
  <si>
    <t>FITTING KIT</t>
  </si>
  <si>
    <t>446100K020</t>
  </si>
  <si>
    <t>044780K110</t>
  </si>
  <si>
    <t>4792404010</t>
  </si>
  <si>
    <t>BUSH, LOAD SENSING VALVE</t>
  </si>
  <si>
    <t>4473022150</t>
  </si>
  <si>
    <t>VALVE ASSY, VACUUM CHECK</t>
  </si>
  <si>
    <t>472010K150</t>
  </si>
  <si>
    <t>446100K040</t>
  </si>
  <si>
    <t>446100K210</t>
  </si>
  <si>
    <t>477500K140</t>
  </si>
  <si>
    <t>044650K330</t>
  </si>
  <si>
    <t>479000K040</t>
  </si>
  <si>
    <t>472300K010</t>
  </si>
  <si>
    <t>CAP ASSY, RESERVOIR FILLER</t>
  </si>
  <si>
    <t>477210K110</t>
  </si>
  <si>
    <t>MOUNTING, DISC BRAKE CYLINDER, RH</t>
  </si>
  <si>
    <t>446100K190</t>
  </si>
  <si>
    <t>044650K290</t>
  </si>
  <si>
    <t>472010K162</t>
  </si>
  <si>
    <t>049450K250</t>
  </si>
  <si>
    <t>472010K172</t>
  </si>
  <si>
    <t>470430K050</t>
  </si>
  <si>
    <t>PLATE SUB-ASSY,</t>
  </si>
  <si>
    <t>472200K080</t>
  </si>
  <si>
    <t>RESERVOIR ASSY, MASTER CYLINDER</t>
  </si>
  <si>
    <t>4722009070</t>
  </si>
  <si>
    <t>RESERVOIR SET, MASTER CYLINDER</t>
  </si>
  <si>
    <t>044780D130</t>
  </si>
  <si>
    <t>CYLINDER KIT,FR DISC BRAKE</t>
  </si>
  <si>
    <t>049420K130</t>
  </si>
  <si>
    <t>SPRING KIT, RR DRUM BRAKE</t>
  </si>
  <si>
    <t>4725516010</t>
  </si>
  <si>
    <t>GROMMET, RESERVOIR</t>
  </si>
  <si>
    <t>470440K050</t>
  </si>
  <si>
    <t>472990K010</t>
  </si>
  <si>
    <t>STRAINER,</t>
  </si>
  <si>
    <t>9002920059</t>
  </si>
  <si>
    <t>049450K240</t>
  </si>
  <si>
    <t>4774935040</t>
  </si>
  <si>
    <t>CLIP, PIN HOLD</t>
  </si>
  <si>
    <t>477300K010</t>
  </si>
  <si>
    <t>477500K110</t>
  </si>
  <si>
    <t>411103D561</t>
  </si>
  <si>
    <t>CARRIER ASSY, DIFFERENTIAL</t>
  </si>
  <si>
    <t>472010K152</t>
  </si>
  <si>
    <t>4351206120</t>
  </si>
  <si>
    <t>4110135160</t>
  </si>
  <si>
    <t>CARRIER SUB-ASSY, DIFFERENTIAL</t>
  </si>
  <si>
    <t>049420K080</t>
  </si>
  <si>
    <t>479200K010</t>
  </si>
  <si>
    <t>SPRING ASSY, LOAD SENSING</t>
  </si>
  <si>
    <t>0494735050</t>
  </si>
  <si>
    <t>4793704010</t>
  </si>
  <si>
    <t>PLATE, LOAD SENSING VALVE SET</t>
  </si>
  <si>
    <t>044650K210</t>
  </si>
  <si>
    <t>90311T0032</t>
  </si>
  <si>
    <t>SEAL, TYPE T OIL</t>
  </si>
  <si>
    <t>4773135040</t>
  </si>
  <si>
    <t>477480K190</t>
  </si>
  <si>
    <t>SPRING, ANTI-RATTLE</t>
  </si>
  <si>
    <t>STM</t>
  </si>
  <si>
    <t>044650K140</t>
  </si>
  <si>
    <t>BOLT</t>
  </si>
  <si>
    <t>472200K020</t>
  </si>
  <si>
    <t>90016AA201</t>
  </si>
  <si>
    <t>51209-0K010-</t>
  </si>
  <si>
    <t>CROSSMEMBER SUB-ASSY,FRAME,RR</t>
  </si>
  <si>
    <t>51257-0K010-</t>
  </si>
  <si>
    <t>REINFORCEMENT,FRAME NO.5 C/MEMBER,RH</t>
  </si>
  <si>
    <t>VCS</t>
  </si>
  <si>
    <t>51401-0K010-</t>
  </si>
  <si>
    <t>BRACKET SUB-ASSY,ENGINE FR MOUNTING,RH</t>
  </si>
  <si>
    <t>51401-0K020-</t>
  </si>
  <si>
    <t>51402-0K010-</t>
  </si>
  <si>
    <t>BRACKET SUB-ASSY,ENGINE FR MOUNTING,LH</t>
  </si>
  <si>
    <t>51402-0K020-</t>
  </si>
  <si>
    <t>51501-0K010-</t>
  </si>
  <si>
    <t>SUPPORT SUB-ASSY,SUSPENSION ARM,RH</t>
  </si>
  <si>
    <t>51501-0K020-</t>
  </si>
  <si>
    <t>51502-0K010-</t>
  </si>
  <si>
    <t>51230-0K041-83</t>
  </si>
  <si>
    <t>51230-0K051-83</t>
  </si>
  <si>
    <t>42115-0K060-83</t>
  </si>
  <si>
    <t>42115-0K070-83</t>
  </si>
  <si>
    <t>42121-0K060-83</t>
  </si>
  <si>
    <t>END, RR AXLE HOUSING</t>
  </si>
  <si>
    <t>END, RR AXLE HOUSING, RH</t>
  </si>
  <si>
    <t>END, RR AXLE HOUSING, LH</t>
  </si>
  <si>
    <t>42122-0K020-83</t>
  </si>
  <si>
    <t>42121-0K070-83</t>
  </si>
  <si>
    <t>AIT</t>
  </si>
  <si>
    <t>65767-0K010-83</t>
  </si>
  <si>
    <t>PLATE, TAIL GATE LOCK CONTROL</t>
  </si>
  <si>
    <t>65716-0K010-83</t>
  </si>
  <si>
    <t>REINFORCEMENT, RR BODY TAIL GATE SIDE, RH</t>
  </si>
  <si>
    <t>Final Distributor Code   ***   The following countries are distributors in export. Please see item 2 in TWC.</t>
  </si>
  <si>
    <t>Code</t>
  </si>
  <si>
    <t>Country</t>
  </si>
  <si>
    <t>Dealer Code  *** The following dealers are TMT dealers in domestic. Please see the item 4 in TWC.</t>
  </si>
  <si>
    <t>Vorachak Yont</t>
  </si>
  <si>
    <t>T . Pathumthani</t>
  </si>
  <si>
    <t>T. Umnatcharoen</t>
  </si>
  <si>
    <t>S.P.I</t>
  </si>
  <si>
    <t>T . Singhaburi</t>
  </si>
  <si>
    <t>T. Amata</t>
  </si>
  <si>
    <t>Chareonthai</t>
  </si>
  <si>
    <t>T. Kosit andthong</t>
  </si>
  <si>
    <t>T. Keanakorn</t>
  </si>
  <si>
    <t>Phithan Bkk</t>
  </si>
  <si>
    <t>T. Samustsongkram</t>
  </si>
  <si>
    <t>Bara windsor</t>
  </si>
  <si>
    <t>T .Nakhornnayok</t>
  </si>
  <si>
    <t>Thaiyont Chol.</t>
  </si>
  <si>
    <t>T. Krungtep yont</t>
  </si>
  <si>
    <t>T . Thajean</t>
  </si>
  <si>
    <t>T. Chandburi</t>
  </si>
  <si>
    <t>T.K.Motor</t>
  </si>
  <si>
    <t>T. Chaithong Chainat</t>
  </si>
  <si>
    <t>T. Rayong</t>
  </si>
  <si>
    <t>T. Metropolitan</t>
  </si>
  <si>
    <t>T. Pratunumpra-in</t>
  </si>
  <si>
    <t>T. Chachemsao</t>
  </si>
  <si>
    <t>T. Thonburi</t>
  </si>
  <si>
    <t>T . Nakornsawan</t>
  </si>
  <si>
    <t>T. Prechinburi</t>
  </si>
  <si>
    <t>T. Summit</t>
  </si>
  <si>
    <t>T. Petchaboon</t>
  </si>
  <si>
    <t>T. Trad</t>
  </si>
  <si>
    <t>T. Narumit</t>
  </si>
  <si>
    <t>T . Pare</t>
  </si>
  <si>
    <t>T. Srakeaw</t>
  </si>
  <si>
    <t>Lexus Bkk</t>
  </si>
  <si>
    <t>T . Lampang</t>
  </si>
  <si>
    <t>T. Interyont</t>
  </si>
  <si>
    <t>T. Paragon</t>
  </si>
  <si>
    <t>Alinkig Siam</t>
  </si>
  <si>
    <t>T. Pattaya 1998</t>
  </si>
  <si>
    <t xml:space="preserve">T. Krungtep </t>
  </si>
  <si>
    <t>T . Sukhothai</t>
  </si>
  <si>
    <t>T. Vision</t>
  </si>
  <si>
    <t>T. Aknimit</t>
  </si>
  <si>
    <t>T . Chieng Rai</t>
  </si>
  <si>
    <t>T. Pavilian</t>
  </si>
  <si>
    <t>T.P.S Enterprice</t>
  </si>
  <si>
    <t>T . Phayao</t>
  </si>
  <si>
    <t>T. Chandburi 1</t>
  </si>
  <si>
    <t xml:space="preserve">T. Petra </t>
  </si>
  <si>
    <t>T . Nan Lortrakul</t>
  </si>
  <si>
    <t>T.  Choompon</t>
  </si>
  <si>
    <t>580260D020</t>
  </si>
  <si>
    <t>FR FLOOR PANEL SIDE LH</t>
  </si>
  <si>
    <t>T. Libra</t>
  </si>
  <si>
    <t>T . Pissanulok</t>
  </si>
  <si>
    <t>Phithan Haad - Yai</t>
  </si>
  <si>
    <t>T. Poompattana</t>
  </si>
  <si>
    <t>T . Taklee</t>
  </si>
  <si>
    <t>Phithan Pattani</t>
  </si>
  <si>
    <t>T.@ United</t>
  </si>
  <si>
    <t>T . Muang Tak</t>
  </si>
  <si>
    <t>T. Ranong</t>
  </si>
  <si>
    <t>T. Bangna</t>
  </si>
  <si>
    <t>T . Kampangpeth</t>
  </si>
  <si>
    <t>T. Pang - Nga</t>
  </si>
  <si>
    <t>T. Bangkok</t>
  </si>
  <si>
    <t>T . Uttaredit</t>
  </si>
  <si>
    <t>T. Surajthani</t>
  </si>
  <si>
    <t>T. Friendship</t>
  </si>
  <si>
    <t>T . Uthaithani</t>
  </si>
  <si>
    <t>T. Pearl</t>
  </si>
  <si>
    <t>T. Empriseyont</t>
  </si>
  <si>
    <t>T . Chieng Mai</t>
  </si>
  <si>
    <t>Phithai Yala</t>
  </si>
  <si>
    <t>T. Siam Auto Salon</t>
  </si>
  <si>
    <t>T . Lanna</t>
  </si>
  <si>
    <t>Phithai N'Tivas</t>
  </si>
  <si>
    <t>T.J.D Cars</t>
  </si>
  <si>
    <t>T . Nakornping</t>
  </si>
  <si>
    <t>T. Pattalung</t>
  </si>
  <si>
    <t>T. Nakornthom</t>
  </si>
  <si>
    <t>T . Northern Lampang</t>
  </si>
  <si>
    <t>T. Nakornsritamraj</t>
  </si>
  <si>
    <t>T. Muangnont</t>
  </si>
  <si>
    <t>T . Nakornrajsima</t>
  </si>
  <si>
    <t>T. Songkla</t>
  </si>
  <si>
    <t>T. Chairatchakarn</t>
  </si>
  <si>
    <t>T . Surint</t>
  </si>
  <si>
    <t>T. Muang Trang</t>
  </si>
  <si>
    <t>Suvarnabhumi</t>
  </si>
  <si>
    <t>T . Srisakes</t>
  </si>
  <si>
    <t>T. Andaman Krabi</t>
  </si>
  <si>
    <t>T.Buzz</t>
  </si>
  <si>
    <t>T . Mahasarakarm</t>
  </si>
  <si>
    <t>T. Toyota Body serv.</t>
  </si>
  <si>
    <t>T.Kanchanathep</t>
  </si>
  <si>
    <t>T . Sakolnakorn</t>
  </si>
  <si>
    <t>T.Lexus Sukhumvit</t>
  </si>
  <si>
    <t>T . Ubol</t>
  </si>
  <si>
    <t>T. Lexus Auto</t>
  </si>
  <si>
    <t>T . Khonkean</t>
  </si>
  <si>
    <t>T. Nonthaburi</t>
  </si>
  <si>
    <t>T . Udon</t>
  </si>
  <si>
    <t>T. Nakornpathom</t>
  </si>
  <si>
    <t>T . Chaiyapoom</t>
  </si>
  <si>
    <t>T. Suphanburi</t>
  </si>
  <si>
    <t>T. Nakornpanom</t>
  </si>
  <si>
    <t>T. Chareonkha</t>
  </si>
  <si>
    <t>T . Roi-ed</t>
  </si>
  <si>
    <t>T. Petchburi</t>
  </si>
  <si>
    <t>T . Burirum</t>
  </si>
  <si>
    <t>T. Saraburi</t>
  </si>
  <si>
    <t>T . Muang Loey</t>
  </si>
  <si>
    <t>T. Ayudhaya</t>
  </si>
  <si>
    <t>T . Mukdaharn</t>
  </si>
  <si>
    <t>T. Lopburi</t>
  </si>
  <si>
    <t>T. Korat 1988</t>
  </si>
  <si>
    <t>T. Samutsakorn</t>
  </si>
  <si>
    <t>T . Kalasin</t>
  </si>
  <si>
    <t>T. Prachuab</t>
  </si>
  <si>
    <t>T . Yasothorn</t>
  </si>
  <si>
    <t>T. Karnchanburi</t>
  </si>
  <si>
    <t>T . Nongkai</t>
  </si>
  <si>
    <t>Remark : Monitor Dealers send</t>
  </si>
  <si>
    <t>9036630067</t>
  </si>
  <si>
    <t>9036635087</t>
  </si>
  <si>
    <t>9036650007</t>
  </si>
  <si>
    <t>9036650008</t>
  </si>
  <si>
    <t>9036675001</t>
  </si>
  <si>
    <t>BEARING, TAPERED ROLLER</t>
  </si>
  <si>
    <t>408WF0190</t>
  </si>
  <si>
    <t>9031141009</t>
  </si>
  <si>
    <t>9031141014</t>
  </si>
  <si>
    <t>000GF9EY6</t>
  </si>
  <si>
    <t>SEAL, TYPE T OIL (FR)</t>
  </si>
  <si>
    <t>T. Teerachai</t>
  </si>
  <si>
    <t>T . Nongrong</t>
  </si>
  <si>
    <t>TMT defective parts 100%</t>
  </si>
  <si>
    <t>Canada (Noth America)</t>
  </si>
  <si>
    <t>USA (Noth America)</t>
  </si>
  <si>
    <t>P.Rico (USTT)</t>
  </si>
  <si>
    <t>Guam (USTT)</t>
  </si>
  <si>
    <t>A.Samoa (USTT)</t>
  </si>
  <si>
    <t>Saipan (USTT)</t>
  </si>
  <si>
    <t>Yugoslavia (Europe / East Europe)</t>
  </si>
  <si>
    <t>CIS (TTC) (Europe / East Europe)</t>
  </si>
  <si>
    <t>CIS (Sumitomo) (Europe / East Europe)</t>
  </si>
  <si>
    <t>CIS (Nissho) (Europe / East Europe)</t>
  </si>
  <si>
    <t>CIS (Mitsui) (Europe / East Europe)</t>
  </si>
  <si>
    <t>Spain © (Europe / East Europe)</t>
  </si>
  <si>
    <t>Spain (M) (Europe / East Europe)</t>
  </si>
  <si>
    <t>Belgium (Europe)</t>
  </si>
  <si>
    <t>Belgium(TMME) (Europe)</t>
  </si>
  <si>
    <t>Denmark (Europe)</t>
  </si>
  <si>
    <t>U.Kingdom (Europe)</t>
  </si>
  <si>
    <t>Finland (Europe)</t>
  </si>
  <si>
    <t>France (Europe)</t>
  </si>
  <si>
    <t>Ireland (Europe)</t>
  </si>
  <si>
    <t>Italy (TMI) (Europe)</t>
  </si>
  <si>
    <t>Portugal (Europe)</t>
  </si>
  <si>
    <t>Share Ratio (TH)</t>
  </si>
  <si>
    <t>Share Ratio (MSP)</t>
  </si>
  <si>
    <t>517060K020</t>
  </si>
  <si>
    <t>517070K010</t>
  </si>
  <si>
    <t>517080K010</t>
  </si>
  <si>
    <t>517090K010</t>
  </si>
  <si>
    <t>517310K010</t>
  </si>
  <si>
    <t>520110K010</t>
  </si>
  <si>
    <t>520120K010</t>
  </si>
  <si>
    <t>520210K020</t>
  </si>
  <si>
    <t>520210K022</t>
  </si>
  <si>
    <t>520210K030</t>
  </si>
  <si>
    <t>520230K010</t>
  </si>
  <si>
    <t>520230K020</t>
  </si>
  <si>
    <t>521050K010</t>
  </si>
  <si>
    <t>521050K021</t>
  </si>
  <si>
    <t>521050K061</t>
  </si>
  <si>
    <t>521590K010</t>
  </si>
  <si>
    <t>521630K010</t>
  </si>
  <si>
    <t>521790K010</t>
  </si>
  <si>
    <t>521640K010</t>
  </si>
  <si>
    <t>570130K010</t>
  </si>
  <si>
    <t>577710K010</t>
  </si>
  <si>
    <t>580620K010</t>
  </si>
  <si>
    <t>581290K010</t>
  </si>
  <si>
    <t>51001-0K852-</t>
  </si>
  <si>
    <t>51001-0K862-</t>
  </si>
  <si>
    <t>51001-0K872-</t>
  </si>
  <si>
    <t>51001-0K882-</t>
  </si>
  <si>
    <t>51001-0K892-</t>
  </si>
  <si>
    <t>51001-0KA42-</t>
  </si>
  <si>
    <t>51001-0KA61-</t>
  </si>
  <si>
    <t>51001-0KA51-</t>
  </si>
  <si>
    <t>51001-0KB21</t>
  </si>
  <si>
    <t>51001-0KB81</t>
  </si>
  <si>
    <t>51204-0K100-</t>
  </si>
  <si>
    <t>51077-0K011-</t>
  </si>
  <si>
    <t>51203-0K021-</t>
  </si>
  <si>
    <t>47931-0K020-83</t>
  </si>
  <si>
    <t>BRACKET, LOAD SENSING VALVE</t>
  </si>
  <si>
    <t>51001-0KA81-</t>
  </si>
  <si>
    <t>51001-0K781-</t>
  </si>
  <si>
    <t>65632-0K020-83</t>
  </si>
  <si>
    <t>65655-0K010-83</t>
  </si>
  <si>
    <t>BRACKET, WHEEL HOUSE SEAL, FR</t>
  </si>
  <si>
    <t>65721-0K010-83</t>
  </si>
  <si>
    <t>RAIL, TAIL GATE BOTTOM</t>
  </si>
  <si>
    <t>65721-0K020-83</t>
  </si>
  <si>
    <t>65727-0K010-83</t>
  </si>
  <si>
    <t>65728-0K010-83</t>
  </si>
  <si>
    <t>BRACKET, TAIL GATE BUMPER STOP, RH</t>
  </si>
  <si>
    <t>BRACKET, TAIL GATE BUMPER STOP, LH</t>
  </si>
  <si>
    <t>REINFORCEMENT, TAIL GATE PANEL</t>
  </si>
  <si>
    <t>REINFORCEMENT, TAIL GATE PANEL, LH</t>
  </si>
  <si>
    <t>657410K010</t>
  </si>
  <si>
    <t>657420K010</t>
  </si>
  <si>
    <t>65758-0K030-83</t>
  </si>
  <si>
    <t>65758-0K040-83</t>
  </si>
  <si>
    <t>SEAL, TAIL GATE, LWR</t>
  </si>
  <si>
    <t>LOC</t>
  </si>
  <si>
    <t>65783-0K010-83</t>
  </si>
  <si>
    <t>65784-0K010-83</t>
  </si>
  <si>
    <t>66115-0K020-83</t>
  </si>
  <si>
    <t>RETAINER, TAIL GATE HINGE</t>
  </si>
  <si>
    <t>510010K770</t>
  </si>
  <si>
    <t>HMMT1</t>
  </si>
  <si>
    <t>48404-0K040-</t>
  </si>
  <si>
    <t>48407-0K040-</t>
  </si>
  <si>
    <t>510010K820</t>
  </si>
  <si>
    <t>510010K810</t>
  </si>
  <si>
    <t>510010K850</t>
  </si>
  <si>
    <t>510010K860</t>
  </si>
  <si>
    <t>510010K880</t>
  </si>
  <si>
    <t>510010K890</t>
  </si>
  <si>
    <t>510010KA40</t>
  </si>
  <si>
    <t>421100K401</t>
  </si>
  <si>
    <t>421100K361</t>
  </si>
  <si>
    <t>520210K031</t>
  </si>
  <si>
    <t>BRACKET,EXHAUST PIPE SUPPORT,NO.1</t>
  </si>
  <si>
    <t>510720K010</t>
  </si>
  <si>
    <t>CROSSMEMBER SUB-ASSY,FRAME NO.1</t>
  </si>
  <si>
    <t>CROSSMEMBER SUB-ASSY,FRAME NO.2</t>
  </si>
  <si>
    <t>CROSSMEMBER SUB-ASSY,FRAME NO.5</t>
  </si>
  <si>
    <t>Holland (Europe)</t>
  </si>
  <si>
    <t>Norway (Europe)</t>
  </si>
  <si>
    <t>Switzerland (Europe)</t>
  </si>
  <si>
    <t>Spain (Europe)</t>
  </si>
  <si>
    <t>Sweden (Europe)</t>
  </si>
  <si>
    <t>Germany (Europe)</t>
  </si>
  <si>
    <t>Austaria (Europe)</t>
  </si>
  <si>
    <t>Icelabd (Europe)</t>
  </si>
  <si>
    <t>Gibraltar (Europe)</t>
  </si>
  <si>
    <t>Cyprus (Europe)</t>
  </si>
  <si>
    <t>Greece (Europe)</t>
  </si>
  <si>
    <t>Malta (Europe)</t>
  </si>
  <si>
    <t>41201-09B50</t>
  </si>
  <si>
    <t>41201-09B10</t>
  </si>
  <si>
    <t>41201-09B20</t>
  </si>
  <si>
    <t>41201-09B30</t>
  </si>
  <si>
    <t>41201-09B40</t>
  </si>
  <si>
    <t>Czech (Europe)</t>
  </si>
  <si>
    <t>Hungary (TMHK) (Europe)</t>
  </si>
  <si>
    <t>Poland (Europe)</t>
  </si>
  <si>
    <t>Argentina (TASA) (South America)</t>
  </si>
  <si>
    <t>Bolivia (Toyosa) (South America)</t>
  </si>
  <si>
    <t>Bolivia (South America)</t>
  </si>
  <si>
    <t>Brasill (TDB) (South America)</t>
  </si>
  <si>
    <t>Guyana (South America)</t>
  </si>
  <si>
    <t>Chile (South America)</t>
  </si>
  <si>
    <t>Colombia (South America)</t>
  </si>
  <si>
    <t>Ecuador (South America)</t>
  </si>
  <si>
    <t>F. Guiana (South America)</t>
  </si>
  <si>
    <t>Aruba (South America)</t>
  </si>
  <si>
    <t>Curacao (South America)</t>
  </si>
  <si>
    <t>Suriname (South America)</t>
  </si>
  <si>
    <t>Paraguay (South America)</t>
  </si>
  <si>
    <t>Peru (South America)</t>
  </si>
  <si>
    <t>Uruguay (South America)</t>
  </si>
  <si>
    <t>Venezuele (TVD) (South America)</t>
  </si>
  <si>
    <t>St. Maarten (South America)</t>
  </si>
  <si>
    <t>Canary (Africa)</t>
  </si>
  <si>
    <t>Algeria ( Jameel) (Africa)</t>
  </si>
  <si>
    <t>Algeria (ICI) (Africa)</t>
  </si>
  <si>
    <t>Angola (Africa)</t>
  </si>
  <si>
    <t>Angola (TTC) (Africa)</t>
  </si>
  <si>
    <t>Cameroons (Africa)</t>
  </si>
  <si>
    <t>Eritrea (Africa)</t>
  </si>
  <si>
    <t>Tchad (Africa)</t>
  </si>
  <si>
    <t>Congo (Africa)</t>
  </si>
  <si>
    <t>Benin (Africa)</t>
  </si>
  <si>
    <t>Djibouti (Africa)</t>
  </si>
  <si>
    <t>Ethiopia (Africa)</t>
  </si>
  <si>
    <t>Somalia (Africa)</t>
  </si>
  <si>
    <t>Gabon (Africa)</t>
  </si>
  <si>
    <t>Zambia (Africa)</t>
  </si>
  <si>
    <t>Ghana (Africa)</t>
  </si>
  <si>
    <t>Guinea (Africa)</t>
  </si>
  <si>
    <t>Cote D'ivoire (Premo) (Africa)</t>
  </si>
  <si>
    <t>Cote D'ivoire (TSA) (Africa)</t>
  </si>
  <si>
    <t>Kenya (Africa)</t>
  </si>
  <si>
    <t>41301-0K011</t>
  </si>
  <si>
    <t>41039-71011</t>
  </si>
  <si>
    <t>41342-0K050</t>
  </si>
  <si>
    <t>SHAFT, DIFFERENTIAL PINION</t>
  </si>
  <si>
    <t>413010K011</t>
  </si>
  <si>
    <t>413420K050</t>
  </si>
  <si>
    <t>Liberia (Africa)</t>
  </si>
  <si>
    <t>Libya (Tomen) (Africa)</t>
  </si>
  <si>
    <t>Madagascar (SORAFI) (Africa)</t>
  </si>
  <si>
    <t>Madagascar (Sasseta) (Africa)</t>
  </si>
  <si>
    <t>Mali (Africa)</t>
  </si>
  <si>
    <t>Malaw I (Africa)</t>
  </si>
  <si>
    <t>Mauritius (Africa)</t>
  </si>
  <si>
    <t>Seychelles (Africa)</t>
  </si>
  <si>
    <t>Togo (Africa)</t>
  </si>
  <si>
    <t>Tanzania (Africa)</t>
  </si>
  <si>
    <t>Sudan (Africa)</t>
  </si>
  <si>
    <t>Reunion (Africa)</t>
  </si>
  <si>
    <t>Mozambique (Africa)</t>
  </si>
  <si>
    <t>Nigeria (TNL) (Africa)</t>
  </si>
  <si>
    <t>Nigeria (WESTEX) (Africa)</t>
  </si>
  <si>
    <t>Morocco (Africa)</t>
  </si>
  <si>
    <t>Morocco (Toyota Du) (Africa)</t>
  </si>
  <si>
    <t>Zaire (Africa)</t>
  </si>
  <si>
    <t>RW anda (Africa)</t>
  </si>
  <si>
    <t>Sierra Leone (Africa)</t>
  </si>
  <si>
    <t>C. Africa (Africa)</t>
  </si>
  <si>
    <t>Senegai (Africa)</t>
  </si>
  <si>
    <t>Uganda (Africa)</t>
  </si>
  <si>
    <t>Tunisia (Africa)</t>
  </si>
  <si>
    <t>Egypt (Africa)</t>
  </si>
  <si>
    <t>Burkina Faso (Africa)</t>
  </si>
  <si>
    <t>Cabo Verde (Africa)</t>
  </si>
  <si>
    <t>Mauritania (Africa)</t>
  </si>
  <si>
    <t>Burundi (Africa)</t>
  </si>
  <si>
    <t>Niger (Africa)</t>
  </si>
  <si>
    <t>Zimbabwe (Africa)</t>
  </si>
  <si>
    <t>PDR of Yemen (Middle East)</t>
  </si>
  <si>
    <t>Iran (Middle East)</t>
  </si>
  <si>
    <t>Isreal (Middle East)</t>
  </si>
  <si>
    <t>Jordan (Middle East)</t>
  </si>
  <si>
    <t>Lebarnon (Middle East)</t>
  </si>
  <si>
    <t>Bahrain (Middle East)</t>
  </si>
  <si>
    <t>Qatar (Middle East)</t>
  </si>
  <si>
    <t>Kuwait (Middle East)</t>
  </si>
  <si>
    <t>Syria (Middle East)</t>
  </si>
  <si>
    <t>UAE (Middle East)</t>
  </si>
  <si>
    <t>Turkey (Middle East)</t>
  </si>
  <si>
    <t>48068-0K060-</t>
  </si>
  <si>
    <t>ARM S/A, SUSPENSION LWR RH W/BUSH</t>
  </si>
  <si>
    <t>480680K060</t>
  </si>
  <si>
    <t>Yemen Arab (Middle East)</t>
  </si>
  <si>
    <t>Saudi  Arabia (Middle East)</t>
  </si>
  <si>
    <t>Bangladesh (Middle East)</t>
  </si>
  <si>
    <t>Oman (Middle East)</t>
  </si>
  <si>
    <t>Afghanistan (Middle East)</t>
  </si>
  <si>
    <t>Bhutan (Middle East)</t>
  </si>
  <si>
    <t>Sri Lanka (Middle East)</t>
  </si>
  <si>
    <t>India (CKD)  (Middle East)</t>
  </si>
  <si>
    <t>Nepal (Middle East)</t>
  </si>
  <si>
    <t>Pakistan (Middle East)</t>
  </si>
  <si>
    <t>Cost Rica (Central America)</t>
  </si>
  <si>
    <t>Dominica (Central America)</t>
  </si>
  <si>
    <t>Guatemale (Central America)</t>
  </si>
  <si>
    <t>Haiti (Central America)</t>
  </si>
  <si>
    <t>Honduras (Central America)</t>
  </si>
  <si>
    <t>Nicaragus (Central America)</t>
  </si>
  <si>
    <t>Panama (Central America)</t>
  </si>
  <si>
    <t>Trindad (Central America)</t>
  </si>
  <si>
    <t>EI Salvador (Central America)</t>
  </si>
  <si>
    <t>Bahamas (Central America)</t>
  </si>
  <si>
    <t>Jamaica (Central America)</t>
  </si>
  <si>
    <t>Barbados (Central America)</t>
  </si>
  <si>
    <t>51205-0k060</t>
  </si>
  <si>
    <t>65017-0K010-</t>
  </si>
  <si>
    <t>42035-04010-83</t>
  </si>
  <si>
    <t>DEFLECTOR SUB-ASSY, BREATHER PLUG OIL</t>
  </si>
  <si>
    <t>TUBE, RR AXLE HOUSING</t>
  </si>
  <si>
    <t>42115-0K010-83</t>
  </si>
  <si>
    <t>42115-0K020-83</t>
  </si>
  <si>
    <t>42126-0K040-83</t>
  </si>
  <si>
    <t>ATTACHMENT, BRAKE 3 WAY</t>
  </si>
  <si>
    <t>42127-0K010-83</t>
  </si>
  <si>
    <t>65700-0K041-</t>
  </si>
  <si>
    <t>65700-0K051-</t>
  </si>
  <si>
    <t>65700-0K101-</t>
  </si>
  <si>
    <t>42181-60020-</t>
  </si>
  <si>
    <t>510010K812</t>
  </si>
  <si>
    <t>510010K884</t>
  </si>
  <si>
    <t>ATTACHMENT, BRAKE TUBE CLAMP, NO.1</t>
  </si>
  <si>
    <t>42127-0K020-83</t>
  </si>
  <si>
    <t>42141-0K010-83</t>
  </si>
  <si>
    <t>90101-11353-</t>
  </si>
  <si>
    <t>90341-18006-</t>
  </si>
  <si>
    <t>90942-02049-</t>
  </si>
  <si>
    <t>90942-02052-</t>
  </si>
  <si>
    <t>ATTACHMENT SKID CONTROL WIRE, NO.1</t>
  </si>
  <si>
    <t>42141-0K020-83</t>
  </si>
  <si>
    <t>ATTACHMENT SKID CONTROL WIRE, NO.2</t>
  </si>
  <si>
    <t>42141-0K030-83</t>
  </si>
  <si>
    <t>42142-0K010-83</t>
  </si>
  <si>
    <t>42142-0K020-83</t>
  </si>
  <si>
    <t>42149-04010-83</t>
  </si>
  <si>
    <t>Rough Idle</t>
  </si>
  <si>
    <t>PLATE, RR AXLE HOUSING OIL DEFLECTOR SET</t>
  </si>
  <si>
    <t>42161-0K020-83</t>
  </si>
  <si>
    <t>BRACKET, UPR ARM, RR RH</t>
  </si>
  <si>
    <t>42162-0K020-83</t>
  </si>
  <si>
    <t>BRACKET, UPR ARM, RR LH</t>
  </si>
  <si>
    <t>42163-0K030-83</t>
  </si>
  <si>
    <t>BRACKET, LWR ARM, RR RH</t>
  </si>
  <si>
    <t>BRACKET, LWR ARM, RR LH</t>
  </si>
  <si>
    <t>42164-0K010-83</t>
  </si>
  <si>
    <t>42201-0K020-83</t>
  </si>
  <si>
    <t>BRACKET SUB-ASSY, LATERAL ROD</t>
  </si>
  <si>
    <t>48406-0K010-83</t>
  </si>
  <si>
    <t>BRACKET SUB-ASSY, RR SHOCK ABSORBER,LWR</t>
  </si>
  <si>
    <t>48507-0K010-83</t>
  </si>
  <si>
    <t>BRACKET SUB-ASSY, SPRING, NO.4LH</t>
  </si>
  <si>
    <t>51177-0K010-83</t>
  </si>
  <si>
    <t>REINFORCE, SIDE RAIL INNER CHAN, NO.5 RH</t>
  </si>
  <si>
    <t>42110-0K421</t>
  </si>
  <si>
    <t>421100K421</t>
  </si>
  <si>
    <t>43517-71010-</t>
  </si>
  <si>
    <t>90310-T0006-</t>
  </si>
  <si>
    <t>90311-T0013-</t>
  </si>
  <si>
    <t>90311-T0015-</t>
  </si>
  <si>
    <t>90311-T0016-</t>
  </si>
  <si>
    <t>?????</t>
  </si>
  <si>
    <t>90341-T0002-</t>
  </si>
  <si>
    <t>PLUG,STRAIGHT SCREW W/HEAD</t>
  </si>
  <si>
    <t>90341-T0003-</t>
  </si>
  <si>
    <t>90363-T0014-</t>
  </si>
  <si>
    <t>90364-T0008-</t>
  </si>
  <si>
    <t>90366-T0010-</t>
  </si>
  <si>
    <t>90366-T0013-</t>
  </si>
  <si>
    <t>90366-T0016-</t>
  </si>
  <si>
    <t>90366-T0019-</t>
  </si>
  <si>
    <t>90366-T0031-</t>
  </si>
  <si>
    <t>90404-08004-1</t>
  </si>
  <si>
    <t>UNION</t>
  </si>
  <si>
    <t>90430-24003-1</t>
  </si>
  <si>
    <t>GASKET</t>
  </si>
  <si>
    <t>90501-T0005-</t>
  </si>
  <si>
    <t>SPRING,COMPRESSION</t>
  </si>
  <si>
    <t>NHK SPRING</t>
  </si>
  <si>
    <t>90501-T0006-</t>
  </si>
  <si>
    <t>90520-T0027-</t>
  </si>
  <si>
    <t>RING,SNAP</t>
  </si>
  <si>
    <t>90520-T0028-</t>
  </si>
  <si>
    <t>90520-T0036-</t>
  </si>
  <si>
    <t>90521-34003-1</t>
  </si>
  <si>
    <t>RING,HOLE SNAP</t>
  </si>
  <si>
    <t>65017-0K030-</t>
  </si>
  <si>
    <t>90521-T0002-</t>
  </si>
  <si>
    <t>FR,RR DIFF</t>
  </si>
  <si>
    <t>90564-35109-1</t>
  </si>
  <si>
    <t>90564-35110-1</t>
  </si>
  <si>
    <t>90564-35111-1</t>
  </si>
  <si>
    <t>90564-35112-1</t>
  </si>
  <si>
    <t>90564-35113-1</t>
  </si>
  <si>
    <t>90564-35114-1</t>
  </si>
  <si>
    <t>90564-35115-1</t>
  </si>
  <si>
    <t>90564-35116-1</t>
  </si>
  <si>
    <t>510010K883</t>
  </si>
  <si>
    <t>510010K772</t>
  </si>
  <si>
    <t>510010K873</t>
  </si>
  <si>
    <t>90564-35117-1</t>
  </si>
  <si>
    <t>90564-35118-1</t>
  </si>
  <si>
    <t>90564-35119-1</t>
  </si>
  <si>
    <t>90564-35121-1</t>
  </si>
  <si>
    <t>90564-35123-1</t>
  </si>
  <si>
    <t>90564-35124-1</t>
  </si>
  <si>
    <t>90564-35125-1</t>
  </si>
  <si>
    <t>90564-35126-1</t>
  </si>
  <si>
    <t>90564-35127-1</t>
  </si>
  <si>
    <t>90564-35128-1</t>
  </si>
  <si>
    <t>90564-35129-1</t>
  </si>
  <si>
    <t>90564-35130-1</t>
  </si>
  <si>
    <t>90564-35131-1</t>
  </si>
  <si>
    <t>90564-50124-1</t>
  </si>
  <si>
    <t>90564-50126-1</t>
  </si>
  <si>
    <t>90564-50128-1</t>
  </si>
  <si>
    <t>90564-50130-1</t>
  </si>
  <si>
    <t>90564-50132-1</t>
  </si>
  <si>
    <t>90564-50134-1</t>
  </si>
  <si>
    <t>90564-50136-1</t>
  </si>
  <si>
    <t>90564-50138-1</t>
  </si>
  <si>
    <t>90564-50140-1</t>
  </si>
  <si>
    <t>90564-50142-1</t>
  </si>
  <si>
    <t>90564-50154-1</t>
  </si>
  <si>
    <t>90564-50156-1</t>
  </si>
  <si>
    <t>90564-50158-1</t>
  </si>
  <si>
    <t>90564-50160-1</t>
  </si>
  <si>
    <t>90564-50162-1</t>
  </si>
  <si>
    <t>90564-50164-1</t>
  </si>
  <si>
    <t>90564-50166-1</t>
  </si>
  <si>
    <t>Belize</t>
  </si>
  <si>
    <t>Rumania</t>
  </si>
  <si>
    <t>Estonia</t>
  </si>
  <si>
    <t>Ukraine</t>
  </si>
  <si>
    <t>Russia (WEST)</t>
  </si>
  <si>
    <t>Slovenia</t>
  </si>
  <si>
    <t>Nigeria</t>
  </si>
  <si>
    <t>90564-50168-1</t>
  </si>
  <si>
    <t>90564-50170-1</t>
  </si>
  <si>
    <t>90564-50172-1</t>
  </si>
  <si>
    <t>90564-50184-</t>
  </si>
  <si>
    <t>90564-50185-</t>
  </si>
  <si>
    <t>90564-50186-</t>
  </si>
  <si>
    <t>90564-50187-</t>
  </si>
  <si>
    <t>90564-50188-</t>
  </si>
  <si>
    <t>90564-50189-</t>
  </si>
  <si>
    <t>90564-50190-</t>
  </si>
  <si>
    <t>90564-50191-</t>
  </si>
  <si>
    <t>90564-50192-</t>
  </si>
  <si>
    <t>90564-50193-</t>
  </si>
  <si>
    <t>90564-50194-</t>
  </si>
  <si>
    <t>90564-50195-</t>
  </si>
  <si>
    <t>90564-50196-</t>
  </si>
  <si>
    <t>90564-50197-</t>
  </si>
  <si>
    <t>90564-50198-</t>
  </si>
  <si>
    <t>90564-50199-</t>
  </si>
  <si>
    <t>90564-50200-</t>
  </si>
  <si>
    <t>90564-50201-</t>
  </si>
  <si>
    <t>90564-50202-</t>
  </si>
  <si>
    <t>90564-50203-</t>
  </si>
  <si>
    <t>90564-50204-</t>
  </si>
  <si>
    <t>90564-50205-</t>
  </si>
  <si>
    <t>90564-50206-</t>
  </si>
  <si>
    <t>90564-50207-</t>
  </si>
  <si>
    <t>90564-50208-</t>
  </si>
  <si>
    <t>90564-50209-</t>
  </si>
  <si>
    <t>90564-50210-</t>
  </si>
  <si>
    <t>90564-50211-</t>
  </si>
  <si>
    <t>90564-50212-</t>
  </si>
  <si>
    <t>90564-50213-</t>
  </si>
  <si>
    <t>90564-50214-</t>
  </si>
  <si>
    <t>90564-50215-</t>
  </si>
  <si>
    <t>90564-50216-</t>
  </si>
  <si>
    <t>90564-50217-</t>
  </si>
  <si>
    <t>90564-50218-</t>
  </si>
  <si>
    <t>90564-50219-</t>
  </si>
  <si>
    <t>90564-50220-</t>
  </si>
  <si>
    <t>90564-50221-</t>
  </si>
  <si>
    <t>90564-50222-</t>
  </si>
  <si>
    <t>90564-50223-</t>
  </si>
  <si>
    <t>90901-05002-1</t>
  </si>
  <si>
    <t>510010K011</t>
  </si>
  <si>
    <t>510010K800</t>
  </si>
  <si>
    <t>NUT, WELD</t>
  </si>
  <si>
    <t>51203-0K030-</t>
  </si>
  <si>
    <t>CROSSMEMBER SUB-ASSY,FRAME NO.3</t>
  </si>
  <si>
    <t>51203-0K050-</t>
  </si>
  <si>
    <t>STOPPER,RR BUMPER</t>
  </si>
  <si>
    <t>520W</t>
  </si>
  <si>
    <t>42181-0K030</t>
  </si>
  <si>
    <t>RAIL ASSY,SIDE PANEL TOP,RH(IMV 1)</t>
  </si>
  <si>
    <t>RAIL ASSY,SIDE PANEL TOP,LH(IMV 1)</t>
  </si>
  <si>
    <t>Tail Gate</t>
  </si>
  <si>
    <t>65700-0K030-</t>
  </si>
  <si>
    <t>66110-0K010-</t>
  </si>
  <si>
    <t>HINGE ASSY,TAIL GATE,RH</t>
  </si>
  <si>
    <t>66120-0K010-</t>
  </si>
  <si>
    <t>HINGE ASSY,TAIL GATE,LH</t>
  </si>
  <si>
    <t>510010K580</t>
  </si>
  <si>
    <t>510010K640</t>
  </si>
  <si>
    <t>62511-YE020-B0-1</t>
  </si>
  <si>
    <t>62512-YE020-B0-1</t>
  </si>
  <si>
    <t>62594-YE010-B0-1</t>
  </si>
  <si>
    <t>62595-YE010-B0-1</t>
  </si>
  <si>
    <t>65536-04020-83</t>
  </si>
  <si>
    <t>65537-04020-83</t>
  </si>
  <si>
    <t>65587-04010-83</t>
  </si>
  <si>
    <t>65588-04010-83</t>
  </si>
  <si>
    <t>65826-04050-1</t>
  </si>
  <si>
    <t>65827-04050-1</t>
  </si>
  <si>
    <t>67771-89110-1</t>
  </si>
  <si>
    <t>90167-00043</t>
  </si>
  <si>
    <t>C2201-01060-1</t>
  </si>
  <si>
    <t>Bumper S/A FR (4*4)</t>
  </si>
  <si>
    <t>Bumper S/A FR (4*2)</t>
  </si>
  <si>
    <t>Bumper S/A RR ( CROM)</t>
  </si>
  <si>
    <t>BOARD QTR TRIM RH</t>
  </si>
  <si>
    <t>Board QTR Trim RH [มีตัวคลุม]</t>
  </si>
  <si>
    <t>BOARD QTR TRIM RH [ไม่มีตัวคลุม]</t>
  </si>
  <si>
    <t>BOARD QTR TRIM LH [มีตัวคลุม]</t>
  </si>
  <si>
    <t>BOARD QTR TRIM LH [ไม่มีตัวคลุม]</t>
  </si>
  <si>
    <t>BOARD QTR TRIM LH</t>
  </si>
  <si>
    <t>Pocket QTR Trim RH</t>
  </si>
  <si>
    <t>Pocket QTR Trim LH</t>
  </si>
  <si>
    <t>PATCH SIDE PNL RH</t>
  </si>
  <si>
    <t>PATCH SIDE PNL LH</t>
  </si>
  <si>
    <t>Frame side PNL RR RH</t>
  </si>
  <si>
    <t>Frame side PNL RR LH [EDP]</t>
  </si>
  <si>
    <t>PNL RR B. SIDE INN RH</t>
  </si>
  <si>
    <t>PNL RR B. SIDE INN LH</t>
  </si>
  <si>
    <t>PANEL FR. DOOR  OUTSIDE RH.</t>
  </si>
  <si>
    <t>PANEL FR. DOOR  OUTSIDE LH.</t>
  </si>
  <si>
    <t>RETAINER DOOR TRIM</t>
  </si>
  <si>
    <t>SCREW PAN TAPPING</t>
  </si>
  <si>
    <t>Bumper S/A FR. ( EDP 7 รู )</t>
  </si>
  <si>
    <t>52101YZB02</t>
  </si>
  <si>
    <t>C220101060</t>
  </si>
  <si>
    <t>5199B0K010</t>
  </si>
  <si>
    <t>CAP, RR UNDERRUN PROTECTION</t>
  </si>
  <si>
    <t>RUP</t>
  </si>
  <si>
    <t>SAB</t>
  </si>
  <si>
    <t>04000-3930K-</t>
  </si>
  <si>
    <t>CROSSMEMBER BKT KIT, NO.3</t>
  </si>
  <si>
    <t>040003930K</t>
  </si>
  <si>
    <t>513410K011</t>
  </si>
  <si>
    <t>51204-0K081-</t>
  </si>
  <si>
    <t>512040K031</t>
  </si>
  <si>
    <t>512040K051</t>
  </si>
  <si>
    <t>510010K411</t>
  </si>
  <si>
    <t>510010K501</t>
  </si>
  <si>
    <t>510010K421</t>
  </si>
  <si>
    <t>510010K521</t>
  </si>
  <si>
    <t>510010K691</t>
  </si>
  <si>
    <t>510010K721</t>
  </si>
  <si>
    <t>510010K731</t>
  </si>
  <si>
    <t>4133735040</t>
  </si>
  <si>
    <t>413420K010</t>
  </si>
  <si>
    <t>413510K010</t>
  </si>
  <si>
    <t>413510K020</t>
  </si>
  <si>
    <t>413610K010</t>
  </si>
  <si>
    <t>413610K020</t>
  </si>
  <si>
    <t>413610K030</t>
  </si>
  <si>
    <t>413610K040</t>
  </si>
  <si>
    <t>413610K050</t>
  </si>
  <si>
    <t>413610K060</t>
  </si>
  <si>
    <t>413610K070</t>
  </si>
  <si>
    <t>413610K080</t>
  </si>
  <si>
    <t>413610K090</t>
  </si>
  <si>
    <t>413610K100</t>
  </si>
  <si>
    <t>413610K120</t>
  </si>
  <si>
    <t>413610K130</t>
  </si>
  <si>
    <t>413610K140</t>
  </si>
  <si>
    <t>413610K150</t>
  </si>
  <si>
    <t>413610K160</t>
  </si>
  <si>
    <t>413610K170</t>
  </si>
  <si>
    <t>413610K180</t>
  </si>
  <si>
    <t>413610K190</t>
  </si>
  <si>
    <t>413610K200</t>
  </si>
  <si>
    <t>413610K210</t>
  </si>
  <si>
    <t>413710K010</t>
  </si>
  <si>
    <t>413850K010</t>
  </si>
  <si>
    <t>4140035030</t>
  </si>
  <si>
    <t>4242134010</t>
  </si>
  <si>
    <t>424310K010</t>
  </si>
  <si>
    <t>424310K050</t>
  </si>
  <si>
    <t>4244350020</t>
  </si>
  <si>
    <t>464200K030</t>
  </si>
  <si>
    <t>464200K040</t>
  </si>
  <si>
    <t>475500K010</t>
  </si>
  <si>
    <t>475500K050</t>
  </si>
  <si>
    <t>486010K010</t>
  </si>
  <si>
    <t>486010K020</t>
  </si>
  <si>
    <t>486020K010</t>
  </si>
  <si>
    <t>486020K020</t>
  </si>
  <si>
    <t>486050K010</t>
  </si>
  <si>
    <t>486050K020</t>
  </si>
  <si>
    <t>486060K010</t>
  </si>
  <si>
    <t>486060K020</t>
  </si>
  <si>
    <t>510010K070</t>
  </si>
  <si>
    <t>510010K090</t>
  </si>
  <si>
    <t>510010K110</t>
  </si>
  <si>
    <t>510010K130</t>
  </si>
  <si>
    <t>510010K150</t>
  </si>
  <si>
    <t>510010K190</t>
  </si>
  <si>
    <t>510010K210</t>
  </si>
  <si>
    <t>510010K340</t>
  </si>
  <si>
    <t>510010K350</t>
  </si>
  <si>
    <t>510010K370</t>
  </si>
  <si>
    <t>510010K460</t>
  </si>
  <si>
    <t>510010K670</t>
  </si>
  <si>
    <t>510770K010</t>
  </si>
  <si>
    <t>625100K010</t>
  </si>
  <si>
    <t>625200K010</t>
  </si>
  <si>
    <t>625200K080</t>
  </si>
  <si>
    <t>650170K010</t>
  </si>
  <si>
    <t>650170K020</t>
  </si>
  <si>
    <t>650170K030</t>
  </si>
  <si>
    <t>651410K010</t>
  </si>
  <si>
    <t>651420K010</t>
  </si>
  <si>
    <t>651560K010</t>
  </si>
  <si>
    <t>651580K010</t>
  </si>
  <si>
    <t>651990K010</t>
  </si>
  <si>
    <t>653170K010</t>
  </si>
  <si>
    <t>653170K060</t>
  </si>
  <si>
    <t>653170K905</t>
  </si>
  <si>
    <t>653170K906</t>
  </si>
  <si>
    <t>653170K914</t>
  </si>
  <si>
    <t>653170K915</t>
  </si>
  <si>
    <t>653170K916</t>
  </si>
  <si>
    <t>653180K010</t>
  </si>
  <si>
    <t>653180K060</t>
  </si>
  <si>
    <t>653180K905</t>
  </si>
  <si>
    <t>653180K909</t>
  </si>
  <si>
    <t>653180K913</t>
  </si>
  <si>
    <t>653180K914</t>
  </si>
  <si>
    <t>653180K915</t>
  </si>
  <si>
    <t>655450K010</t>
  </si>
  <si>
    <t>656010K010</t>
  </si>
  <si>
    <t>656310K010</t>
  </si>
  <si>
    <t>656310K020</t>
  </si>
  <si>
    <t>656310K903</t>
  </si>
  <si>
    <t>656310K906</t>
  </si>
  <si>
    <t>656320K010</t>
  </si>
  <si>
    <t>656320K020</t>
  </si>
  <si>
    <t>656320K901</t>
  </si>
  <si>
    <t>656320K902</t>
  </si>
  <si>
    <t>656320K905</t>
  </si>
  <si>
    <t>656550K010</t>
  </si>
  <si>
    <t>657000K020</t>
  </si>
  <si>
    <t>657000K030</t>
  </si>
  <si>
    <t>657000K041</t>
  </si>
  <si>
    <t>657000K051</t>
  </si>
  <si>
    <t>657000K070</t>
  </si>
  <si>
    <t>657000K080</t>
  </si>
  <si>
    <t>657000K090</t>
  </si>
  <si>
    <t>657000K101</t>
  </si>
  <si>
    <t>657000K111</t>
  </si>
  <si>
    <t>657000K120</t>
  </si>
  <si>
    <t>657000K130</t>
  </si>
  <si>
    <t>657100K010</t>
  </si>
  <si>
    <t>657110K020</t>
  </si>
  <si>
    <t>657120K010</t>
  </si>
  <si>
    <t>657160K010</t>
  </si>
  <si>
    <t>657210K010</t>
  </si>
  <si>
    <t>657210K020</t>
  </si>
  <si>
    <t>657270K010</t>
  </si>
  <si>
    <t>657280K010</t>
  </si>
  <si>
    <t>657410K011</t>
  </si>
  <si>
    <t>657420K011</t>
  </si>
  <si>
    <t>657580K030</t>
  </si>
  <si>
    <t>657580K040</t>
  </si>
  <si>
    <t>657670K010</t>
  </si>
  <si>
    <t>657830K010</t>
  </si>
  <si>
    <t>657830K020</t>
  </si>
  <si>
    <t>657840K010</t>
  </si>
  <si>
    <t>657840K020</t>
  </si>
  <si>
    <t>658260K901</t>
  </si>
  <si>
    <t>658260K903</t>
  </si>
  <si>
    <t>658260K904</t>
  </si>
  <si>
    <t>658260K905</t>
  </si>
  <si>
    <t>658260K906</t>
  </si>
  <si>
    <t>658260K907</t>
  </si>
  <si>
    <t>658260K909</t>
  </si>
  <si>
    <t>658260K912</t>
  </si>
  <si>
    <t>658270K901</t>
  </si>
  <si>
    <t>658270K902</t>
  </si>
  <si>
    <t>658270K903</t>
  </si>
  <si>
    <t>658270K904</t>
  </si>
  <si>
    <t>658270K905</t>
  </si>
  <si>
    <t>658270K906</t>
  </si>
  <si>
    <t>658270K907</t>
  </si>
  <si>
    <t>658270K911</t>
  </si>
  <si>
    <t>661100K010</t>
  </si>
  <si>
    <t>661100K011</t>
  </si>
  <si>
    <t>661150K020</t>
  </si>
  <si>
    <t>661200K010</t>
  </si>
  <si>
    <t>661200K011</t>
  </si>
  <si>
    <t>775010K010</t>
  </si>
  <si>
    <t>775010K020</t>
  </si>
  <si>
    <t>775020K010</t>
  </si>
  <si>
    <t>775020K020</t>
  </si>
  <si>
    <t>775020K030</t>
  </si>
  <si>
    <t>776010K070</t>
  </si>
  <si>
    <t>776120K100</t>
  </si>
  <si>
    <t>776130K010</t>
  </si>
  <si>
    <t>90105T0101</t>
  </si>
  <si>
    <t>90105T0102</t>
  </si>
  <si>
    <t>90105T0103</t>
  </si>
  <si>
    <t>90105T0104</t>
  </si>
  <si>
    <t>90107T0001</t>
  </si>
  <si>
    <t>90107T0002</t>
  </si>
  <si>
    <t>510210K010</t>
  </si>
  <si>
    <t>90114T0006</t>
  </si>
  <si>
    <t>90119T0205</t>
  </si>
  <si>
    <t>90177T0004</t>
  </si>
  <si>
    <t>90177T0008</t>
  </si>
  <si>
    <t>90178T0075</t>
  </si>
  <si>
    <t>90178T0077</t>
  </si>
  <si>
    <t>90208T0001</t>
  </si>
  <si>
    <t>90250T0004</t>
  </si>
  <si>
    <t>90250T0006</t>
  </si>
  <si>
    <t>90341T0003</t>
  </si>
  <si>
    <t>90341T0002</t>
  </si>
  <si>
    <t>90363T0014</t>
  </si>
  <si>
    <t>90364T0009</t>
  </si>
  <si>
    <t>90364T0008</t>
  </si>
  <si>
    <t>90366T0010</t>
  </si>
  <si>
    <t>90366T0013</t>
  </si>
  <si>
    <t>90366T0019</t>
  </si>
  <si>
    <t>90366T0016</t>
  </si>
  <si>
    <t>90366T0022</t>
  </si>
  <si>
    <t>90366T0025</t>
  </si>
  <si>
    <t>90366T0028</t>
  </si>
  <si>
    <t>90366T0031</t>
  </si>
  <si>
    <t>90366T0044</t>
  </si>
  <si>
    <t>512030K050</t>
  </si>
  <si>
    <t>510010KB80</t>
  </si>
  <si>
    <t>510010KB20</t>
  </si>
  <si>
    <t>CKD</t>
  </si>
  <si>
    <t>512010K020</t>
  </si>
  <si>
    <t>512020K020</t>
  </si>
  <si>
    <t>512030K020</t>
  </si>
  <si>
    <t>512040K040</t>
  </si>
  <si>
    <t>512040K070</t>
  </si>
  <si>
    <t>51205-0K050-</t>
  </si>
  <si>
    <t>RAIL ASSY, SIDE PANEL TOP, RH</t>
  </si>
  <si>
    <t>655100K020</t>
  </si>
  <si>
    <t>655100K030</t>
  </si>
  <si>
    <t>655200K020</t>
  </si>
  <si>
    <t>655200K030</t>
  </si>
  <si>
    <t>RAIL ASSY, SIDE PANEL TOP, LH</t>
  </si>
  <si>
    <t>658260K030</t>
  </si>
  <si>
    <t>658260K050</t>
  </si>
  <si>
    <t>658260K090</t>
  </si>
  <si>
    <t>658270K090</t>
  </si>
  <si>
    <t>658270K050</t>
  </si>
  <si>
    <t>658270K030</t>
  </si>
  <si>
    <t>77502-0K020-</t>
  </si>
  <si>
    <t>BRACKET SUB-ASSY, FUEL TANK,RR</t>
  </si>
  <si>
    <t>77502-0K030-</t>
  </si>
  <si>
    <t>42421-0K020-</t>
  </si>
  <si>
    <t>642610K010</t>
  </si>
  <si>
    <t>642610K040</t>
  </si>
  <si>
    <t>642620K020</t>
  </si>
  <si>
    <t>657000K040</t>
  </si>
  <si>
    <t>657000K100</t>
  </si>
  <si>
    <t>657000K110</t>
  </si>
  <si>
    <t>657000K902</t>
  </si>
  <si>
    <t>658260K060</t>
  </si>
  <si>
    <t>658260K080</t>
  </si>
  <si>
    <t>658270K010</t>
  </si>
  <si>
    <t>658270K060</t>
  </si>
  <si>
    <t>658270K080</t>
  </si>
  <si>
    <t>6617071010</t>
  </si>
  <si>
    <t>9011608223</t>
  </si>
  <si>
    <t>90250T0003</t>
  </si>
  <si>
    <t>90313T0001</t>
  </si>
  <si>
    <t>52105-0K061-</t>
  </si>
  <si>
    <t>90363T0009</t>
  </si>
  <si>
    <t>42110-0K170-</t>
  </si>
  <si>
    <t>510010KA50</t>
  </si>
  <si>
    <t>510010K480</t>
  </si>
  <si>
    <t>9422380600</t>
  </si>
  <si>
    <t>513650K010</t>
  </si>
  <si>
    <t>655100K010</t>
  </si>
  <si>
    <t>655200K010</t>
  </si>
  <si>
    <t>658260K010</t>
  </si>
  <si>
    <t>Supplier</t>
  </si>
  <si>
    <t>411100K241</t>
  </si>
  <si>
    <t>411100K251</t>
  </si>
  <si>
    <t>411100K261</t>
  </si>
  <si>
    <t>411100K271</t>
  </si>
  <si>
    <t>411100K281</t>
  </si>
  <si>
    <t>411100K291</t>
  </si>
  <si>
    <t>411100K311</t>
  </si>
  <si>
    <t>411100K351</t>
  </si>
  <si>
    <t>411100K361</t>
  </si>
  <si>
    <t>512010K031</t>
  </si>
  <si>
    <t>41110-0K240-</t>
  </si>
  <si>
    <t>41110-0K250-</t>
  </si>
  <si>
    <t>41110-0K260-</t>
  </si>
  <si>
    <t>41110-0K270-</t>
  </si>
  <si>
    <t>PANEL ASSY, QUARTER TRIM, RH</t>
  </si>
  <si>
    <t>PANEL ASSY, QUARTER TRIM, LH</t>
  </si>
  <si>
    <t xml:space="preserve">Plastic </t>
  </si>
  <si>
    <t>65631-0K010-83</t>
  </si>
  <si>
    <t>51679-0K010-83</t>
  </si>
  <si>
    <t>BARCKET, STERRING GEAR BOX</t>
  </si>
  <si>
    <t>41311-0K040-</t>
  </si>
  <si>
    <t>41311-0K050-</t>
  </si>
  <si>
    <t>41101-0K020-</t>
  </si>
  <si>
    <t>41321-0K010-</t>
  </si>
  <si>
    <t>90107-T0002-</t>
  </si>
  <si>
    <t>42110-0K080-</t>
  </si>
  <si>
    <t>42110-0K090-</t>
  </si>
  <si>
    <t>42110-0K100-</t>
  </si>
  <si>
    <t>42110-0K140-</t>
  </si>
  <si>
    <t>42110-0K160-</t>
  </si>
  <si>
    <t>42110-0K190-</t>
  </si>
  <si>
    <t>42110-0K200-</t>
  </si>
  <si>
    <t>510010K010</t>
  </si>
  <si>
    <t>510010K020</t>
  </si>
  <si>
    <t>51001-0K140-</t>
  </si>
  <si>
    <t>510010K360</t>
  </si>
  <si>
    <t>510010K690</t>
  </si>
  <si>
    <t>510010K720</t>
  </si>
  <si>
    <t>510010K730</t>
  </si>
  <si>
    <t>510010K760</t>
  </si>
  <si>
    <t>510010K840</t>
  </si>
  <si>
    <t>521050K060</t>
  </si>
  <si>
    <t>58129-0K010-83</t>
  </si>
  <si>
    <t>CUSHION, CTR BEARING SUPPORT, LWR</t>
  </si>
  <si>
    <t>42110-0K500-</t>
  </si>
  <si>
    <t>42110-0K510-</t>
  </si>
  <si>
    <t>510010K870</t>
  </si>
  <si>
    <t>51201-0K030-</t>
  </si>
  <si>
    <t>51202-0K030-</t>
  </si>
  <si>
    <t>510010K830</t>
  </si>
  <si>
    <t>PANEL FLOOR SIDE RH(GOC)</t>
  </si>
  <si>
    <t>PANEL ASSY, QUARTER TRIM, LWR RH</t>
  </si>
  <si>
    <t>PANEL ASSY, QUARTER TRIM, LWR LH</t>
  </si>
  <si>
    <t>PANEL FLOOR SIDE LH(EUROPE)</t>
  </si>
  <si>
    <t>PANEL FLOOR SIDE LH(GCC)</t>
  </si>
  <si>
    <t>PANEL WHEEL HOUSE RH (EUROPE)</t>
  </si>
  <si>
    <t>90080-34017-83</t>
  </si>
  <si>
    <t>PLUG, SEAT (SSP FOR EXPORT TSAM)</t>
  </si>
  <si>
    <t>90080-34019-83</t>
  </si>
  <si>
    <t>PANEL WHEEL HOUSE LH (EUROPE)</t>
  </si>
  <si>
    <t>41110-0K030-</t>
  </si>
  <si>
    <t>41110-0K210-</t>
  </si>
  <si>
    <t>Part Set</t>
  </si>
  <si>
    <t>HMMT Part No.</t>
  </si>
  <si>
    <t>Part Name</t>
  </si>
  <si>
    <t>510010K050</t>
  </si>
  <si>
    <t>510010K120</t>
  </si>
  <si>
    <t>510010K180</t>
  </si>
  <si>
    <t>51017-0K010-</t>
  </si>
  <si>
    <t>CHANNEL SUB-ASSY, SIDE RAIL EXT, INN RH (4X2)</t>
  </si>
  <si>
    <t>51017-0K020-</t>
  </si>
  <si>
    <t>90116-08413</t>
  </si>
  <si>
    <t>90116-08414</t>
  </si>
  <si>
    <t>90116-08415</t>
  </si>
  <si>
    <t>CHANNEL SUB-ASSY, SIDE RAIL EXT, INN RH (4X4)</t>
  </si>
  <si>
    <t>51018-0K010-</t>
  </si>
  <si>
    <t>51018-0K020-</t>
  </si>
  <si>
    <t>51110-0K010-</t>
  </si>
  <si>
    <t>51110-0K020-</t>
  </si>
  <si>
    <t>510010KA41</t>
  </si>
  <si>
    <t>510010K311</t>
  </si>
  <si>
    <t>510010K341</t>
  </si>
  <si>
    <t>510010K351</t>
  </si>
  <si>
    <t>510010K361</t>
  </si>
  <si>
    <t>510010K371</t>
  </si>
  <si>
    <t>510010K581</t>
  </si>
  <si>
    <t>510010K591</t>
  </si>
  <si>
    <t>510010K601</t>
  </si>
  <si>
    <t>510010K641</t>
  </si>
  <si>
    <t>510010K671</t>
  </si>
  <si>
    <t>510010K841</t>
  </si>
  <si>
    <t>510010K851</t>
  </si>
  <si>
    <t>510010K871</t>
  </si>
  <si>
    <t>510010K881</t>
  </si>
  <si>
    <t>510010K891</t>
  </si>
  <si>
    <t>51204-0K041-</t>
  </si>
  <si>
    <t>51204-0K071-</t>
  </si>
  <si>
    <t>520210K021</t>
  </si>
  <si>
    <t>51120-0K010-</t>
  </si>
  <si>
    <t>51120-0K020-</t>
  </si>
  <si>
    <t>EXTENSION ASSY, SIDE RAIL OUTER, RH (4X2)</t>
  </si>
  <si>
    <t>EXTENSION ASSY, SIDE RAIL OUTER, RH (4X4)</t>
  </si>
  <si>
    <t>BOLT, HEXAGON</t>
  </si>
  <si>
    <t>No.</t>
  </si>
  <si>
    <t>SAGA</t>
  </si>
  <si>
    <t>42110-0K280-</t>
  </si>
  <si>
    <t>BOLT, FLANGE</t>
  </si>
  <si>
    <t>TTTC</t>
  </si>
  <si>
    <t>62510-0K090-B0</t>
  </si>
  <si>
    <t>62520-0K080-A0</t>
  </si>
  <si>
    <t>62520-0K080-B0</t>
  </si>
  <si>
    <t>62510-0K010-B0</t>
  </si>
  <si>
    <t>62520-0K010-B0</t>
  </si>
  <si>
    <t>62510-0K090-A0</t>
  </si>
  <si>
    <t>41301-0K040-</t>
  </si>
  <si>
    <t>41301-0K050-</t>
  </si>
  <si>
    <t>Model</t>
  </si>
  <si>
    <t>43502-0K090-</t>
  </si>
  <si>
    <t>42110-0K110-</t>
  </si>
  <si>
    <t>42110-0K120-</t>
  </si>
  <si>
    <t>41110-0K090-</t>
  </si>
  <si>
    <t>BRACKET SUB-ASSY, RR CROSS SILL, RH</t>
  </si>
  <si>
    <t>SUPPORT, MAIN SILL, RH</t>
  </si>
  <si>
    <t>PANEL, WHEEL HOUSE, FR LH</t>
  </si>
  <si>
    <t>HMMT2</t>
  </si>
  <si>
    <t>PANEL, FLOOR SIDE, RH</t>
  </si>
  <si>
    <t>PANEL, FLOOR SIDE, LH</t>
  </si>
  <si>
    <t>Group No.</t>
  </si>
  <si>
    <t>42181-0K020</t>
  </si>
  <si>
    <t>TMT Supply</t>
  </si>
  <si>
    <t>RING, SHAFT SNAP</t>
  </si>
  <si>
    <t>41110-0K070-</t>
  </si>
  <si>
    <t>41110-0K350-</t>
  </si>
  <si>
    <t>41110-0K370-</t>
  </si>
  <si>
    <t>42110-0K030-</t>
  </si>
  <si>
    <t>42110-0K040-</t>
  </si>
  <si>
    <t>510010K500</t>
  </si>
  <si>
    <t>510010K520</t>
  </si>
  <si>
    <t>510010K530</t>
  </si>
  <si>
    <t>510010K550</t>
  </si>
  <si>
    <t>510010K560</t>
  </si>
  <si>
    <t>510010K590</t>
  </si>
  <si>
    <t>510010K600</t>
  </si>
  <si>
    <t>510010K630</t>
  </si>
  <si>
    <t>512040K050</t>
  </si>
  <si>
    <t>51401-0K040-</t>
  </si>
  <si>
    <t>65017-0K020-</t>
  </si>
  <si>
    <t>65700-0K070-</t>
  </si>
  <si>
    <t>65700-0K080-</t>
  </si>
  <si>
    <t>65601-0K010-</t>
  </si>
  <si>
    <t>PANEL SUB-ASSY, RR BODY SIDE LH</t>
  </si>
  <si>
    <t>SATAT</t>
  </si>
  <si>
    <t>41400-35031-1</t>
  </si>
  <si>
    <t>51504-0K020-</t>
  </si>
  <si>
    <t>51503-0K020-</t>
  </si>
  <si>
    <t>52021-0K020-</t>
  </si>
  <si>
    <t>272W</t>
  </si>
  <si>
    <t>408W</t>
  </si>
  <si>
    <t>42110-0K310-</t>
  </si>
  <si>
    <t>42110-0K320-</t>
  </si>
  <si>
    <t>42110-0K330-</t>
  </si>
  <si>
    <t>42110-0K340-</t>
  </si>
  <si>
    <t>42110-0K350-</t>
  </si>
  <si>
    <t>42110-0K360-</t>
  </si>
  <si>
    <t>42110-0K380-</t>
  </si>
  <si>
    <t>42110-0K390-</t>
  </si>
  <si>
    <t>42110-0K400-</t>
  </si>
  <si>
    <t>42110-0K440-</t>
  </si>
  <si>
    <t>42110-0K460-</t>
  </si>
  <si>
    <t>42110-0K470-</t>
  </si>
  <si>
    <t>42110-0K480-</t>
  </si>
  <si>
    <t>42110-0K490-</t>
  </si>
  <si>
    <t>SC</t>
  </si>
  <si>
    <t>42423-0K020-</t>
  </si>
  <si>
    <t>90114-T0006-</t>
  </si>
  <si>
    <t>BOLT, SERRATION</t>
  </si>
  <si>
    <t>90208-T0001-</t>
  </si>
  <si>
    <t>WASHER, CONICAL SPRING</t>
  </si>
  <si>
    <t>42311-0K060-</t>
  </si>
  <si>
    <t>42311-0K070-</t>
  </si>
  <si>
    <t>42311-0K080-</t>
  </si>
  <si>
    <t>42311-0K090-</t>
  </si>
  <si>
    <t>42441-0K030-</t>
  </si>
  <si>
    <t>42441-0K040-</t>
  </si>
  <si>
    <t>42421-0K030-</t>
  </si>
  <si>
    <t>90301-T0043-</t>
  </si>
  <si>
    <t>90310-T0008-</t>
  </si>
  <si>
    <t>90313-T0002-</t>
  </si>
  <si>
    <t>90366-T0044-</t>
  </si>
  <si>
    <t>90520-T0033-</t>
  </si>
  <si>
    <t>52021-0K030-</t>
  </si>
  <si>
    <t>17505-0L010-</t>
  </si>
  <si>
    <t>SUPPORT SUB-ASSY, EXHAUST PIPE</t>
  </si>
  <si>
    <t>41110-0K190-</t>
  </si>
  <si>
    <t>51209-0K030-</t>
  </si>
  <si>
    <t>48068-0K010-</t>
  </si>
  <si>
    <t>ARM S/A, SUSPENSION LWR RH W/BUSH(4X2)</t>
  </si>
  <si>
    <t>ARM S/A, SUSPENSION LWR RH W/BUSH(4X4)</t>
  </si>
  <si>
    <t>48068-0K040-</t>
  </si>
  <si>
    <t>ARM S/A, SUSPENSION LWR LH W/BUSH(4X4)</t>
  </si>
  <si>
    <t>48069-0K010-</t>
  </si>
  <si>
    <t>48069-0K040-</t>
  </si>
  <si>
    <t>ARM S/A, SUSPENSION LWR LH W/BUSH(4X2)</t>
  </si>
  <si>
    <t>42139-0K020-83</t>
  </si>
  <si>
    <t>DEFLECTOR, RR AXLE HOUSING OIL</t>
  </si>
  <si>
    <t>65631-0K020-83</t>
  </si>
  <si>
    <t>PANEL, WHEEL HOUSE, RH</t>
  </si>
  <si>
    <t>48610-0K010-</t>
  </si>
  <si>
    <t>48610-0K040-</t>
  </si>
  <si>
    <t>ARM ASSY, SUSPEMSION, UPR LH (4X2 TH)</t>
  </si>
  <si>
    <t>ARM ASSY, SUSPEMSION, UPR LH (4X4 TH)</t>
  </si>
  <si>
    <t>48630-0K010-</t>
  </si>
  <si>
    <t>48630-0K040-</t>
  </si>
  <si>
    <t>48720-0K030-</t>
  </si>
  <si>
    <t>ARM ASSY, LWR CONTROL</t>
  </si>
  <si>
    <t>90364-T0009-</t>
  </si>
  <si>
    <t>510010K060</t>
  </si>
  <si>
    <t>510010K170</t>
  </si>
  <si>
    <t>510010K310</t>
  </si>
  <si>
    <t>512040K080</t>
  </si>
  <si>
    <t>41183-0K010-</t>
  </si>
  <si>
    <t>DEFLECTOR, DIFF BREATHER PLUG OIL</t>
  </si>
  <si>
    <t>41110-0K180-</t>
  </si>
  <si>
    <t>42110-0K180-</t>
  </si>
  <si>
    <t>510010K021</t>
  </si>
  <si>
    <t>510010K701</t>
  </si>
  <si>
    <t>51071-0K010-</t>
  </si>
  <si>
    <t>BRACKET SUB-ASSY,RR BODY MT, NO.1 LH</t>
  </si>
  <si>
    <t>51072-0K010-</t>
  </si>
  <si>
    <t>51201-0K040-</t>
  </si>
  <si>
    <t>65700-0K020-</t>
  </si>
  <si>
    <t>51011-0K080-83</t>
  </si>
  <si>
    <t>RAIL S/A, FRAME SIDE, RH</t>
  </si>
  <si>
    <t>51012-0K080-83</t>
  </si>
  <si>
    <t>52021-0K022-</t>
  </si>
  <si>
    <t>RAIL S/A, FRAME SIDE, LH</t>
  </si>
  <si>
    <t>SNP</t>
  </si>
  <si>
    <t>TVI</t>
  </si>
  <si>
    <t>90105-T0102-</t>
  </si>
  <si>
    <t>65156-0K010-83</t>
  </si>
  <si>
    <t>COVER CROSS, SILL END, RH</t>
  </si>
  <si>
    <t>COVER, RR CROSS SILL END , RH</t>
  </si>
  <si>
    <t>PLATE, NO.5 CROSS SILL</t>
  </si>
  <si>
    <t>65158-0K010-83</t>
  </si>
  <si>
    <t>65199-0K010-83</t>
  </si>
  <si>
    <t>65545-0K010-83</t>
  </si>
  <si>
    <t>REINFORCEMENT, SIDE PANEL</t>
  </si>
  <si>
    <t>510010K861</t>
  </si>
  <si>
    <t>51001-0K012-</t>
  </si>
  <si>
    <t>51001-0K022-</t>
  </si>
  <si>
    <t>51001-0K051-</t>
  </si>
  <si>
    <t>51001-0K061-</t>
  </si>
  <si>
    <t>51001-0K071-</t>
  </si>
  <si>
    <t>51001-0K091-</t>
  </si>
  <si>
    <t>51001-0K111-</t>
  </si>
  <si>
    <t>51001-0K121-</t>
  </si>
  <si>
    <t>51001-0K131-</t>
  </si>
  <si>
    <t>51001-0K151-</t>
  </si>
  <si>
    <t>51001-0K171-</t>
  </si>
  <si>
    <t>51001-0K181-</t>
  </si>
  <si>
    <t>51001-0K191-</t>
  </si>
  <si>
    <t>51001-0K211-</t>
  </si>
  <si>
    <t>51001-0K312-</t>
  </si>
  <si>
    <t>51001-0K342-</t>
  </si>
  <si>
    <t>51001-0K352-</t>
  </si>
  <si>
    <t>51001-0K362-</t>
  </si>
  <si>
    <t>51001-0K372-</t>
  </si>
  <si>
    <t>51001-0K413-</t>
  </si>
  <si>
    <t>51001-0K423-</t>
  </si>
  <si>
    <t>51001-0K461-</t>
  </si>
  <si>
    <t>51001-0K481-</t>
  </si>
  <si>
    <t>51001-0K503-</t>
  </si>
  <si>
    <t>51001-0K523-</t>
  </si>
  <si>
    <t>51001-0K531-</t>
  </si>
  <si>
    <t>51001-0K551-</t>
  </si>
  <si>
    <t>51001-0K561-</t>
  </si>
  <si>
    <t>51001-0K582-</t>
  </si>
  <si>
    <t>51001-0K592-</t>
  </si>
  <si>
    <t>51001-0K602-</t>
  </si>
  <si>
    <t>51001-0K642-</t>
  </si>
  <si>
    <t>51001-0K672-</t>
  </si>
  <si>
    <t>51001-0K692-</t>
  </si>
  <si>
    <t>51001-0K702-</t>
  </si>
  <si>
    <t>51001-0K723-</t>
  </si>
  <si>
    <t>51001-0K733-</t>
  </si>
  <si>
    <t>51001-0K761-</t>
  </si>
  <si>
    <t>51001-0K771-</t>
  </si>
  <si>
    <t>51001-0K791-</t>
  </si>
  <si>
    <t>51001-0K801-</t>
  </si>
  <si>
    <t>51001-0K811-</t>
  </si>
  <si>
    <t>51001-0K821-</t>
  </si>
  <si>
    <t>51001-0K831-</t>
  </si>
  <si>
    <t>51001-0K842-</t>
  </si>
  <si>
    <t>175050L010</t>
  </si>
  <si>
    <t>175710L010</t>
  </si>
  <si>
    <t>175780L010</t>
  </si>
  <si>
    <t>411010K010</t>
  </si>
  <si>
    <t>411010K020</t>
  </si>
  <si>
    <t>411010K030</t>
  </si>
  <si>
    <t>411100K010</t>
  </si>
  <si>
    <t>411100K020</t>
  </si>
  <si>
    <t>411100K030</t>
  </si>
  <si>
    <t>411100K040</t>
  </si>
  <si>
    <t>411100K050</t>
  </si>
  <si>
    <t>411100K060</t>
  </si>
  <si>
    <t>T1 Code (Symptom)</t>
  </si>
  <si>
    <t>T2 Code (Cause)</t>
  </si>
  <si>
    <t>Engin Cranks-No Start Rough Idle</t>
  </si>
  <si>
    <t>Burnt Frozen (Icing)</t>
  </si>
  <si>
    <t>Excessive Oil Consumption (Excessive Oil Leak Code=65)</t>
  </si>
  <si>
    <t>Deformed (Bent, Twisted, Warped, Shrunk, Wrinkled,Swell)</t>
  </si>
  <si>
    <t>411100K011</t>
  </si>
  <si>
    <t>411100K021</t>
  </si>
  <si>
    <t>411100K031</t>
  </si>
  <si>
    <t>411100K041</t>
  </si>
  <si>
    <t>411100K051</t>
  </si>
  <si>
    <t>411100K061</t>
  </si>
  <si>
    <t>411100K071</t>
  </si>
  <si>
    <t>411100K091</t>
  </si>
  <si>
    <t>411100K101</t>
  </si>
  <si>
    <t>412040K060</t>
  </si>
  <si>
    <t>412510K010</t>
  </si>
  <si>
    <t>412510K060</t>
  </si>
  <si>
    <t>FLANGE DRIVE PINION COMPANION</t>
  </si>
  <si>
    <t>512010D110</t>
  </si>
  <si>
    <t>CROSSMEMBER SUB ASSY</t>
  </si>
  <si>
    <t>CROSS YARIS</t>
  </si>
  <si>
    <t>Abnormal Exhaust Gas (Abnormal White,Blue or Black Smoke)</t>
  </si>
  <si>
    <t>A/T Abnornal Shift Point (Inclusdes Improper Kick down</t>
  </si>
  <si>
    <t>Cluth Judder (Excludes Noise Code=91,Vibration Code=9B)</t>
  </si>
  <si>
    <t>Vehicle Pulls or Drifts to the Right (Not While Braking)</t>
  </si>
  <si>
    <t>Vehicle Pulls or Drifts to the Left (Not While Braking)</t>
  </si>
  <si>
    <t>Improper Stroke (Includes Cluthch &amp; Brake Pedal, Excludes Parking Brake)</t>
  </si>
  <si>
    <t>A/C, Cooler or Heater Not Cold or Hot Enough (Excludes Gas Leak Code=64)</t>
  </si>
  <si>
    <t>Malfunction of Display Panel  (Includes Liquid Crytal Display etc.)</t>
  </si>
  <si>
    <t>Warning  or Indicator Lamp 'On' (Other Than Codes=8A, 8B)</t>
  </si>
  <si>
    <t>Shudder, Excessive Vibration or Pulsation (Other Than Codes=2A, 2B)</t>
  </si>
  <si>
    <t>Polish Mark of Painted Parts (Swirl Mark, Whitening, Fine, Streak)</t>
  </si>
  <si>
    <t>Poor Rerturn of belt, Seatback, Turn Signal Switch etc. (Excludes Brake and Parking Brake</t>
  </si>
  <si>
    <t>411100K070</t>
  </si>
  <si>
    <t>411100K080</t>
  </si>
  <si>
    <t>411100K090</t>
  </si>
  <si>
    <t>411100K100</t>
  </si>
  <si>
    <t>411100K180</t>
  </si>
  <si>
    <t>411100K190</t>
  </si>
  <si>
    <t>411100K210</t>
  </si>
  <si>
    <t>411100K240</t>
  </si>
  <si>
    <t>411100K250</t>
  </si>
  <si>
    <t>411100K260</t>
  </si>
  <si>
    <t>411100K270</t>
  </si>
  <si>
    <t>411100K280</t>
  </si>
  <si>
    <t>411100K290</t>
  </si>
  <si>
    <t>411100K310</t>
  </si>
  <si>
    <t>411100K350</t>
  </si>
  <si>
    <t>411100K360</t>
  </si>
  <si>
    <t>411100K370</t>
  </si>
  <si>
    <t>411830K010</t>
  </si>
  <si>
    <t>411150K010</t>
  </si>
  <si>
    <t>412040K010</t>
  </si>
  <si>
    <t>412040K020</t>
  </si>
  <si>
    <t>412040K030</t>
  </si>
  <si>
    <t>412220K010</t>
  </si>
  <si>
    <t>412220K030</t>
  </si>
  <si>
    <t>413010K010</t>
  </si>
  <si>
    <t>413010K020</t>
  </si>
  <si>
    <t>413010K030</t>
  </si>
  <si>
    <t>413010K040</t>
  </si>
  <si>
    <t>413010K050</t>
  </si>
  <si>
    <t>413010K060</t>
  </si>
  <si>
    <t>413010K070</t>
  </si>
  <si>
    <t>413060K020</t>
  </si>
  <si>
    <t>413150K010</t>
  </si>
  <si>
    <t>413150K020</t>
  </si>
  <si>
    <t>413160K010</t>
  </si>
  <si>
    <t>413200K010</t>
  </si>
  <si>
    <t>413210K010</t>
  </si>
  <si>
    <t>413210K020</t>
  </si>
  <si>
    <t>419930K010</t>
  </si>
  <si>
    <t>421100K010</t>
  </si>
  <si>
    <t>421100K020</t>
  </si>
  <si>
    <t>421100K030</t>
  </si>
  <si>
    <t>421100K040</t>
  </si>
  <si>
    <t>421100K050</t>
  </si>
  <si>
    <t>421100K060</t>
  </si>
  <si>
    <t>421100K080</t>
  </si>
  <si>
    <t>421100K331</t>
  </si>
  <si>
    <t>421100K090</t>
  </si>
  <si>
    <t>421100K100</t>
  </si>
  <si>
    <t>421100K110</t>
  </si>
  <si>
    <t>421100K120</t>
  </si>
  <si>
    <t>421100K140</t>
  </si>
  <si>
    <t>421100K160</t>
  </si>
  <si>
    <t>421100K170</t>
  </si>
  <si>
    <t>421100K180</t>
  </si>
  <si>
    <t>421100K190</t>
  </si>
  <si>
    <t>421100K200</t>
  </si>
  <si>
    <t>421100K280</t>
  </si>
  <si>
    <t>421100K310</t>
  </si>
  <si>
    <t>421100K320</t>
  </si>
  <si>
    <t>421100K330</t>
  </si>
  <si>
    <t>421100K340</t>
  </si>
  <si>
    <t>421100K350</t>
  </si>
  <si>
    <t>421100K360</t>
  </si>
  <si>
    <t>421100K380</t>
  </si>
  <si>
    <t>421100K390</t>
  </si>
  <si>
    <t>421100K400</t>
  </si>
  <si>
    <t>421100K440</t>
  </si>
  <si>
    <t>421100K460</t>
  </si>
  <si>
    <t>421100K470</t>
  </si>
  <si>
    <t>421100K480</t>
  </si>
  <si>
    <t>421100K490</t>
  </si>
  <si>
    <t>421100K500</t>
  </si>
  <si>
    <t>421100K510</t>
  </si>
  <si>
    <t>421810K020</t>
  </si>
  <si>
    <t>423010K010</t>
  </si>
  <si>
    <t>423010K020</t>
  </si>
  <si>
    <t>423010K030</t>
  </si>
  <si>
    <t>423010K040</t>
  </si>
  <si>
    <t>423110K010</t>
  </si>
  <si>
    <t>423110K020</t>
  </si>
  <si>
    <t>423110K030</t>
  </si>
  <si>
    <t>423110K040</t>
  </si>
  <si>
    <t>423110K060</t>
  </si>
  <si>
    <t>423110K070</t>
  </si>
  <si>
    <t>423110K080</t>
  </si>
  <si>
    <t>423110K090</t>
  </si>
  <si>
    <t>424210K020</t>
  </si>
  <si>
    <t>424210K030</t>
  </si>
  <si>
    <t>424230K020</t>
  </si>
  <si>
    <t>424410K030</t>
  </si>
  <si>
    <t>424410K040</t>
  </si>
  <si>
    <t>432110K030</t>
  </si>
  <si>
    <t>432110K040</t>
  </si>
  <si>
    <t>432120K030</t>
  </si>
  <si>
    <t>432120K040</t>
  </si>
  <si>
    <t>435020K010</t>
  </si>
  <si>
    <t>435020K030</t>
  </si>
  <si>
    <t>435020K050</t>
  </si>
  <si>
    <t>435020K090</t>
  </si>
  <si>
    <t>480680K010</t>
  </si>
  <si>
    <t>480680K040</t>
  </si>
  <si>
    <t>480690K010</t>
  </si>
  <si>
    <t>480690K040</t>
  </si>
  <si>
    <t>484040K010</t>
  </si>
  <si>
    <t>484040K020</t>
  </si>
  <si>
    <t>484040K030</t>
  </si>
  <si>
    <t>484040K040</t>
  </si>
  <si>
    <t>484050K010</t>
  </si>
  <si>
    <t>484070K010</t>
  </si>
  <si>
    <t>484070K020</t>
  </si>
  <si>
    <t>484070K030</t>
  </si>
  <si>
    <t>484070K040</t>
  </si>
  <si>
    <t>484160K010</t>
  </si>
  <si>
    <t>485050K010</t>
  </si>
  <si>
    <t>486100K010</t>
  </si>
  <si>
    <t>486100K040</t>
  </si>
  <si>
    <t>486300K010</t>
  </si>
  <si>
    <t>486300K040</t>
  </si>
  <si>
    <t>487200K030</t>
  </si>
  <si>
    <t>510010K012</t>
  </si>
  <si>
    <t>510010K022</t>
  </si>
  <si>
    <t>510010K051</t>
  </si>
  <si>
    <t>510010K061</t>
  </si>
  <si>
    <t>510010K071</t>
  </si>
  <si>
    <t>510010K091</t>
  </si>
  <si>
    <t>510010K111</t>
  </si>
  <si>
    <t>510010K121</t>
  </si>
  <si>
    <t>510010K131</t>
  </si>
  <si>
    <t>411103D380</t>
  </si>
  <si>
    <t>411103D590</t>
  </si>
  <si>
    <t>411103D570</t>
  </si>
  <si>
    <t>510010K140</t>
  </si>
  <si>
    <t>510010K151</t>
  </si>
  <si>
    <t>510010K171</t>
  </si>
  <si>
    <t>510010K181</t>
  </si>
  <si>
    <t>510010K191</t>
  </si>
  <si>
    <t>510010K211</t>
  </si>
  <si>
    <t>510010K312</t>
  </si>
  <si>
    <t>510010K342</t>
  </si>
  <si>
    <t>510010K352</t>
  </si>
  <si>
    <t>510010K362</t>
  </si>
  <si>
    <t>510010K372</t>
  </si>
  <si>
    <t>510010K380</t>
  </si>
  <si>
    <t>510010K413</t>
  </si>
  <si>
    <t>510010K423</t>
  </si>
  <si>
    <t>510010K461</t>
  </si>
  <si>
    <t>510010K481</t>
  </si>
  <si>
    <t>510010K503</t>
  </si>
  <si>
    <t>510010K523</t>
  </si>
  <si>
    <t>510010K531</t>
  </si>
  <si>
    <t>510010K551</t>
  </si>
  <si>
    <t>510010K561</t>
  </si>
  <si>
    <t>510010K582</t>
  </si>
  <si>
    <t>510010K592</t>
  </si>
  <si>
    <t>510010K602</t>
  </si>
  <si>
    <t>510010K642</t>
  </si>
  <si>
    <t>510010K672</t>
  </si>
  <si>
    <t>510010K692</t>
  </si>
  <si>
    <t>510010K702</t>
  </si>
  <si>
    <t>510010K723</t>
  </si>
  <si>
    <t>510010K733</t>
  </si>
  <si>
    <t>510010K761</t>
  </si>
  <si>
    <t>510010K771</t>
  </si>
  <si>
    <t>510010K781</t>
  </si>
  <si>
    <t>510010K791</t>
  </si>
  <si>
    <t>510010K801</t>
  </si>
  <si>
    <t>510010K811</t>
  </si>
  <si>
    <t>510010K821</t>
  </si>
  <si>
    <t>510010K831</t>
  </si>
  <si>
    <t>510010K842</t>
  </si>
  <si>
    <t>510010K852</t>
  </si>
  <si>
    <t>510010K862</t>
  </si>
  <si>
    <t>510010K872</t>
  </si>
  <si>
    <t>510010K882</t>
  </si>
  <si>
    <t>510010K892</t>
  </si>
  <si>
    <t>510010KA42</t>
  </si>
  <si>
    <t>510010KA51</t>
  </si>
  <si>
    <t>510010KA61</t>
  </si>
  <si>
    <t>510010KA81</t>
  </si>
  <si>
    <t>510010KB21</t>
  </si>
  <si>
    <t>510010KB31</t>
  </si>
  <si>
    <t>510010KB41</t>
  </si>
  <si>
    <t>510010KB51</t>
  </si>
  <si>
    <t>510010KC01</t>
  </si>
  <si>
    <t>510010KC11</t>
  </si>
  <si>
    <t>510010KC21</t>
  </si>
  <si>
    <t>510010KC31</t>
  </si>
  <si>
    <t>510010KC50</t>
  </si>
  <si>
    <t>510010KC60</t>
  </si>
  <si>
    <t>510010KC80</t>
  </si>
  <si>
    <t>510010KC90</t>
  </si>
  <si>
    <t>510010KD10</t>
  </si>
  <si>
    <t>510010KD20</t>
  </si>
  <si>
    <t>510170K010</t>
  </si>
  <si>
    <t>510170K020</t>
  </si>
  <si>
    <t>510180K010</t>
  </si>
  <si>
    <t>510180K020</t>
  </si>
  <si>
    <t>510210K020</t>
  </si>
  <si>
    <t>510250K010</t>
  </si>
  <si>
    <t>510260K010</t>
  </si>
  <si>
    <t>510350K010</t>
  </si>
  <si>
    <t>510360K010</t>
  </si>
  <si>
    <t>510710K010</t>
  </si>
  <si>
    <t>510710K020</t>
  </si>
  <si>
    <t>510710K030</t>
  </si>
  <si>
    <t>510730K010</t>
  </si>
  <si>
    <t>510740K010</t>
  </si>
  <si>
    <t>510750K010</t>
  </si>
  <si>
    <t>510770K011</t>
  </si>
  <si>
    <t>510930K020</t>
  </si>
  <si>
    <t>510950K010</t>
  </si>
  <si>
    <t>510960K010</t>
  </si>
  <si>
    <t>511100K010</t>
  </si>
  <si>
    <t>511100K020</t>
  </si>
  <si>
    <t>511200K010</t>
  </si>
  <si>
    <t>511200K020</t>
  </si>
  <si>
    <t>512010K010</t>
  </si>
  <si>
    <t>512010K030</t>
  </si>
  <si>
    <t>512010K040</t>
  </si>
  <si>
    <t>512020K010</t>
  </si>
  <si>
    <t>421100K311</t>
  </si>
  <si>
    <t>421100K011</t>
  </si>
  <si>
    <t>421100K351</t>
  </si>
  <si>
    <t>512020K030</t>
  </si>
  <si>
    <t>512030K010</t>
  </si>
  <si>
    <t>512030K021</t>
  </si>
  <si>
    <t>512030K030</t>
  </si>
  <si>
    <t>512030K040</t>
  </si>
  <si>
    <t>512030K051</t>
  </si>
  <si>
    <t>512040K020</t>
  </si>
  <si>
    <t>512040K032</t>
  </si>
  <si>
    <t>512040K041</t>
  </si>
  <si>
    <t>512040K052</t>
  </si>
  <si>
    <t>512040K060</t>
  </si>
  <si>
    <t>512040K071</t>
  </si>
  <si>
    <t>512040K081</t>
  </si>
  <si>
    <t>512040K100</t>
  </si>
  <si>
    <t>512050K030</t>
  </si>
  <si>
    <t>512050K040</t>
  </si>
  <si>
    <t>512050K050</t>
  </si>
  <si>
    <t>512060K010</t>
  </si>
  <si>
    <t>512060K021</t>
  </si>
  <si>
    <t>512090K010</t>
  </si>
  <si>
    <t>512090K030</t>
  </si>
  <si>
    <t>421150K010</t>
  </si>
  <si>
    <t>421150K020</t>
  </si>
  <si>
    <t>421150K060</t>
  </si>
  <si>
    <t>421150K070</t>
  </si>
  <si>
    <t>421210K060</t>
  </si>
  <si>
    <t>421210K070</t>
  </si>
  <si>
    <t>421220K020</t>
  </si>
  <si>
    <t>421260K040</t>
  </si>
  <si>
    <t>421270K010</t>
  </si>
  <si>
    <t>421270K020</t>
  </si>
  <si>
    <t>421390K020</t>
  </si>
  <si>
    <t>421410K010</t>
  </si>
  <si>
    <t>421410K020</t>
  </si>
  <si>
    <t>421410K030</t>
  </si>
  <si>
    <t>421420K010</t>
  </si>
  <si>
    <t>421420K020</t>
  </si>
  <si>
    <t>421610K020</t>
  </si>
  <si>
    <t>421620K020</t>
  </si>
  <si>
    <t>421630K030</t>
  </si>
  <si>
    <t>421640K010</t>
  </si>
  <si>
    <t>422010K020</t>
  </si>
  <si>
    <t>479310K020</t>
  </si>
  <si>
    <t>484060K010</t>
  </si>
  <si>
    <t>485070K010</t>
  </si>
  <si>
    <t>486560K010</t>
  </si>
  <si>
    <t>486560K020</t>
  </si>
  <si>
    <t>486560K031</t>
  </si>
  <si>
    <t>486560K041</t>
  </si>
  <si>
    <t>487130K010</t>
  </si>
  <si>
    <t>487130K020</t>
  </si>
  <si>
    <t>510110K051</t>
  </si>
  <si>
    <t>510110K080</t>
  </si>
  <si>
    <t>510120K051</t>
  </si>
  <si>
    <t>510120K080</t>
  </si>
  <si>
    <t>510720K030</t>
  </si>
  <si>
    <t>511060K030</t>
  </si>
  <si>
    <t>511050K030</t>
  </si>
  <si>
    <t>511480K020</t>
  </si>
  <si>
    <t>511770K010</t>
  </si>
  <si>
    <t>511910K010</t>
  </si>
  <si>
    <t>511780K010</t>
  </si>
  <si>
    <t>511920K010</t>
  </si>
  <si>
    <t>512050K060</t>
  </si>
  <si>
    <t>512300K041</t>
  </si>
  <si>
    <t>512300K051</t>
  </si>
  <si>
    <t>512470K020</t>
  </si>
  <si>
    <t>512570K010</t>
  </si>
  <si>
    <t>512950K010</t>
  </si>
  <si>
    <t>512960K010</t>
  </si>
  <si>
    <t>513930K010</t>
  </si>
  <si>
    <t>513410K020</t>
  </si>
  <si>
    <t>513940K010</t>
  </si>
  <si>
    <t>514010K010</t>
  </si>
  <si>
    <t>514010K020</t>
  </si>
  <si>
    <t>514010K040</t>
  </si>
  <si>
    <t>514020K010</t>
  </si>
  <si>
    <t>514020K020</t>
  </si>
  <si>
    <t>514020K040</t>
  </si>
  <si>
    <t>515010K010</t>
  </si>
  <si>
    <t>515010K020</t>
  </si>
  <si>
    <t>515020K010</t>
  </si>
  <si>
    <t>515020K020</t>
  </si>
  <si>
    <t>515030K020</t>
  </si>
  <si>
    <t>515040K020</t>
  </si>
  <si>
    <t>515080K010</t>
  </si>
  <si>
    <t>515080K020</t>
  </si>
  <si>
    <t>515090K010</t>
  </si>
  <si>
    <t>515090K020</t>
  </si>
  <si>
    <t>516790K010</t>
  </si>
  <si>
    <t>516790K020</t>
  </si>
  <si>
    <t>517010K020</t>
  </si>
  <si>
    <t>517030K010</t>
  </si>
  <si>
    <t>517040K010</t>
  </si>
  <si>
    <t>517050K010</t>
  </si>
  <si>
    <t>517050K020</t>
  </si>
  <si>
    <t>517060K010</t>
  </si>
  <si>
    <t>Bermuda (Central America)</t>
  </si>
  <si>
    <t>Guadeloupe (Central America)</t>
  </si>
  <si>
    <t>Martinique (Central America)</t>
  </si>
  <si>
    <t>42110-0K391-</t>
  </si>
  <si>
    <t>421100K391</t>
  </si>
  <si>
    <t>G. Cayman (Central America)</t>
  </si>
  <si>
    <t>Anyigua (Central America)</t>
  </si>
  <si>
    <t>Granada (Central America)</t>
  </si>
  <si>
    <t>Monterrat (Central America)</t>
  </si>
  <si>
    <t>St. Lucia (Central America)</t>
  </si>
  <si>
    <t>St. Vincent (Central America)</t>
  </si>
  <si>
    <t>St. Kitts (Central America)</t>
  </si>
  <si>
    <t>SUPPORT SUB-ASSY,SUSPENSION ARM,LH</t>
  </si>
  <si>
    <t>51502-0K020-</t>
  </si>
  <si>
    <t>51508-0K010-</t>
  </si>
  <si>
    <t>BRACKET SUB-ASSY,LWR ARM,RH</t>
  </si>
  <si>
    <t>51508-0K020-</t>
  </si>
  <si>
    <t>51509-0K010-</t>
  </si>
  <si>
    <t>BRACKET SUB-ASSY,LWR ARM,LH</t>
  </si>
  <si>
    <t>57013-0K010-83</t>
  </si>
  <si>
    <t>BRACKET SUB-ASSY , FR SIDE MEMBER , RH</t>
  </si>
  <si>
    <t>51509-0K020-</t>
  </si>
  <si>
    <t>51701-0K020-</t>
  </si>
  <si>
    <t>BRACKET SUB-ASSY,CAB MOUNTING,NO.1</t>
  </si>
  <si>
    <t>51703-0K010-</t>
  </si>
  <si>
    <t>BRACKET SUB-ASSY,CAB MT,NO.2 RH</t>
  </si>
  <si>
    <t>51704-0K010-</t>
  </si>
  <si>
    <t>BRACKET SUB-ASSY,CAB MT,NO.2 LH</t>
  </si>
  <si>
    <t>52105-0K021-</t>
  </si>
  <si>
    <t>51679-0K020-83</t>
  </si>
  <si>
    <t>51705-0K010-</t>
  </si>
  <si>
    <t>BRACKET SUB-ASSY,CAB MT,NO.3 RH</t>
  </si>
  <si>
    <t>51705-0K020-</t>
  </si>
  <si>
    <t>655010K905</t>
  </si>
  <si>
    <t>PANEL SUB-ASSY, RR BODY SIDE</t>
  </si>
  <si>
    <t>BRACKET SUB-ASSY,CAB RR MOUNTING,RH</t>
  </si>
  <si>
    <t>51706-0K010-</t>
  </si>
  <si>
    <t>BRACKET SUB-ASSY,CAB MT,NO.3 LH</t>
  </si>
  <si>
    <t>51731-0K010-</t>
  </si>
  <si>
    <t>65700-0K111-</t>
  </si>
  <si>
    <t>BRACKET,CAB MOUNTING,NO.3</t>
  </si>
  <si>
    <t>52011-0K010-</t>
  </si>
  <si>
    <t>BRACKET SUB-ASSY,FR ABSORBER MT,RH</t>
  </si>
  <si>
    <t>52012-0K010-</t>
  </si>
  <si>
    <t>BRACKET SUB-ASSY,FR ABSORBER MT,LH</t>
  </si>
  <si>
    <t>52023-0K020-</t>
  </si>
  <si>
    <t>Plastic for Bumper</t>
  </si>
  <si>
    <t>52159-0K010-</t>
  </si>
  <si>
    <t>PLATE,RR BUMPER</t>
  </si>
  <si>
    <t>52163-0K010-</t>
  </si>
  <si>
    <t>PLATE,RR BUMPER,RH</t>
  </si>
  <si>
    <t>52164-0K010-</t>
  </si>
  <si>
    <t>PLATE,RR BUMPER,LH</t>
  </si>
  <si>
    <t>52179-0K010-</t>
  </si>
  <si>
    <t>PLATE,RR BUMPER,BAR</t>
  </si>
  <si>
    <t>57081-0K010-</t>
  </si>
  <si>
    <t>58062-0K010-</t>
  </si>
  <si>
    <t>BRACKET SUB-ASSY,FUEL TANK MOUNTING,RR</t>
  </si>
  <si>
    <t>Plastic for TBAS</t>
  </si>
  <si>
    <t>GARNISH,BACK PANEL,UPR</t>
  </si>
  <si>
    <t>GARNISH,BACK PANEL,LWR</t>
  </si>
  <si>
    <t>GATE ASSY,RR BODY TAIL</t>
  </si>
  <si>
    <t>65700-0K090-</t>
  </si>
  <si>
    <t>GATE ASSY RR BODY TAIL W/LATCH</t>
  </si>
  <si>
    <t>PANEL,RR BODY SIDE INNER,RH</t>
  </si>
  <si>
    <t>PANEL,RR BODY SIDE INNER,LH</t>
  </si>
  <si>
    <t>77501-0K020-</t>
  </si>
  <si>
    <t>77502-0K010-</t>
  </si>
  <si>
    <t>BRACKET S/A, FUEL TANK, RR</t>
  </si>
  <si>
    <t>90105-T0101-</t>
  </si>
  <si>
    <t>90105-T0103-</t>
  </si>
  <si>
    <t>90105-T0104-</t>
  </si>
  <si>
    <t>90107-T0001-</t>
  </si>
  <si>
    <t>90119-T0205-</t>
  </si>
  <si>
    <t>BOLT,W/WASHER</t>
  </si>
  <si>
    <t>90177-T0004-</t>
  </si>
  <si>
    <t>NUT,LOCK</t>
  </si>
  <si>
    <t>90178-T0075-</t>
  </si>
  <si>
    <t>NUT,FLANGE</t>
  </si>
  <si>
    <t>90201-08002-1</t>
  </si>
  <si>
    <t>PIN,STRAIGHT</t>
  </si>
  <si>
    <t>90250-T0004-</t>
  </si>
  <si>
    <t>90250-T0006-</t>
  </si>
  <si>
    <t>90301-T0016-</t>
  </si>
  <si>
    <t>RING, O</t>
  </si>
  <si>
    <t>510110K050</t>
  </si>
  <si>
    <t>510120K050</t>
  </si>
  <si>
    <t>512300K050</t>
  </si>
  <si>
    <t>433100K010</t>
  </si>
  <si>
    <t>272WF4095</t>
  </si>
  <si>
    <t>SSMC</t>
  </si>
  <si>
    <t>ECI No.</t>
  </si>
  <si>
    <t>Part No.</t>
  </si>
  <si>
    <t>433300K010</t>
  </si>
  <si>
    <t>4806x</t>
  </si>
  <si>
    <t>4331009015</t>
  </si>
  <si>
    <t>4333009510</t>
  </si>
  <si>
    <t>SATI (TAC)</t>
  </si>
  <si>
    <t>BUMPER S/A FR. ( EDP ไม่มีรู )</t>
  </si>
  <si>
    <t>52101-04120-1[ ED ]</t>
  </si>
  <si>
    <t>90366-T0057</t>
  </si>
  <si>
    <t>90366T0057</t>
  </si>
  <si>
    <t>51001-0K153</t>
  </si>
  <si>
    <t>510010K153</t>
  </si>
  <si>
    <t>51001-0KG10</t>
  </si>
  <si>
    <t>510010KG10</t>
  </si>
  <si>
    <t>LEVER SUB-ASSY, PARKING BRAKE, NO.1</t>
  </si>
  <si>
    <t>LEVER SUB-ASSY, PARKING BRAKE, NO.2</t>
  </si>
  <si>
    <t>CUP KIT WHEEL CYLINDER PISTON RR</t>
  </si>
  <si>
    <t>474100K050</t>
  </si>
  <si>
    <t>476010K050</t>
  </si>
  <si>
    <t>04490K020</t>
  </si>
  <si>
    <t>476020K050</t>
  </si>
  <si>
    <t>049060K040</t>
  </si>
  <si>
    <t>475350K050</t>
  </si>
  <si>
    <t>90016AH501</t>
  </si>
  <si>
    <t>90016AA602</t>
  </si>
  <si>
    <t>049060K090</t>
  </si>
  <si>
    <t>474470K050</t>
  </si>
  <si>
    <t>474490K050</t>
  </si>
  <si>
    <t>049420K040</t>
  </si>
  <si>
    <t>90016AY111</t>
  </si>
  <si>
    <t>90016AY110</t>
  </si>
  <si>
    <t>90016AY109</t>
  </si>
  <si>
    <t>470610K050</t>
  </si>
  <si>
    <t>470620K050</t>
  </si>
  <si>
    <t>049490K030</t>
  </si>
  <si>
    <t>474910K050</t>
  </si>
  <si>
    <t>477500K010</t>
  </si>
  <si>
    <t>HUB SUB-ASSY,FR AXLE (4x4)</t>
  </si>
  <si>
    <t>510010K863</t>
  </si>
  <si>
    <t>94102</t>
  </si>
  <si>
    <t>BRACKET SUB-ASSY, RECEIVER HITCH, RH</t>
  </si>
  <si>
    <t>519020K020</t>
  </si>
  <si>
    <t>BRACKET SUB-ASSY, RECEIVER HITCH, LH</t>
  </si>
  <si>
    <t>CAP, RECEIVER HITCH</t>
  </si>
  <si>
    <t>519050K010</t>
  </si>
  <si>
    <t>519050K020</t>
  </si>
  <si>
    <t>519060K010</t>
  </si>
  <si>
    <t>519060K020</t>
  </si>
  <si>
    <t>519970K020</t>
  </si>
  <si>
    <t>51990-0K010</t>
  </si>
  <si>
    <t>51905-0K020</t>
  </si>
  <si>
    <t>51906-0K010</t>
  </si>
  <si>
    <t>51906-0K020</t>
  </si>
  <si>
    <t>51997-0K020</t>
  </si>
  <si>
    <t>411100K371</t>
  </si>
  <si>
    <t>HMT1B</t>
  </si>
  <si>
    <t>2014-04</t>
  </si>
  <si>
    <t>1</t>
  </si>
  <si>
    <t>3</t>
  </si>
  <si>
    <t/>
  </si>
  <si>
    <t>43510</t>
  </si>
  <si>
    <t>N</t>
  </si>
  <si>
    <t>65</t>
  </si>
  <si>
    <t>43</t>
  </si>
  <si>
    <t>KUN25L-CRMDHW</t>
  </si>
  <si>
    <t>61</t>
  </si>
  <si>
    <t>KUN25</t>
  </si>
  <si>
    <t>1515852</t>
  </si>
  <si>
    <t>MR0</t>
  </si>
  <si>
    <t>HR22G2</t>
  </si>
  <si>
    <t>01515852</t>
  </si>
  <si>
    <t>TH</t>
  </si>
  <si>
    <t>2KD-FTV</t>
  </si>
  <si>
    <t>32</t>
  </si>
  <si>
    <t>5570966</t>
  </si>
  <si>
    <t>040</t>
  </si>
  <si>
    <t>GK10</t>
  </si>
  <si>
    <t>MR156F</t>
  </si>
  <si>
    <t>0</t>
  </si>
  <si>
    <t>2011-12-20</t>
  </si>
  <si>
    <t>43309000</t>
  </si>
  <si>
    <t>2107027</t>
  </si>
  <si>
    <t>OF</t>
  </si>
  <si>
    <t>THB</t>
  </si>
  <si>
    <t>0882680010</t>
  </si>
  <si>
    <t>4103971020</t>
  </si>
  <si>
    <t>90311T0035</t>
  </si>
  <si>
    <t>90311T0037</t>
  </si>
  <si>
    <t>9056450132</t>
  </si>
  <si>
    <t>9056450213</t>
  </si>
  <si>
    <t>2012-03-16</t>
  </si>
  <si>
    <t>2014-03-24</t>
  </si>
  <si>
    <t>33</t>
  </si>
  <si>
    <t>FUITE HUILE PONT AV</t>
  </si>
  <si>
    <t>JEU INTERNE PONT AV,DEFAUT ETANCHEITE JOINT SPI SR</t>
  </si>
  <si>
    <t>RINOVATION PONT AV SUIVANT RT-1445839</t>
  </si>
  <si>
    <t>4120109060</t>
  </si>
  <si>
    <t>4120109B40</t>
  </si>
  <si>
    <t>90311T0013</t>
  </si>
  <si>
    <t>4120109010</t>
  </si>
  <si>
    <t>4120109090</t>
  </si>
  <si>
    <t>4120109270</t>
  </si>
  <si>
    <t>4120109340</t>
  </si>
  <si>
    <t>4120109350</t>
  </si>
  <si>
    <t>4120109380</t>
  </si>
  <si>
    <t>4120109440</t>
  </si>
  <si>
    <t>4120109450</t>
  </si>
  <si>
    <t>4120109460</t>
  </si>
  <si>
    <t>412018033</t>
  </si>
  <si>
    <t>421810K030</t>
  </si>
  <si>
    <t>4244126010</t>
  </si>
  <si>
    <t>4244330010</t>
  </si>
  <si>
    <t>4244355020</t>
  </si>
  <si>
    <t>625100K090</t>
  </si>
  <si>
    <t>90301T0016</t>
  </si>
  <si>
    <t>90301T0043</t>
  </si>
  <si>
    <t>90310T0006</t>
  </si>
  <si>
    <t>90311T0034</t>
  </si>
  <si>
    <t>90311T0014</t>
  </si>
  <si>
    <t>90311T0015</t>
  </si>
  <si>
    <t>90311T0016</t>
  </si>
  <si>
    <t>90313T0002</t>
  </si>
  <si>
    <t>9034118006</t>
  </si>
  <si>
    <t>4120109B10</t>
  </si>
  <si>
    <t>4120109B20</t>
  </si>
  <si>
    <t>4120109B30</t>
  </si>
  <si>
    <t>421100K341</t>
  </si>
  <si>
    <t>411103D510</t>
  </si>
  <si>
    <t>411103D381</t>
  </si>
  <si>
    <t>NUT, LOCK</t>
  </si>
  <si>
    <t>GASKET KIT,DIFFERENTIAL CARRIER</t>
  </si>
  <si>
    <t>044120K470</t>
  </si>
  <si>
    <t>044120K520</t>
  </si>
  <si>
    <t>625200K080B1</t>
  </si>
  <si>
    <t>Plastic for bumper</t>
  </si>
  <si>
    <t>044120K450</t>
  </si>
  <si>
    <t>MEXCO</t>
  </si>
  <si>
    <t>GEORGIA</t>
  </si>
  <si>
    <t>KAZAKHSTAN</t>
  </si>
  <si>
    <t>UAM</t>
  </si>
  <si>
    <t>JTK</t>
  </si>
  <si>
    <t>TNC</t>
  </si>
  <si>
    <t>90311T0063</t>
  </si>
  <si>
    <t>90311T0062</t>
  </si>
  <si>
    <t>510010KF51</t>
  </si>
  <si>
    <t>411100K272</t>
  </si>
  <si>
    <t>411100K032</t>
  </si>
  <si>
    <t>411100K062</t>
  </si>
  <si>
    <t>411100K352</t>
  </si>
  <si>
    <t>GEAR KIT, DIFFERENTIAL</t>
  </si>
  <si>
    <t>90311T0068</t>
  </si>
  <si>
    <t>044120K440</t>
  </si>
  <si>
    <t>411100K282</t>
  </si>
  <si>
    <t>411100K042</t>
  </si>
  <si>
    <t>411100K052</t>
  </si>
  <si>
    <t>GASKET KIT, DIFFERENTIAL CARRIER</t>
  </si>
  <si>
    <t>044120K500</t>
  </si>
  <si>
    <t>412040K070</t>
  </si>
  <si>
    <t>JATH</t>
  </si>
  <si>
    <t>512010D150</t>
  </si>
  <si>
    <t>411100K363</t>
  </si>
  <si>
    <t>411100K362</t>
  </si>
  <si>
    <t>411100K243</t>
  </si>
  <si>
    <t>411100K273</t>
  </si>
  <si>
    <t>411100K293</t>
  </si>
  <si>
    <t>411100K353</t>
  </si>
  <si>
    <t>HOUSING ASSY, RR AXLE</t>
  </si>
  <si>
    <t>421100K520</t>
  </si>
  <si>
    <t>421100K530</t>
  </si>
  <si>
    <t>510010KM70</t>
  </si>
  <si>
    <t>4120109C00</t>
  </si>
  <si>
    <t>4120109C30</t>
  </si>
  <si>
    <t>4120109C50</t>
  </si>
  <si>
    <t>4120109C60</t>
  </si>
  <si>
    <t>4120109C70</t>
  </si>
  <si>
    <t>4120109C80</t>
  </si>
  <si>
    <t>4120109C90</t>
  </si>
  <si>
    <t>4120109D00</t>
  </si>
  <si>
    <t>4120109B60</t>
  </si>
  <si>
    <t>4120109B70</t>
  </si>
  <si>
    <t>4120109B80</t>
  </si>
  <si>
    <t>4120109B90</t>
  </si>
  <si>
    <t>4120109C10</t>
  </si>
  <si>
    <t>4120109C40</t>
  </si>
  <si>
    <t>FINAL GEAR KIT, DIFFERENTIAL</t>
  </si>
  <si>
    <t>SD20</t>
  </si>
  <si>
    <t>411100K012</t>
  </si>
  <si>
    <t>653180K910</t>
  </si>
  <si>
    <t>4120109D20</t>
  </si>
  <si>
    <t>43502KK010</t>
  </si>
  <si>
    <t>HUB SUB-ASSY, FR AXLE</t>
  </si>
  <si>
    <t>43502KK020</t>
  </si>
  <si>
    <t>43502KK030</t>
  </si>
  <si>
    <t>411100K022</t>
  </si>
  <si>
    <t>4120109D10</t>
  </si>
  <si>
    <t>FLANGE SUB-ASSY, DRIVE PINION COMPANION</t>
  </si>
  <si>
    <t>412040K100</t>
  </si>
  <si>
    <t>412040K120</t>
  </si>
  <si>
    <t>ARM S/A, SUSPENSION LWR LH W/BUSH</t>
  </si>
  <si>
    <t>480690K060</t>
  </si>
  <si>
    <t>411100K072</t>
  </si>
  <si>
    <t>411010K080</t>
  </si>
  <si>
    <t>42110KK030</t>
  </si>
  <si>
    <t>42110KK040</t>
  </si>
  <si>
    <t>42110KK060</t>
  </si>
  <si>
    <t>42110KK070</t>
  </si>
  <si>
    <t>42110KK090</t>
  </si>
  <si>
    <t>42110KK100</t>
  </si>
  <si>
    <t>42110KK110</t>
  </si>
  <si>
    <t>42110KK120</t>
  </si>
  <si>
    <t>42110KK150</t>
  </si>
  <si>
    <t>42110KK160</t>
  </si>
  <si>
    <t>42110KK170</t>
  </si>
  <si>
    <t>42110KK190</t>
  </si>
  <si>
    <t>42110KK200</t>
  </si>
  <si>
    <t>411100K181</t>
  </si>
  <si>
    <t>411100K191</t>
  </si>
  <si>
    <t>411100K211</t>
  </si>
  <si>
    <t>411100KC40</t>
  </si>
  <si>
    <t>411100KC50</t>
  </si>
  <si>
    <t>411100KC60</t>
  </si>
  <si>
    <t>411100KC70</t>
  </si>
  <si>
    <t>411100KC80</t>
  </si>
  <si>
    <t>411100K082</t>
  </si>
  <si>
    <t>411100K092</t>
  </si>
  <si>
    <t>411100K102</t>
  </si>
  <si>
    <t>411100K242</t>
  </si>
  <si>
    <t>411100K244</t>
  </si>
  <si>
    <t>411100K252</t>
  </si>
  <si>
    <t>411100K253</t>
  </si>
  <si>
    <t>411100K254</t>
  </si>
  <si>
    <t>411100K262</t>
  </si>
  <si>
    <t>411100K263</t>
  </si>
  <si>
    <t>411100K264</t>
  </si>
  <si>
    <t>411100K274</t>
  </si>
  <si>
    <t>411100KC00</t>
  </si>
  <si>
    <t>411100K283</t>
  </si>
  <si>
    <t>411100K284</t>
  </si>
  <si>
    <t>411100K292</t>
  </si>
  <si>
    <t>411100KC10</t>
  </si>
  <si>
    <t>411100K294</t>
  </si>
  <si>
    <t>411100K312</t>
  </si>
  <si>
    <t>411100K313</t>
  </si>
  <si>
    <t>411100K314</t>
  </si>
  <si>
    <t>411100K354</t>
  </si>
  <si>
    <t>411100KC30</t>
  </si>
  <si>
    <t>411100K364</t>
  </si>
  <si>
    <t>411100K590</t>
  </si>
  <si>
    <t>411100K570</t>
  </si>
  <si>
    <t>411100K580</t>
  </si>
  <si>
    <t>411100K600</t>
  </si>
  <si>
    <t>411100K610</t>
  </si>
  <si>
    <t>411100K620</t>
  </si>
  <si>
    <t>411100K630</t>
  </si>
  <si>
    <t>411100K640</t>
  </si>
  <si>
    <t>411100K650</t>
  </si>
  <si>
    <t>411100K660</t>
  </si>
  <si>
    <t>411100KA30</t>
  </si>
  <si>
    <t>411100KA40</t>
  </si>
  <si>
    <t>411100KA50</t>
  </si>
  <si>
    <t>411100KA60</t>
  </si>
  <si>
    <t>411100KA70</t>
  </si>
  <si>
    <t>411100KA80</t>
  </si>
  <si>
    <t>411100KA90</t>
  </si>
  <si>
    <t>411100KB00</t>
  </si>
  <si>
    <t>411100KB10</t>
  </si>
  <si>
    <t>411100KB20</t>
  </si>
  <si>
    <t>411100KB30</t>
  </si>
  <si>
    <t>411100KB50</t>
  </si>
  <si>
    <t>411100KB60</t>
  </si>
  <si>
    <t>411100KB70</t>
  </si>
  <si>
    <t>RR DIFF BD22</t>
  </si>
  <si>
    <t>RR DIFF BD20</t>
  </si>
  <si>
    <t>90311T0065</t>
  </si>
  <si>
    <t>510010KA53</t>
  </si>
  <si>
    <t>TKT</t>
  </si>
  <si>
    <t>FRAME</t>
  </si>
  <si>
    <t>90311T0064</t>
  </si>
  <si>
    <t>HUB SUB-ASSY, FR AXLE 4x4</t>
  </si>
  <si>
    <t>51001KK100</t>
  </si>
  <si>
    <t>51001KK120</t>
  </si>
  <si>
    <t>51001KK150</t>
  </si>
  <si>
    <t>51001KK210</t>
  </si>
  <si>
    <t>51001KK240</t>
  </si>
  <si>
    <t>51001KK250</t>
  </si>
  <si>
    <t>51001KK260</t>
  </si>
  <si>
    <t>51001KK280</t>
  </si>
  <si>
    <t>51001KK310</t>
  </si>
  <si>
    <t>51001KK320</t>
  </si>
  <si>
    <t>51001KK340</t>
  </si>
  <si>
    <t>51001KK350</t>
  </si>
  <si>
    <t>51001KK360</t>
  </si>
  <si>
    <t>51001KK370</t>
  </si>
  <si>
    <t>51001KK390</t>
  </si>
  <si>
    <t>51001KK400</t>
  </si>
  <si>
    <t>51001KK410</t>
  </si>
  <si>
    <t>51001KK420</t>
  </si>
  <si>
    <t>51001KK430</t>
  </si>
  <si>
    <t>51001KK440</t>
  </si>
  <si>
    <t>51001KK450</t>
  </si>
  <si>
    <t>51001KK470</t>
  </si>
  <si>
    <t>51001KK480</t>
  </si>
  <si>
    <t>51001KK490</t>
  </si>
  <si>
    <t>51001KK500</t>
  </si>
  <si>
    <t>51001KK510</t>
  </si>
  <si>
    <t>51001KK530</t>
  </si>
  <si>
    <t>51001KK540</t>
  </si>
  <si>
    <t>51001KK550</t>
  </si>
  <si>
    <t>51001KK560</t>
  </si>
  <si>
    <t>51001KK570</t>
  </si>
  <si>
    <t>51001KK670</t>
  </si>
  <si>
    <t>51001KK700</t>
  </si>
  <si>
    <t>51001KK720</t>
  </si>
  <si>
    <t>51001KK740</t>
  </si>
  <si>
    <t>51001KK800</t>
  </si>
  <si>
    <t>51001KK810</t>
  </si>
  <si>
    <t>51001KK680</t>
  </si>
  <si>
    <t>51001KK750</t>
  </si>
  <si>
    <t>66170KK010</t>
  </si>
  <si>
    <t>LATCH ASSY, TAIL GATE</t>
  </si>
  <si>
    <t>42181KK010</t>
  </si>
  <si>
    <t>GASKET, DIFFERENTIAL CARRIER</t>
  </si>
  <si>
    <t>RR axle</t>
  </si>
  <si>
    <t>DRUM, BRAKE</t>
  </si>
  <si>
    <t>DISC, RR</t>
  </si>
  <si>
    <t xml:space="preserve">RR Axle </t>
  </si>
  <si>
    <t>411010K011</t>
  </si>
  <si>
    <t>411010K060</t>
  </si>
  <si>
    <t>411010K070</t>
  </si>
  <si>
    <t>42423KK010</t>
  </si>
  <si>
    <t>RETAINER, RR AXLE BEARING</t>
  </si>
  <si>
    <t>42311KK010</t>
  </si>
  <si>
    <t>42311KK020</t>
  </si>
  <si>
    <t>42311KK030</t>
  </si>
  <si>
    <t>42311KK040</t>
  </si>
  <si>
    <t>SHAFT, RR AXLE</t>
  </si>
  <si>
    <t>510010K013</t>
  </si>
  <si>
    <t>510010K023</t>
  </si>
  <si>
    <t>510010K062</t>
  </si>
  <si>
    <t>510010K073</t>
  </si>
  <si>
    <t>510010K093</t>
  </si>
  <si>
    <t>510010K122</t>
  </si>
  <si>
    <t>510010K182</t>
  </si>
  <si>
    <t>510010K193</t>
  </si>
  <si>
    <t>510010K213</t>
  </si>
  <si>
    <t>510010KB91</t>
  </si>
  <si>
    <t>510010K354</t>
  </si>
  <si>
    <t>510010K394</t>
  </si>
  <si>
    <t>510010KC53</t>
  </si>
  <si>
    <t>510010K552</t>
  </si>
  <si>
    <t>510010K562</t>
  </si>
  <si>
    <t>510010K674</t>
  </si>
  <si>
    <t>510010K694</t>
  </si>
  <si>
    <t>510010K762</t>
  </si>
  <si>
    <t>510010K783</t>
  </si>
  <si>
    <t>510010K793</t>
  </si>
  <si>
    <t>510010K802</t>
  </si>
  <si>
    <t>510010K823</t>
  </si>
  <si>
    <t>510010K833</t>
  </si>
  <si>
    <t>510010K844</t>
  </si>
  <si>
    <t>510010K854</t>
  </si>
  <si>
    <t>510010K864</t>
  </si>
  <si>
    <t>510010K874</t>
  </si>
  <si>
    <t>510010K893</t>
  </si>
  <si>
    <t>510010KA62</t>
  </si>
  <si>
    <t>510010KB32</t>
  </si>
  <si>
    <t>510010KB42</t>
  </si>
  <si>
    <t>510010KB53</t>
  </si>
  <si>
    <t>510010KC03</t>
  </si>
  <si>
    <t>510010KC14</t>
  </si>
  <si>
    <t>510010KC24</t>
  </si>
  <si>
    <t>510010KC34</t>
  </si>
  <si>
    <t>510010KF31</t>
  </si>
  <si>
    <t>510010KF41</t>
  </si>
  <si>
    <t>510010KF61</t>
  </si>
  <si>
    <t>510010KF80</t>
  </si>
  <si>
    <t>510010KF90</t>
  </si>
  <si>
    <t>510010KJ42</t>
  </si>
  <si>
    <t>510010KJ71</t>
  </si>
  <si>
    <t>510010KG20</t>
  </si>
  <si>
    <t>510010KG40</t>
  </si>
  <si>
    <t>510010KG70</t>
  </si>
  <si>
    <t>510010KG90</t>
  </si>
  <si>
    <t>510010KJ00</t>
  </si>
  <si>
    <t>510010KL00</t>
  </si>
  <si>
    <t>510010KK80</t>
  </si>
  <si>
    <t>510010KK90</t>
  </si>
  <si>
    <t>510010KL51</t>
  </si>
  <si>
    <t>510010KM80</t>
  </si>
  <si>
    <t>510010KP00</t>
  </si>
  <si>
    <t>510010KP10</t>
  </si>
  <si>
    <t>GASKET, BRAKE DRUM OIL DEFLECTOR</t>
  </si>
  <si>
    <t>GASKET, BRAKE OIL DEFLECTOR</t>
  </si>
  <si>
    <t>413420K040</t>
  </si>
  <si>
    <t>413420K060</t>
  </si>
  <si>
    <t>413420K070</t>
  </si>
  <si>
    <t>413420K080</t>
  </si>
  <si>
    <t>413420K090</t>
  </si>
  <si>
    <t>GKN</t>
  </si>
  <si>
    <t>90366T0062</t>
  </si>
  <si>
    <t>90366T0063</t>
  </si>
  <si>
    <t>90366T0064</t>
  </si>
  <si>
    <t>90366T0065</t>
  </si>
  <si>
    <t>90366T0066</t>
  </si>
  <si>
    <t>90366T0067</t>
  </si>
  <si>
    <t>90366T0068</t>
  </si>
  <si>
    <t>90366T0069</t>
  </si>
  <si>
    <t>90366T0070</t>
  </si>
  <si>
    <t>90366T0071</t>
  </si>
  <si>
    <t>90366T0072</t>
  </si>
  <si>
    <t>90366T0073</t>
  </si>
  <si>
    <t>BEARING, TAPERED ROLLER, NO.1</t>
  </si>
  <si>
    <t>BEARING, TAPERED ROLLER, NO.2</t>
  </si>
  <si>
    <t>65700KK010</t>
  </si>
  <si>
    <t>65700KK020</t>
  </si>
  <si>
    <t>65700KK050</t>
  </si>
  <si>
    <t>65700KK100</t>
  </si>
  <si>
    <t>65700KK110</t>
  </si>
  <si>
    <t>65700KK120</t>
  </si>
  <si>
    <t>65700KK130</t>
  </si>
  <si>
    <t>65700KK170</t>
  </si>
  <si>
    <t>65700KK230</t>
  </si>
  <si>
    <t>65707KK010</t>
  </si>
  <si>
    <t>65708KK010</t>
  </si>
  <si>
    <t>66115KK030</t>
  </si>
  <si>
    <t>65707KK020</t>
  </si>
  <si>
    <t>65708KK020</t>
  </si>
  <si>
    <t>GATE ASSY, RR BODY TAIL</t>
  </si>
  <si>
    <t>REINFORCEMENT SUB-ASSY, TAIL GATE, RH</t>
  </si>
  <si>
    <t>REINFORCEMENT SUB-ASSY, TAIL GATE, LH</t>
  </si>
  <si>
    <t>51501KK010</t>
  </si>
  <si>
    <t>51501KK020</t>
  </si>
  <si>
    <t>SUPPORT SUB-ASSY, SUSPENSION ARM, RH</t>
  </si>
  <si>
    <t>51701KK010</t>
  </si>
  <si>
    <t>BRACKET SUB-ASSY, CAB MOUNTING, NO.1</t>
  </si>
  <si>
    <t>414740K010</t>
  </si>
  <si>
    <t>PLATE, DIFFERENTIAL LOCK POSITION</t>
  </si>
  <si>
    <t>412040K110</t>
  </si>
  <si>
    <t>ACTUATOR ASSY, DIFFERENTIAL MOTOR</t>
  </si>
  <si>
    <t>42421KK010</t>
  </si>
  <si>
    <t>42421KK020</t>
  </si>
  <si>
    <t>42421KK030</t>
  </si>
  <si>
    <t>CASE, RR AXLE BEARING</t>
  </si>
  <si>
    <t>51402KK020</t>
  </si>
  <si>
    <t>51402KK030</t>
  </si>
  <si>
    <t>51402KK040</t>
  </si>
  <si>
    <t>BRACKET SUB-ASSY, ENGINE FR MOUNTING, LH</t>
  </si>
  <si>
    <t>414510K010</t>
  </si>
  <si>
    <t>COIL, DIFFERENTIAL LOCK</t>
  </si>
  <si>
    <t>90366T0083</t>
  </si>
  <si>
    <t>480680K090</t>
  </si>
  <si>
    <t>480690K090</t>
  </si>
  <si>
    <t>ARM SUB-ASSY, SUSPENSION LWR RH W/BUSH</t>
  </si>
  <si>
    <t>ARM SUB-ASSY, SUSPENSION LWR LH W/BUSH</t>
  </si>
  <si>
    <t>413610K380</t>
  </si>
  <si>
    <t>413610K390</t>
  </si>
  <si>
    <t>413610K400</t>
  </si>
  <si>
    <t>413610K410</t>
  </si>
  <si>
    <t>413610K420</t>
  </si>
  <si>
    <t>413610K430</t>
  </si>
  <si>
    <t>413610K440</t>
  </si>
  <si>
    <t>413610K450</t>
  </si>
  <si>
    <t>WASHER, DIFFERENTIAL SIDE GEAR THRUST</t>
  </si>
  <si>
    <t>43211KK010</t>
  </si>
  <si>
    <t>KNUCKLE, STEERING, RH</t>
  </si>
  <si>
    <t>43212KK010</t>
  </si>
  <si>
    <t>KNUCKLE, STEERING, LH</t>
  </si>
  <si>
    <t>51073KK010</t>
  </si>
  <si>
    <t>411010K031</t>
  </si>
  <si>
    <t>412140K040</t>
  </si>
  <si>
    <t>SLINGER, DRIVE PINION OIL</t>
  </si>
  <si>
    <t>TCT</t>
  </si>
  <si>
    <t>90366T0060</t>
  </si>
  <si>
    <t>90105T0081</t>
  </si>
  <si>
    <t>90105T0066</t>
  </si>
  <si>
    <t>90105T0310</t>
  </si>
  <si>
    <t>BOLT, WASHER BASED HEAD HEXAGON</t>
  </si>
  <si>
    <t>HML</t>
  </si>
  <si>
    <t>SKMT</t>
  </si>
  <si>
    <t>411150K020</t>
  </si>
  <si>
    <t>RING, DIFFERENTIAL OIL STORAGE</t>
  </si>
  <si>
    <t>52021KK010</t>
  </si>
  <si>
    <t>REINFORCEMENT SUB-ASSY, FR BUMPER</t>
  </si>
  <si>
    <t>TSBP</t>
  </si>
  <si>
    <t>Old Data</t>
  </si>
  <si>
    <t>Update on 18 May'16</t>
  </si>
  <si>
    <t>)</t>
  </si>
  <si>
    <t>DLR Code</t>
  </si>
  <si>
    <t>Dealer Name</t>
  </si>
  <si>
    <t>DLR CODE</t>
  </si>
  <si>
    <t>NTS Branch</t>
  </si>
  <si>
    <t>DEALER</t>
  </si>
  <si>
    <t>BRANCH</t>
  </si>
  <si>
    <t>DLR_MAME</t>
  </si>
  <si>
    <t>NAME THAI</t>
  </si>
  <si>
    <t>Dealer Name &amp; Branch</t>
  </si>
  <si>
    <t>11015WK</t>
  </si>
  <si>
    <t>VORACHAKYONT</t>
  </si>
  <si>
    <t>VISUTKASAT (HO.)</t>
  </si>
  <si>
    <t>วรจักรยนต์</t>
  </si>
  <si>
    <t>วิสุทธิกษัตริย์</t>
  </si>
  <si>
    <t>11015PT</t>
  </si>
  <si>
    <t>PAHOLYOTHIN</t>
  </si>
  <si>
    <t>พหลโยธิน</t>
  </si>
  <si>
    <t>11015PB</t>
  </si>
  <si>
    <t>PETCHBURI</t>
  </si>
  <si>
    <t>เพชรบุรีตัดใหม่</t>
  </si>
  <si>
    <t>11015BK</t>
  </si>
  <si>
    <t>THONBURI</t>
  </si>
  <si>
    <t>ธนบุรี</t>
  </si>
  <si>
    <t>11015SP</t>
  </si>
  <si>
    <t>PAKNAM</t>
  </si>
  <si>
    <t>ปากน้ำ</t>
  </si>
  <si>
    <t>11015SN</t>
  </si>
  <si>
    <t>SRINAKARIN</t>
  </si>
  <si>
    <t>ศรีนครินทร์</t>
  </si>
  <si>
    <t>11015RM</t>
  </si>
  <si>
    <t>RAMA 2</t>
  </si>
  <si>
    <t>พระราม 2</t>
  </si>
  <si>
    <t>11023CK</t>
  </si>
  <si>
    <t>SPI</t>
  </si>
  <si>
    <t>CHIENGKONG</t>
  </si>
  <si>
    <t>เอส.พี.ไอ</t>
  </si>
  <si>
    <t>เชียงกง</t>
  </si>
  <si>
    <t>11023BK</t>
  </si>
  <si>
    <t>BANGKAE</t>
  </si>
  <si>
    <t>บางแค</t>
  </si>
  <si>
    <t>11023LP</t>
  </si>
  <si>
    <t>LADPRAO</t>
  </si>
  <si>
    <t>ลาดพร้าว</t>
  </si>
  <si>
    <t>11023HO</t>
  </si>
  <si>
    <t>HUAMAK (HO.)</t>
  </si>
  <si>
    <t>หัวหมาก</t>
  </si>
  <si>
    <t>11023SB</t>
  </si>
  <si>
    <t>SUKLAPHIBAL2</t>
  </si>
  <si>
    <t>สุขาภิบาล 2</t>
  </si>
  <si>
    <t>11023PN</t>
  </si>
  <si>
    <t>11023TR</t>
  </si>
  <si>
    <t>TAEPRARAK</t>
  </si>
  <si>
    <t>เทพารักษ์</t>
  </si>
  <si>
    <t>11023RP</t>
  </si>
  <si>
    <t>RATCHAPRUEK</t>
  </si>
  <si>
    <t>ราชพฤกษ์</t>
  </si>
  <si>
    <t>11031PH</t>
  </si>
  <si>
    <t>CHAROENTHAI</t>
  </si>
  <si>
    <t>เจริญไทย</t>
  </si>
  <si>
    <t>11031KT</t>
  </si>
  <si>
    <t>SUKHUMVIT 71</t>
  </si>
  <si>
    <t>สุขุมวิท 71</t>
  </si>
  <si>
    <t>11031PK</t>
  </si>
  <si>
    <t>PATTANAKARN</t>
  </si>
  <si>
    <t>พัฒนาการ</t>
  </si>
  <si>
    <t>11031SR</t>
  </si>
  <si>
    <t>11031SB</t>
  </si>
  <si>
    <t>NAWAMIN</t>
  </si>
  <si>
    <t>นวมินทร์</t>
  </si>
  <si>
    <t>11031VD</t>
  </si>
  <si>
    <t>VIPAVADEE-DINDEANG</t>
  </si>
  <si>
    <t>วิภาวดีฯ-ดินแดง</t>
  </si>
  <si>
    <t>11049PB</t>
  </si>
  <si>
    <t>PITHAN BKK</t>
  </si>
  <si>
    <t>พิธานกรุงเทพฯ</t>
  </si>
  <si>
    <t>เพชรบุรี</t>
  </si>
  <si>
    <t>11049HO</t>
  </si>
  <si>
    <t>SURAWONGSE</t>
  </si>
  <si>
    <t>สุรวงศ์</t>
  </si>
  <si>
    <t>11049RI</t>
  </si>
  <si>
    <t>RAM INDHA</t>
  </si>
  <si>
    <t>รามอินทรา</t>
  </si>
  <si>
    <t>11049TW</t>
  </si>
  <si>
    <t>TAWEEWATTANA</t>
  </si>
  <si>
    <t>ทวีวัฒนา</t>
  </si>
  <si>
    <t>11049SW</t>
  </si>
  <si>
    <t>SUKSAWAT</t>
  </si>
  <si>
    <t>สุขสวัสดิ์</t>
  </si>
  <si>
    <t>11056UL</t>
  </si>
  <si>
    <t>BARAWINSOR</t>
  </si>
  <si>
    <t>U-CHE LIANG</t>
  </si>
  <si>
    <t>พาราวินเซอร์</t>
  </si>
  <si>
    <t>อื้อจื่อเหลียง</t>
  </si>
  <si>
    <t>11056SN</t>
  </si>
  <si>
    <t>11056LB</t>
  </si>
  <si>
    <t>LADKRABANG</t>
  </si>
  <si>
    <t>ลาดกระบัง</t>
  </si>
  <si>
    <t>11064HO</t>
  </si>
  <si>
    <t>KRUNGTHEPYONT</t>
  </si>
  <si>
    <t>RAMA 9</t>
  </si>
  <si>
    <t>กรุงเทพยนต์</t>
  </si>
  <si>
    <t>พระราม 9</t>
  </si>
  <si>
    <t>11064PT</t>
  </si>
  <si>
    <t>PRACHA-U-THID</t>
  </si>
  <si>
    <t>ประชาอุทิศ</t>
  </si>
  <si>
    <t>11064WW</t>
  </si>
  <si>
    <t>WONGSAWANG</t>
  </si>
  <si>
    <t>วงศ์สว่าง</t>
  </si>
  <si>
    <t>11072RM</t>
  </si>
  <si>
    <t>K.MOTORS</t>
  </si>
  <si>
    <t>LIABMAENAM</t>
  </si>
  <si>
    <t>เค. มอเตอร์</t>
  </si>
  <si>
    <t>เลียบแม่น้ำ</t>
  </si>
  <si>
    <t>11072AC</t>
  </si>
  <si>
    <t>EAKCHAI</t>
  </si>
  <si>
    <t>เอกชัย</t>
  </si>
  <si>
    <t>11072PD</t>
  </si>
  <si>
    <t>PHAPRADANG</t>
  </si>
  <si>
    <t>พระประแดง</t>
  </si>
  <si>
    <t>11072HO</t>
  </si>
  <si>
    <t>SUKHUMVIT 43</t>
  </si>
  <si>
    <t>สุขุมวิท 43</t>
  </si>
  <si>
    <t>11072LP</t>
  </si>
  <si>
    <t>11072RH</t>
  </si>
  <si>
    <t>RAMKHAMHEANG</t>
  </si>
  <si>
    <t>รามคำแหง</t>
  </si>
  <si>
    <t>11072SB</t>
  </si>
  <si>
    <t>SUKLAPHIBAL 1</t>
  </si>
  <si>
    <t>สุขาภิบาล 1</t>
  </si>
  <si>
    <t>11072TC</t>
  </si>
  <si>
    <t>CHAN ROAD</t>
  </si>
  <si>
    <t>ถนนจันทร์</t>
  </si>
  <si>
    <t>11072PS</t>
  </si>
  <si>
    <t>PETCHKASEAM</t>
  </si>
  <si>
    <t>เพชรเกษม</t>
  </si>
  <si>
    <t>11072RI</t>
  </si>
  <si>
    <t>11072SM</t>
  </si>
  <si>
    <t>SAPANMAI</t>
  </si>
  <si>
    <t>สะพานใหม่</t>
  </si>
  <si>
    <t>11072BC</t>
  </si>
  <si>
    <t>BANGJAK</t>
  </si>
  <si>
    <t>เค.มอเตอร์</t>
  </si>
  <si>
    <t>บางจาก</t>
  </si>
  <si>
    <t>11072PT</t>
  </si>
  <si>
    <t>11072BK</t>
  </si>
  <si>
    <t>BANGKLO</t>
  </si>
  <si>
    <t>บางโคล่</t>
  </si>
  <si>
    <t>11072HK</t>
  </si>
  <si>
    <t>HUAYKHWANG</t>
  </si>
  <si>
    <t>ห้วยขวาง</t>
  </si>
  <si>
    <t>11072ST</t>
  </si>
  <si>
    <t>SRINAKARINTEPARUK</t>
  </si>
  <si>
    <t>ศรีนครินทร์เทพารักษ์</t>
  </si>
  <si>
    <t>11072VP</t>
  </si>
  <si>
    <t>VIPAWADEE 60</t>
  </si>
  <si>
    <t>วิภาวดี 60</t>
  </si>
  <si>
    <t>11080LP</t>
  </si>
  <si>
    <t>METROPOLITAN</t>
  </si>
  <si>
    <t>มหานคร</t>
  </si>
  <si>
    <t>11080BN</t>
  </si>
  <si>
    <t>BANGNA</t>
  </si>
  <si>
    <t>บางนา</t>
  </si>
  <si>
    <t>11080LS</t>
  </si>
  <si>
    <t>CHANGWATTANA (LAKSI)</t>
  </si>
  <si>
    <t>แจ้งวัฒนะ (หลักสี่)</t>
  </si>
  <si>
    <t>11080RB</t>
  </si>
  <si>
    <t>RAJBURANA</t>
  </si>
  <si>
    <t>ราษฎร์บูรณะ</t>
  </si>
  <si>
    <t>11080SR</t>
  </si>
  <si>
    <t>SRI AYUHAYA 2</t>
  </si>
  <si>
    <t>ศรีอยุธยา</t>
  </si>
  <si>
    <t>11080PC</t>
  </si>
  <si>
    <t>PRACHACHERN</t>
  </si>
  <si>
    <t>ประชาชื่น</t>
  </si>
  <si>
    <t>11080WW</t>
  </si>
  <si>
    <t>WONGWANROPNOK</t>
  </si>
  <si>
    <t>วงแหวนรอบนอก</t>
  </si>
  <si>
    <t>11080WH</t>
  </si>
  <si>
    <t>WANGHIN</t>
  </si>
  <si>
    <t>วังหิน</t>
  </si>
  <si>
    <t>11080RM</t>
  </si>
  <si>
    <t>11080TP</t>
  </si>
  <si>
    <t>TAEPALUCK</t>
  </si>
  <si>
    <t>11080DM</t>
  </si>
  <si>
    <t>DONMUANG</t>
  </si>
  <si>
    <t>ดอนเมือง</t>
  </si>
  <si>
    <t>11080SM</t>
  </si>
  <si>
    <t>SAIMAI</t>
  </si>
  <si>
    <t>สายไหม</t>
  </si>
  <si>
    <t>11080BT</t>
  </si>
  <si>
    <t>PINGLAO</t>
  </si>
  <si>
    <t>ปิ่นเกล้า</t>
  </si>
  <si>
    <t>11098CW</t>
  </si>
  <si>
    <t>CHARANSANITWONG</t>
  </si>
  <si>
    <t>จรัลสนิทวงศ์</t>
  </si>
  <si>
    <t>11098PB</t>
  </si>
  <si>
    <t>PETCHBURI TUDMAI</t>
  </si>
  <si>
    <t>11098RM</t>
  </si>
  <si>
    <t>RAMA II</t>
  </si>
  <si>
    <t>11098LP</t>
  </si>
  <si>
    <t>11098HO</t>
  </si>
  <si>
    <t>TAPRA</t>
  </si>
  <si>
    <t>ท่าพระ</t>
  </si>
  <si>
    <t>11098ON</t>
  </si>
  <si>
    <t>ON-NUCH</t>
  </si>
  <si>
    <t>อ่อนนุช</t>
  </si>
  <si>
    <t>11098WS</t>
  </si>
  <si>
    <t>WONG SAWANG</t>
  </si>
  <si>
    <t>11098PM</t>
  </si>
  <si>
    <t>PRADITMANUTHAM</t>
  </si>
  <si>
    <t>ประดิษฐ์มนูธรรม</t>
  </si>
  <si>
    <t>11098SK</t>
  </si>
  <si>
    <t>SUKHAPHIBAL 3</t>
  </si>
  <si>
    <t>สุขาภิบาล 3</t>
  </si>
  <si>
    <t>11098RK</t>
  </si>
  <si>
    <t>ROMKLAO</t>
  </si>
  <si>
    <t>ร่มเกล้า</t>
  </si>
  <si>
    <t>11098BP</t>
  </si>
  <si>
    <t>RAMKAMHANG</t>
  </si>
  <si>
    <t>11106SN</t>
  </si>
  <si>
    <t>SUMMIT</t>
  </si>
  <si>
    <t>ซัมมิท</t>
  </si>
  <si>
    <t>11106HO</t>
  </si>
  <si>
    <t>11106ON</t>
  </si>
  <si>
    <t>11106RP</t>
  </si>
  <si>
    <t>RATCHADAPISEK</t>
  </si>
  <si>
    <t>รัชดาภิเษก</t>
  </si>
  <si>
    <t>11106BM</t>
  </si>
  <si>
    <t>BANGMUENG</t>
  </si>
  <si>
    <t>บางเมือง</t>
  </si>
  <si>
    <t>11116HO</t>
  </si>
  <si>
    <t>LEXUS B'KK</t>
  </si>
  <si>
    <t>LEXUS</t>
  </si>
  <si>
    <t>เล็กซ์ซัส กรุงเทพฯ</t>
  </si>
  <si>
    <t>เล็กซ์ซัส</t>
  </si>
  <si>
    <t>11122HO</t>
  </si>
  <si>
    <t>NARUMIT</t>
  </si>
  <si>
    <t>NARUEMIT</t>
  </si>
  <si>
    <t>นฤมิต</t>
  </si>
  <si>
    <t>สำนักงานใหญ่</t>
  </si>
  <si>
    <t>11130HO</t>
  </si>
  <si>
    <t>PARAGON MOTOR</t>
  </si>
  <si>
    <t>พาราก้อน มอเตอร์</t>
  </si>
  <si>
    <t>11130TM</t>
  </si>
  <si>
    <t>THAI MARKET</t>
  </si>
  <si>
    <t>พาราก้อน</t>
  </si>
  <si>
    <t>ตลาดไท</t>
  </si>
  <si>
    <t>11148HO</t>
  </si>
  <si>
    <t>KRUNG THAI</t>
  </si>
  <si>
    <t>กรุงไทย</t>
  </si>
  <si>
    <t>11148KS</t>
  </si>
  <si>
    <t>KASET</t>
  </si>
  <si>
    <t>เกษตร</t>
  </si>
  <si>
    <t>11148TC</t>
  </si>
  <si>
    <t>TALING CHAN</t>
  </si>
  <si>
    <t>ตลิ่งชัน</t>
  </si>
  <si>
    <t>11155HO</t>
  </si>
  <si>
    <t>AEKNIMIT THAI</t>
  </si>
  <si>
    <t>เอกนิมิต ไทย</t>
  </si>
  <si>
    <t>11155MT</t>
  </si>
  <si>
    <t>MUANGTHONG-TIWANON</t>
  </si>
  <si>
    <t>เอกนิมิตไทย</t>
  </si>
  <si>
    <t>เมืองทอง - ติวานนท์</t>
  </si>
  <si>
    <t>11155KY</t>
  </si>
  <si>
    <t>KARNCHANAPISEK-BANGYAI</t>
  </si>
  <si>
    <t>กาญจนาภิเษก-บางใหญ่</t>
  </si>
  <si>
    <t>11163HO</t>
  </si>
  <si>
    <t>P.S ENTERPRISE</t>
  </si>
  <si>
    <t>HEAD OFFICE</t>
  </si>
  <si>
    <t>พี.เอส. เอ็นเตอร์ไพรส์</t>
  </si>
  <si>
    <t>11163LK</t>
  </si>
  <si>
    <t>LAMLOOKKA</t>
  </si>
  <si>
    <t>พี.เอส. เอนเตอร์ไพรซ์</t>
  </si>
  <si>
    <t>ลำลูกกา</t>
  </si>
  <si>
    <t>11171HO</t>
  </si>
  <si>
    <t>PETRA</t>
  </si>
  <si>
    <t>เภตรา</t>
  </si>
  <si>
    <t>11171RS</t>
  </si>
  <si>
    <t>RANGSIT</t>
  </si>
  <si>
    <t>รังสิต</t>
  </si>
  <si>
    <t>11171LK</t>
  </si>
  <si>
    <t>LADLUMKAEW</t>
  </si>
  <si>
    <t>ลาดหลุมแก้ว</t>
  </si>
  <si>
    <t>11189HO</t>
  </si>
  <si>
    <t>LIBRA</t>
  </si>
  <si>
    <t>ลิบรา</t>
  </si>
  <si>
    <t>11189WP</t>
  </si>
  <si>
    <t>WATCHARAPOL</t>
  </si>
  <si>
    <t>วัชรพล</t>
  </si>
  <si>
    <t>11197HO</t>
  </si>
  <si>
    <t>PHUMPATTANA</t>
  </si>
  <si>
    <t>ภูมิพัฒนา</t>
  </si>
  <si>
    <t>11197SL</t>
  </si>
  <si>
    <t>SUANLUANG</t>
  </si>
  <si>
    <t>สวนหลวง</t>
  </si>
  <si>
    <t>11197NJ</t>
  </si>
  <si>
    <t>NONGJOK</t>
  </si>
  <si>
    <t>หนองจอก</t>
  </si>
  <si>
    <t>1120501</t>
  </si>
  <si>
    <t>@ UNITED</t>
  </si>
  <si>
    <t>PUCHAOSAMINGPHRAI</t>
  </si>
  <si>
    <t>แอท ยูไนเต็ด</t>
  </si>
  <si>
    <t>ปู่เจ้าสมิงพราย</t>
  </si>
  <si>
    <t>1120502</t>
  </si>
  <si>
    <t>PAKNAM - BANGPOO</t>
  </si>
  <si>
    <t>ปากน้ำ - บางปู</t>
  </si>
  <si>
    <t>11205TR</t>
  </si>
  <si>
    <t>THEPARUK (HO)</t>
  </si>
  <si>
    <t>เทพารักษ์ (สนญ)</t>
  </si>
  <si>
    <t>11205RS</t>
  </si>
  <si>
    <t>RAMA 3</t>
  </si>
  <si>
    <t>พระราม 3</t>
  </si>
  <si>
    <t>11213HO</t>
  </si>
  <si>
    <t>T.B.N.</t>
  </si>
  <si>
    <t>โตโยต้า ที บี เอ็น</t>
  </si>
  <si>
    <t>11213SO</t>
  </si>
  <si>
    <t>SUVARNABHUMI-ON NUCH</t>
  </si>
  <si>
    <t>สุวรรณภูมิ-อ่อนนุช</t>
  </si>
  <si>
    <t>11213RK</t>
  </si>
  <si>
    <t>11213KS</t>
  </si>
  <si>
    <t>KARNCHANAPISEK</t>
  </si>
  <si>
    <t>กาญจนาภิเษก</t>
  </si>
  <si>
    <t>11221HO</t>
  </si>
  <si>
    <t>BANGKOK</t>
  </si>
  <si>
    <t>บางกอก</t>
  </si>
  <si>
    <t>11221DM</t>
  </si>
  <si>
    <t>DONGMUANG</t>
  </si>
  <si>
    <t>11221B1</t>
  </si>
  <si>
    <t>KARNCHANAPHISEK</t>
  </si>
  <si>
    <t>11239HO</t>
  </si>
  <si>
    <t>FRIENDSHIP</t>
  </si>
  <si>
    <t>เฟรนส์ชิบ</t>
  </si>
  <si>
    <t>11239BW</t>
  </si>
  <si>
    <t>BANGKUWAD</t>
  </si>
  <si>
    <t>บางคูวัด</t>
  </si>
  <si>
    <t>11239NK</t>
  </si>
  <si>
    <t>NAWANAKORN</t>
  </si>
  <si>
    <t>นวนคร</t>
  </si>
  <si>
    <t>11247HO</t>
  </si>
  <si>
    <t>EMPIRES</t>
  </si>
  <si>
    <t>เอ็มไพร์ส</t>
  </si>
  <si>
    <t>11247BB</t>
  </si>
  <si>
    <t>BANGBON</t>
  </si>
  <si>
    <t>บางบอน</t>
  </si>
  <si>
    <t>11254HO</t>
  </si>
  <si>
    <t>SIAM AUTO SALON</t>
  </si>
  <si>
    <t>สยาม ออโต้ ซาลอน</t>
  </si>
  <si>
    <t>11254BK</t>
  </si>
  <si>
    <t>สยามออโต้ซาลอน</t>
  </si>
  <si>
    <t>11262HO</t>
  </si>
  <si>
    <t>JD CARS</t>
  </si>
  <si>
    <t>เจดี คาร์ส</t>
  </si>
  <si>
    <t>11270HO</t>
  </si>
  <si>
    <t>NAKORNTHON</t>
  </si>
  <si>
    <t>นครธน</t>
  </si>
  <si>
    <t>11270TR</t>
  </si>
  <si>
    <t>TEPARAK</t>
  </si>
  <si>
    <t>11270BB</t>
  </si>
  <si>
    <t>BANGBOR</t>
  </si>
  <si>
    <t>บางบ่อ</t>
  </si>
  <si>
    <t>11270SP</t>
  </si>
  <si>
    <t>SONGPRAPA</t>
  </si>
  <si>
    <t>สรงประภา</t>
  </si>
  <si>
    <t>11288RM</t>
  </si>
  <si>
    <t>MUANGNON</t>
  </si>
  <si>
    <t>SAPHAN PRARAM 5</t>
  </si>
  <si>
    <t>เมืองนนท์</t>
  </si>
  <si>
    <t>สะพานพระราม 5</t>
  </si>
  <si>
    <t>11288HO</t>
  </si>
  <si>
    <t>TIWANON (HO.)</t>
  </si>
  <si>
    <t>ติวานนท์ (สนญ.)</t>
  </si>
  <si>
    <t>11288CP</t>
  </si>
  <si>
    <t>CHAIYAPHRUK</t>
  </si>
  <si>
    <t>ชัยพฤกษ์</t>
  </si>
  <si>
    <t>11296HO</t>
  </si>
  <si>
    <t>CHAIRATCHAKARN</t>
  </si>
  <si>
    <t>ชัยรัชการ</t>
  </si>
  <si>
    <t>11296KN</t>
  </si>
  <si>
    <t>KASETNAWAMIN</t>
  </si>
  <si>
    <t>เกษตรนวมินทร์</t>
  </si>
  <si>
    <t>11304HO</t>
  </si>
  <si>
    <t>SUVARNABHUMI</t>
  </si>
  <si>
    <t>สุวรรณภูมิ</t>
  </si>
  <si>
    <t>11304KK</t>
  </si>
  <si>
    <t>KINGKAEW</t>
  </si>
  <si>
    <t>กิ่งแก้ว</t>
  </si>
  <si>
    <t>11304PS</t>
  </si>
  <si>
    <t>PETCHKASEM</t>
  </si>
  <si>
    <t>11312HO</t>
  </si>
  <si>
    <t>BUZZ</t>
  </si>
  <si>
    <t>บัสส์</t>
  </si>
  <si>
    <t>11312KN</t>
  </si>
  <si>
    <t>KASET - NAVAMIN</t>
  </si>
  <si>
    <t>11312PK</t>
  </si>
  <si>
    <t>11312RP</t>
  </si>
  <si>
    <t>RAJCHAPHRUK</t>
  </si>
  <si>
    <t>11312RS</t>
  </si>
  <si>
    <t>พระราม2</t>
  </si>
  <si>
    <t>11320HO</t>
  </si>
  <si>
    <t>KANCHANATHEP</t>
  </si>
  <si>
    <t>กาญจนเทพ</t>
  </si>
  <si>
    <t>11346HO</t>
  </si>
  <si>
    <t>LEXUS AUTO CITY</t>
  </si>
  <si>
    <t>เล็กซ์ซัส ออโต้ ซิตี้</t>
  </si>
  <si>
    <t>11353HO</t>
  </si>
  <si>
    <t>MITSUI BUSSAN AUTOMOTIVE</t>
  </si>
  <si>
    <t>มิตซุย บุซซัน ออโตโมทีฟ</t>
  </si>
  <si>
    <t>12013TK</t>
  </si>
  <si>
    <t>NONTHABURI</t>
  </si>
  <si>
    <t>MUANG</t>
  </si>
  <si>
    <t>นนทบุรี</t>
  </si>
  <si>
    <t>เมือง</t>
  </si>
  <si>
    <t>12013BY</t>
  </si>
  <si>
    <t>BANGYAI</t>
  </si>
  <si>
    <t>บางใหญ่</t>
  </si>
  <si>
    <t>12013HO</t>
  </si>
  <si>
    <t>RATTANATHIBET</t>
  </si>
  <si>
    <t>รัตนาธิเบศร์</t>
  </si>
  <si>
    <t>12013CW</t>
  </si>
  <si>
    <t>CHANGWATTANA</t>
  </si>
  <si>
    <t>แจ้งวัฒนะ</t>
  </si>
  <si>
    <t>12013BT</t>
  </si>
  <si>
    <t>BANGBUATONG</t>
  </si>
  <si>
    <t>บางบัวทอง</t>
  </si>
  <si>
    <t>12013SN</t>
  </si>
  <si>
    <t>SAINOI</t>
  </si>
  <si>
    <t>ไทรน้อย</t>
  </si>
  <si>
    <t>12013RP</t>
  </si>
  <si>
    <t>12021HO</t>
  </si>
  <si>
    <t>NAKORNPATHOM</t>
  </si>
  <si>
    <t>นครปฐม</t>
  </si>
  <si>
    <t>12021AY</t>
  </si>
  <si>
    <t>OM-YAI</t>
  </si>
  <si>
    <t>อ้อมใหญ่</t>
  </si>
  <si>
    <t>12021BL</t>
  </si>
  <si>
    <t>BANGLANE</t>
  </si>
  <si>
    <t>บางเลน</t>
  </si>
  <si>
    <t>12021KS</t>
  </si>
  <si>
    <t>KAMPANGSEANG</t>
  </si>
  <si>
    <t>กำแพงแสน</t>
  </si>
  <si>
    <t>12021BT</t>
  </si>
  <si>
    <t>PUDTHAMONTHON</t>
  </si>
  <si>
    <t>พุทธมณฑล</t>
  </si>
  <si>
    <t>12021TD</t>
  </si>
  <si>
    <t>TALADJINDA</t>
  </si>
  <si>
    <t>ตลาดจินดา</t>
  </si>
  <si>
    <t>12039HO</t>
  </si>
  <si>
    <t>SUPANBURI</t>
  </si>
  <si>
    <t>สุพรรณบุรี</t>
  </si>
  <si>
    <t>12039AT</t>
  </si>
  <si>
    <t>U-THONG</t>
  </si>
  <si>
    <t>อู่ทอง</t>
  </si>
  <si>
    <t>12039DC</t>
  </si>
  <si>
    <t>DAN CHANG</t>
  </si>
  <si>
    <t>ด่านช้าง</t>
  </si>
  <si>
    <t>12039SN</t>
  </si>
  <si>
    <t>SONGPINONG</t>
  </si>
  <si>
    <t>สองพี่น้อง</t>
  </si>
  <si>
    <t>12047HO</t>
  </si>
  <si>
    <t>CHAROENKHA</t>
  </si>
  <si>
    <t>BAN PONG</t>
  </si>
  <si>
    <t>เจริญค้า</t>
  </si>
  <si>
    <t>บ้านโป่ง</t>
  </si>
  <si>
    <t>12047PR</t>
  </si>
  <si>
    <t>POTHARAM</t>
  </si>
  <si>
    <t>โพธาราม</t>
  </si>
  <si>
    <t>12047JB</t>
  </si>
  <si>
    <t>JOM-BUENG</t>
  </si>
  <si>
    <t>จอมบึง</t>
  </si>
  <si>
    <t>12054HO</t>
  </si>
  <si>
    <t>12054CK</t>
  </si>
  <si>
    <t>BORKHAEM</t>
  </si>
  <si>
    <t>บ่อแขม</t>
  </si>
  <si>
    <t>12062ML</t>
  </si>
  <si>
    <t>SARABURI</t>
  </si>
  <si>
    <t>MUAK LEK</t>
  </si>
  <si>
    <t>สระบุรี</t>
  </si>
  <si>
    <t>มวกเหล็ก</t>
  </si>
  <si>
    <t>12062HO</t>
  </si>
  <si>
    <t>12062PB</t>
  </si>
  <si>
    <t>PHAPHUDHABAT</t>
  </si>
  <si>
    <t>พระพุทธบาท</t>
  </si>
  <si>
    <t>12062NK</t>
  </si>
  <si>
    <t>NONGKAE</t>
  </si>
  <si>
    <t>หนองแค</t>
  </si>
  <si>
    <t>12062KK</t>
  </si>
  <si>
    <t>KEANGKHOI</t>
  </si>
  <si>
    <t>แก่งคอย</t>
  </si>
  <si>
    <t>12070SN</t>
  </si>
  <si>
    <t>AYUDHAYA</t>
  </si>
  <si>
    <t>SEA-NA</t>
  </si>
  <si>
    <t>อยุธยา</t>
  </si>
  <si>
    <t>เสนา</t>
  </si>
  <si>
    <t>12070HO</t>
  </si>
  <si>
    <t>HO. (ASIA ROAD)</t>
  </si>
  <si>
    <t>สนญ. (สาย เอเชีย)</t>
  </si>
  <si>
    <t>12070LL</t>
  </si>
  <si>
    <t>LADBUALUANG</t>
  </si>
  <si>
    <t>ลาดบัวหลวง</t>
  </si>
  <si>
    <t>12088HO</t>
  </si>
  <si>
    <t>LOPBURI</t>
  </si>
  <si>
    <t>ลพบุรี</t>
  </si>
  <si>
    <t>12088KR</t>
  </si>
  <si>
    <t>KOKSAMRONG</t>
  </si>
  <si>
    <t>โคกสำโรง</t>
  </si>
  <si>
    <t>12088PK</t>
  </si>
  <si>
    <t>PATTANANIKOM</t>
  </si>
  <si>
    <t>พัฒนานิคม</t>
  </si>
  <si>
    <t>12104HO</t>
  </si>
  <si>
    <t>SAMUTSAKORN</t>
  </si>
  <si>
    <t>MAHACHAI</t>
  </si>
  <si>
    <t>สมุทรสาคร</t>
  </si>
  <si>
    <t>มหาชัย (สนญ)</t>
  </si>
  <si>
    <t>12104AM</t>
  </si>
  <si>
    <t>12104KB</t>
  </si>
  <si>
    <t>KRATHUMBAN</t>
  </si>
  <si>
    <t>กระทุ่มแบน</t>
  </si>
  <si>
    <t>12104ST</t>
  </si>
  <si>
    <t>SEADTAKIT ROAD</t>
  </si>
  <si>
    <t>ถนนเศรษฐกิจ</t>
  </si>
  <si>
    <t>12112HO</t>
  </si>
  <si>
    <t>PRACHUABKIRIKAN</t>
  </si>
  <si>
    <t>ประจวบคีรีขันธ์</t>
  </si>
  <si>
    <t>12112PB</t>
  </si>
  <si>
    <t>PRANBURI</t>
  </si>
  <si>
    <t>ปราณบุรี</t>
  </si>
  <si>
    <t>12112BP</t>
  </si>
  <si>
    <t>BANGSAPARN</t>
  </si>
  <si>
    <t>บางสะพาน</t>
  </si>
  <si>
    <t>12112HH</t>
  </si>
  <si>
    <t>HUA HIN</t>
  </si>
  <si>
    <t>หัวหิน</t>
  </si>
  <si>
    <t>12120TK</t>
  </si>
  <si>
    <t>KARNCHANABURI</t>
  </si>
  <si>
    <t>THAMAKA</t>
  </si>
  <si>
    <t>กาญจนบุรี</t>
  </si>
  <si>
    <t>ท่ามะกา</t>
  </si>
  <si>
    <t>12120HO</t>
  </si>
  <si>
    <t>12120PT</t>
  </si>
  <si>
    <t>PANOMTUAN</t>
  </si>
  <si>
    <t>พนมทวน</t>
  </si>
  <si>
    <t>12138WN</t>
  </si>
  <si>
    <t>TEERACHAI</t>
  </si>
  <si>
    <t>WANGMANOW</t>
  </si>
  <si>
    <t>ธีรชัย ราชบุรี</t>
  </si>
  <si>
    <t>วังมะนาว</t>
  </si>
  <si>
    <t>12138HO</t>
  </si>
  <si>
    <t>12138BS</t>
  </si>
  <si>
    <t>DAMNERNSA-DUAK</t>
  </si>
  <si>
    <t>ดำเนินสะดวก</t>
  </si>
  <si>
    <t>12146HO</t>
  </si>
  <si>
    <t>PATHUMTHANI</t>
  </si>
  <si>
    <t>KLONG LUANG</t>
  </si>
  <si>
    <t>ปทุมธานี</t>
  </si>
  <si>
    <t>คลองหลวง</t>
  </si>
  <si>
    <t>12146AM</t>
  </si>
  <si>
    <t>12146RS</t>
  </si>
  <si>
    <t>12153HO</t>
  </si>
  <si>
    <t>SINGBURI</t>
  </si>
  <si>
    <t>สิงห์บุรี</t>
  </si>
  <si>
    <t>12153IB</t>
  </si>
  <si>
    <t>INBURI</t>
  </si>
  <si>
    <t>อินทร์บุรี</t>
  </si>
  <si>
    <t>12162HO</t>
  </si>
  <si>
    <t>KOSIT ANGTHONG</t>
  </si>
  <si>
    <t>โฆสิตอ่างทอง</t>
  </si>
  <si>
    <t>12179HO</t>
  </si>
  <si>
    <t>SAMUTSONGKARM</t>
  </si>
  <si>
    <t>SAMUTSONGKRAM</t>
  </si>
  <si>
    <t>สมุทรสงคราม</t>
  </si>
  <si>
    <t>12179AW</t>
  </si>
  <si>
    <t>AMPHAWA</t>
  </si>
  <si>
    <t>อัมพวา</t>
  </si>
  <si>
    <t>12187HO</t>
  </si>
  <si>
    <t>NAKORNNAYOK</t>
  </si>
  <si>
    <t>นครนายก</t>
  </si>
  <si>
    <t>12187OR</t>
  </si>
  <si>
    <t>AONGRAK</t>
  </si>
  <si>
    <t>องค์รักษ์</t>
  </si>
  <si>
    <t>12195HO</t>
  </si>
  <si>
    <t>TACHIN</t>
  </si>
  <si>
    <t>THAJEAN</t>
  </si>
  <si>
    <t>ท่าจีน</t>
  </si>
  <si>
    <t>12195SP</t>
  </si>
  <si>
    <t>SAM PARN</t>
  </si>
  <si>
    <t>สามพราน</t>
  </si>
  <si>
    <t>12195BT</t>
  </si>
  <si>
    <t>BUDHAMONTHON 4</t>
  </si>
  <si>
    <t>พุทธมณฑลสาย 4</t>
  </si>
  <si>
    <t>12203HO</t>
  </si>
  <si>
    <t>CHAITHONG CHAINAT</t>
  </si>
  <si>
    <t>ชัยทอง ชัยนาท</t>
  </si>
  <si>
    <t>ชัยนาท</t>
  </si>
  <si>
    <t>12211HO</t>
  </si>
  <si>
    <t>PRATOONAMPRA-IN</t>
  </si>
  <si>
    <t>PRA-IN-RACHA</t>
  </si>
  <si>
    <t>ประตูน้ำพระอินทร์</t>
  </si>
  <si>
    <t>พระอินทร์ราชา</t>
  </si>
  <si>
    <t>12211WN</t>
  </si>
  <si>
    <t>HEAD OFFICE WANGNOI</t>
  </si>
  <si>
    <t>สำนักงานใหญ่ วังน้อย</t>
  </si>
  <si>
    <t>12229TY</t>
  </si>
  <si>
    <t>MUANGPETCH</t>
  </si>
  <si>
    <t>เมืองเพชร</t>
  </si>
  <si>
    <t>12229CA</t>
  </si>
  <si>
    <t>CHA-AM</t>
  </si>
  <si>
    <t>ชะอำ</t>
  </si>
  <si>
    <t>12237LR</t>
  </si>
  <si>
    <t>NARAIGRAND</t>
  </si>
  <si>
    <t>นารายณ์แกรนด์</t>
  </si>
  <si>
    <t>12252MN</t>
  </si>
  <si>
    <t>DAIMOND AUTO</t>
  </si>
  <si>
    <t>ไดมอนด์ ออโต้</t>
  </si>
  <si>
    <t>12260SP</t>
  </si>
  <si>
    <t>DISCOVERY</t>
  </si>
  <si>
    <t>ดิสคัฟเวอรี่</t>
  </si>
  <si>
    <t>12278MN</t>
  </si>
  <si>
    <t>MUANGSUPAN</t>
  </si>
  <si>
    <t>เมืองสุพรรณ</t>
  </si>
  <si>
    <t>12286MR</t>
  </si>
  <si>
    <t>CHAINART 2015</t>
  </si>
  <si>
    <t>ชัยนาท 2015</t>
  </si>
  <si>
    <t>13011HO</t>
  </si>
  <si>
    <t>NAKORNSAWAN</t>
  </si>
  <si>
    <t>นครสวรรค์</t>
  </si>
  <si>
    <t>13011NB</t>
  </si>
  <si>
    <t>NONGBUA</t>
  </si>
  <si>
    <t>หนองบัว</t>
  </si>
  <si>
    <t>13011RP</t>
  </si>
  <si>
    <t>RIMPING (MUANG)</t>
  </si>
  <si>
    <t>ริมปิง (เมือง)</t>
  </si>
  <si>
    <t>13011LY</t>
  </si>
  <si>
    <t>LADYAO</t>
  </si>
  <si>
    <t>ลาดยาว</t>
  </si>
  <si>
    <t>13029HO</t>
  </si>
  <si>
    <t>PETCHABOON</t>
  </si>
  <si>
    <t>เพชรบูรณ์</t>
  </si>
  <si>
    <t>13029LS</t>
  </si>
  <si>
    <t>LOMSAK</t>
  </si>
  <si>
    <t>หล่มสัก</t>
  </si>
  <si>
    <t>13029BS</t>
  </si>
  <si>
    <t>BUNGSAMPHAN</t>
  </si>
  <si>
    <t>บึงสามพัน</t>
  </si>
  <si>
    <t>13037HO</t>
  </si>
  <si>
    <t>PRAE</t>
  </si>
  <si>
    <t>PRAELORTRAKUL</t>
  </si>
  <si>
    <t>แพร่หล่อตระกูล</t>
  </si>
  <si>
    <t>แพร่</t>
  </si>
  <si>
    <t>13045HO</t>
  </si>
  <si>
    <t>LAMPANG</t>
  </si>
  <si>
    <t>ลำปาง</t>
  </si>
  <si>
    <t>13045HC</t>
  </si>
  <si>
    <t>HANGCHAT</t>
  </si>
  <si>
    <t>ห้างฉัตร</t>
  </si>
  <si>
    <t>13052HO</t>
  </si>
  <si>
    <t>ALINKIJSIAM</t>
  </si>
  <si>
    <t>MUANG(HO.)</t>
  </si>
  <si>
    <t>อลีนกิจสยาม</t>
  </si>
  <si>
    <t>พิจิตร (สนญ.)</t>
  </si>
  <si>
    <t>13052BR</t>
  </si>
  <si>
    <t>BUENGNARANG</t>
  </si>
  <si>
    <t>พิจิตร</t>
  </si>
  <si>
    <t>13060HO</t>
  </si>
  <si>
    <t>SUKHOTHAI</t>
  </si>
  <si>
    <t>สุโขทัย</t>
  </si>
  <si>
    <t>13060SL</t>
  </si>
  <si>
    <t>SAWANKALOK</t>
  </si>
  <si>
    <t>สวรรคโลก</t>
  </si>
  <si>
    <t>13110HO</t>
  </si>
  <si>
    <t>PAYAO</t>
  </si>
  <si>
    <t>พะเยา</t>
  </si>
  <si>
    <t>13110CK</t>
  </si>
  <si>
    <t>CHIANGKHAM</t>
  </si>
  <si>
    <t>เชียงคำ</t>
  </si>
  <si>
    <t>13128HO</t>
  </si>
  <si>
    <t>NAN</t>
  </si>
  <si>
    <t>น่าน</t>
  </si>
  <si>
    <t>13144HO</t>
  </si>
  <si>
    <t>PISANULOKE</t>
  </si>
  <si>
    <t>THATHONG</t>
  </si>
  <si>
    <t>พิษณุโลก</t>
  </si>
  <si>
    <t>ท่าทอง</t>
  </si>
  <si>
    <t>13144AM</t>
  </si>
  <si>
    <t>NAIMUANG</t>
  </si>
  <si>
    <t>ในเมือง</t>
  </si>
  <si>
    <t>13144NM</t>
  </si>
  <si>
    <t>13144NT</t>
  </si>
  <si>
    <t>NAKORNTHAI</t>
  </si>
  <si>
    <t>นครไทย</t>
  </si>
  <si>
    <t>13160HO</t>
  </si>
  <si>
    <t>MUANG TAK</t>
  </si>
  <si>
    <t>MUANGTAK</t>
  </si>
  <si>
    <t>เมืองตาก</t>
  </si>
  <si>
    <t>13160MS</t>
  </si>
  <si>
    <t>MAESOD</t>
  </si>
  <si>
    <t>แม่สอด</t>
  </si>
  <si>
    <t>13160SN</t>
  </si>
  <si>
    <t>SAM-NGAO</t>
  </si>
  <si>
    <t>สามเงา</t>
  </si>
  <si>
    <t>13178HO</t>
  </si>
  <si>
    <t>KAMPANGPETCH</t>
  </si>
  <si>
    <t>กำแพงเพชร</t>
  </si>
  <si>
    <t>13178SB</t>
  </si>
  <si>
    <t>SALOKBAHT</t>
  </si>
  <si>
    <t>สลกบาตร</t>
  </si>
  <si>
    <t>13185HO</t>
  </si>
  <si>
    <t>UTRARADIT</t>
  </si>
  <si>
    <t>UTRADIT</t>
  </si>
  <si>
    <t>อุตรดิตถ์</t>
  </si>
  <si>
    <t>13185PC</t>
  </si>
  <si>
    <t>PICHAI</t>
  </si>
  <si>
    <t>พิชัย</t>
  </si>
  <si>
    <t>13193HO</t>
  </si>
  <si>
    <t>UTAITHANI</t>
  </si>
  <si>
    <t>UTHAITHANEE</t>
  </si>
  <si>
    <t>อุทัยธานี</t>
  </si>
  <si>
    <t>13193BR</t>
  </si>
  <si>
    <t>BANRAI</t>
  </si>
  <si>
    <t>บ้านไร่</t>
  </si>
  <si>
    <t>13219HO</t>
  </si>
  <si>
    <t>TOYOTA CHIANGMAI</t>
  </si>
  <si>
    <t>CHIENGMAI</t>
  </si>
  <si>
    <t>โตโยต้า เชียงใหม่</t>
  </si>
  <si>
    <t>เชียงใหม่ (มหิดล)</t>
  </si>
  <si>
    <t>13219AM</t>
  </si>
  <si>
    <t>RAJDAMNERN</t>
  </si>
  <si>
    <t>ราชดำเนิน</t>
  </si>
  <si>
    <t>13219ST</t>
  </si>
  <si>
    <t>SANPATONG</t>
  </si>
  <si>
    <t>สันปาตอง</t>
  </si>
  <si>
    <t>13219FA</t>
  </si>
  <si>
    <t>FHANG</t>
  </si>
  <si>
    <t>ฝาง</t>
  </si>
  <si>
    <t>13219LP</t>
  </si>
  <si>
    <t>LAMPOON</t>
  </si>
  <si>
    <t>ลำพูน</t>
  </si>
  <si>
    <t>13219HW</t>
  </si>
  <si>
    <t>SUPER HI-WAY</t>
  </si>
  <si>
    <t>ซุปเปอร์ไฮเวย์</t>
  </si>
  <si>
    <t>13219JT</t>
  </si>
  <si>
    <t>JOMTHONG</t>
  </si>
  <si>
    <t>จอมทอง</t>
  </si>
  <si>
    <t>13227HO</t>
  </si>
  <si>
    <t>LANNA</t>
  </si>
  <si>
    <t>ล้านนา</t>
  </si>
  <si>
    <t>13227MS</t>
  </si>
  <si>
    <t>MAE HONG SON</t>
  </si>
  <si>
    <t>แม่ฮ่องสอน</t>
  </si>
  <si>
    <t>13227LP</t>
  </si>
  <si>
    <t>13227CD</t>
  </si>
  <si>
    <t>CHIANGDAO</t>
  </si>
  <si>
    <t>เชียงดาว</t>
  </si>
  <si>
    <t>13235HO</t>
  </si>
  <si>
    <t>NAKORNPING CHIANGMAI</t>
  </si>
  <si>
    <t>นครพิงค์เชียงใหม่</t>
  </si>
  <si>
    <t>13235SS</t>
  </si>
  <si>
    <t>SANSAI</t>
  </si>
  <si>
    <t>สันทราย</t>
  </si>
  <si>
    <t>13235LP</t>
  </si>
  <si>
    <t>นครพิงค์</t>
  </si>
  <si>
    <t>13243HO</t>
  </si>
  <si>
    <t>NORTHERN LAMPANG</t>
  </si>
  <si>
    <t>NORTHERN  LAMPANG</t>
  </si>
  <si>
    <t>นอร์ทเทิร์น ลำปาง</t>
  </si>
  <si>
    <t>13243TN</t>
  </si>
  <si>
    <t>THOEN</t>
  </si>
  <si>
    <t>เถิน</t>
  </si>
  <si>
    <t>13250HO</t>
  </si>
  <si>
    <t>CHIANGRAI</t>
  </si>
  <si>
    <t>CHIANGRAI (HO)</t>
  </si>
  <si>
    <t>เชียงราย</t>
  </si>
  <si>
    <t>เชียงราย (สนญ)</t>
  </si>
  <si>
    <t>13250TG</t>
  </si>
  <si>
    <t>TERNG</t>
  </si>
  <si>
    <t>เทิง</t>
  </si>
  <si>
    <t>13250PN</t>
  </si>
  <si>
    <t>PARN</t>
  </si>
  <si>
    <t>พาน</t>
  </si>
  <si>
    <t>13250MS</t>
  </si>
  <si>
    <t>MAESAI</t>
  </si>
  <si>
    <t>แม่สาย</t>
  </si>
  <si>
    <t>13250MK</t>
  </si>
  <si>
    <t>MAEKHACHAN</t>
  </si>
  <si>
    <t>แม่ขะจาน</t>
  </si>
  <si>
    <t>13250BD</t>
  </si>
  <si>
    <t>BANDOO-NANGLAE</t>
  </si>
  <si>
    <t>บ้านดู่-นางแล</t>
  </si>
  <si>
    <t>13250CK</t>
  </si>
  <si>
    <t>CHIANGKHONG</t>
  </si>
  <si>
    <t>เชียงของ</t>
  </si>
  <si>
    <t>13268TK</t>
  </si>
  <si>
    <t>CHAOPRAYANAKORNSAWAN</t>
  </si>
  <si>
    <t>TAKLEE</t>
  </si>
  <si>
    <t>เจ้าพระยานครสวรรค์</t>
  </si>
  <si>
    <t>ตาคลี</t>
  </si>
  <si>
    <t>13268MN</t>
  </si>
  <si>
    <t>13276MN</t>
  </si>
  <si>
    <t>RICH</t>
  </si>
  <si>
    <t>ริช</t>
  </si>
  <si>
    <t>13284MN</t>
  </si>
  <si>
    <t>MUANGSONGKWARE</t>
  </si>
  <si>
    <t>เมืองสองแคว</t>
  </si>
  <si>
    <t>14019HO</t>
  </si>
  <si>
    <t>THAIYEN</t>
  </si>
  <si>
    <t>ไทยเย็น</t>
  </si>
  <si>
    <t>14019SK</t>
  </si>
  <si>
    <t>SIKIEW</t>
  </si>
  <si>
    <t>สีคิ้ว</t>
  </si>
  <si>
    <t>14027HO</t>
  </si>
  <si>
    <t>SURINT</t>
  </si>
  <si>
    <t>สุรินทร์</t>
  </si>
  <si>
    <t>14027SK</t>
  </si>
  <si>
    <t>SUNGKA</t>
  </si>
  <si>
    <t>สังขะ</t>
  </si>
  <si>
    <t>14027PS</t>
  </si>
  <si>
    <t>PRASAT</t>
  </si>
  <si>
    <t>ปราสาท</t>
  </si>
  <si>
    <t>14027TT</t>
  </si>
  <si>
    <t>THATUM</t>
  </si>
  <si>
    <t>ท่าตูม</t>
  </si>
  <si>
    <t>14027SB</t>
  </si>
  <si>
    <t>SIKHORABHUMI</t>
  </si>
  <si>
    <t>ศีขรภูมิ</t>
  </si>
  <si>
    <t>14035KL</t>
  </si>
  <si>
    <t>SRISAKES</t>
  </si>
  <si>
    <t>KUNTRALUK</t>
  </si>
  <si>
    <t>ศรีสะเกษ</t>
  </si>
  <si>
    <t>กันทรลักษณ์</t>
  </si>
  <si>
    <t>14035HO</t>
  </si>
  <si>
    <t>14035KK</t>
  </si>
  <si>
    <t>KHUKHUN</t>
  </si>
  <si>
    <t>ขุขันธ์</t>
  </si>
  <si>
    <t>14035RL</t>
  </si>
  <si>
    <t>RASISALAI</t>
  </si>
  <si>
    <t>ราษีไศล</t>
  </si>
  <si>
    <t>14035KR</t>
  </si>
  <si>
    <t>KANTARAROM</t>
  </si>
  <si>
    <t>กันทรารมย์</t>
  </si>
  <si>
    <t>14043HO</t>
  </si>
  <si>
    <t>MAHASARAKARM</t>
  </si>
  <si>
    <t>มหาสารคาม</t>
  </si>
  <si>
    <t>14043PS</t>
  </si>
  <si>
    <t>PAYAKKAPOOM</t>
  </si>
  <si>
    <t>พยัคฆภูมิพิสัย</t>
  </si>
  <si>
    <t>14043KS</t>
  </si>
  <si>
    <t>KOSUMPISAI</t>
  </si>
  <si>
    <t>โกสุมพิสัย</t>
  </si>
  <si>
    <t>14043CY</t>
  </si>
  <si>
    <t>CHIENGYUEN</t>
  </si>
  <si>
    <t>เชียงยืน</t>
  </si>
  <si>
    <t>14050HO</t>
  </si>
  <si>
    <t>SAKOLNAKORN</t>
  </si>
  <si>
    <t>สกลนคร</t>
  </si>
  <si>
    <t>14068HO</t>
  </si>
  <si>
    <t>UBOLRAJTHANI</t>
  </si>
  <si>
    <t>อุบลราชธานี</t>
  </si>
  <si>
    <t>14068CK</t>
  </si>
  <si>
    <t>CHAYANGKUL</t>
  </si>
  <si>
    <t>ชยางกูร</t>
  </si>
  <si>
    <t>14068DD</t>
  </si>
  <si>
    <t>DET-U-DOM</t>
  </si>
  <si>
    <t>เดชอุดม</t>
  </si>
  <si>
    <t>14076HO</t>
  </si>
  <si>
    <t>KHONKAEN</t>
  </si>
  <si>
    <t>ขอนแก่น</t>
  </si>
  <si>
    <t>14076CP</t>
  </si>
  <si>
    <t>CHUMPAE</t>
  </si>
  <si>
    <t>ชุมแพ</t>
  </si>
  <si>
    <t>14076BP</t>
  </si>
  <si>
    <t>BANPAI</t>
  </si>
  <si>
    <t>บ้านไผ่</t>
  </si>
  <si>
    <t>14076KN</t>
  </si>
  <si>
    <t>KRANUAN</t>
  </si>
  <si>
    <t>กระนวน</t>
  </si>
  <si>
    <t>14076MO</t>
  </si>
  <si>
    <t>MORE DINDANG</t>
  </si>
  <si>
    <t>มอดินแดง</t>
  </si>
  <si>
    <t>14076PN</t>
  </si>
  <si>
    <t>POL</t>
  </si>
  <si>
    <t>พล</t>
  </si>
  <si>
    <t>14076MW</t>
  </si>
  <si>
    <t>MALIWAN</t>
  </si>
  <si>
    <t>มลิวรรณ</t>
  </si>
  <si>
    <t>14076SC</t>
  </si>
  <si>
    <t>SRICHAN</t>
  </si>
  <si>
    <t>ศรีจันทร์</t>
  </si>
  <si>
    <t>14084HO</t>
  </si>
  <si>
    <t>UDORNTHANI</t>
  </si>
  <si>
    <t>อุดรธานี</t>
  </si>
  <si>
    <t>14084KP</t>
  </si>
  <si>
    <t>KUMPAWAPEE</t>
  </si>
  <si>
    <t>กุมภวาปี</t>
  </si>
  <si>
    <t>14084BD</t>
  </si>
  <si>
    <t>BANDUNG</t>
  </si>
  <si>
    <t>บ้านดุง</t>
  </si>
  <si>
    <t>14084BP</t>
  </si>
  <si>
    <t>BANPHUE</t>
  </si>
  <si>
    <t>บ้านผือ</t>
  </si>
  <si>
    <t>14092HO</t>
  </si>
  <si>
    <t>CHAIYAPOOM</t>
  </si>
  <si>
    <t>ชัยภูมิ</t>
  </si>
  <si>
    <t>14092BP</t>
  </si>
  <si>
    <t>BYPASS</t>
  </si>
  <si>
    <t>บายพาส</t>
  </si>
  <si>
    <t>14100HO</t>
  </si>
  <si>
    <t>NAKORNPANOM</t>
  </si>
  <si>
    <t>นครพนม</t>
  </si>
  <si>
    <t>14118HO</t>
  </si>
  <si>
    <t>ROI-ED</t>
  </si>
  <si>
    <t>ร้อยเอ็ด</t>
  </si>
  <si>
    <t>14118SP</t>
  </si>
  <si>
    <t>SELAPOOM</t>
  </si>
  <si>
    <t>เสลภูมิ</t>
  </si>
  <si>
    <t>14118SB</t>
  </si>
  <si>
    <t>14118PT</t>
  </si>
  <si>
    <t>PONETHONG</t>
  </si>
  <si>
    <t>โพนทอง</t>
  </si>
  <si>
    <t>14126HO</t>
  </si>
  <si>
    <t>BURIRUM</t>
  </si>
  <si>
    <t>บุรีรัมย์</t>
  </si>
  <si>
    <t>14134HO</t>
  </si>
  <si>
    <t>LOEY</t>
  </si>
  <si>
    <t>เมืองเลย</t>
  </si>
  <si>
    <t>14134WP</t>
  </si>
  <si>
    <t>WANGSAPHUNG</t>
  </si>
  <si>
    <t>วังสะพุง</t>
  </si>
  <si>
    <t>14134DS</t>
  </si>
  <si>
    <t>DANSAI</t>
  </si>
  <si>
    <t>ด่านซ้าย</t>
  </si>
  <si>
    <t>14142HO</t>
  </si>
  <si>
    <t>MUKDAHARN</t>
  </si>
  <si>
    <t>มุกดาหาร</t>
  </si>
  <si>
    <t>14142KI</t>
  </si>
  <si>
    <t>KAMCHA-E</t>
  </si>
  <si>
    <t>คำชะอี</t>
  </si>
  <si>
    <t>14150HO</t>
  </si>
  <si>
    <t>KORAT 1988</t>
  </si>
  <si>
    <t>โคราช</t>
  </si>
  <si>
    <t>14150KK</t>
  </si>
  <si>
    <t>KOK-KYUD</t>
  </si>
  <si>
    <t>โคกกรวด</t>
  </si>
  <si>
    <t>14150PM</t>
  </si>
  <si>
    <t>PIMAI</t>
  </si>
  <si>
    <t>พิมาย</t>
  </si>
  <si>
    <t>14150DT</t>
  </si>
  <si>
    <t>DANKHUNTOD</t>
  </si>
  <si>
    <t>ด่านขุนทด</t>
  </si>
  <si>
    <t>14150CC</t>
  </si>
  <si>
    <t>CHOKCHAI</t>
  </si>
  <si>
    <t>โชคชัย</t>
  </si>
  <si>
    <t>14150BP</t>
  </si>
  <si>
    <t>LIANGMUANG (HO)</t>
  </si>
  <si>
    <t>บายพาท (สนญ.)</t>
  </si>
  <si>
    <t>14150KR</t>
  </si>
  <si>
    <t>KORNBURI</t>
  </si>
  <si>
    <t>ครบุรี</t>
  </si>
  <si>
    <t>14168HO</t>
  </si>
  <si>
    <t>KALASIN</t>
  </si>
  <si>
    <t>กาฬสินธุ์</t>
  </si>
  <si>
    <t>14168KR</t>
  </si>
  <si>
    <t>KHUSHINARAI</t>
  </si>
  <si>
    <t>กุฉินารายณ์</t>
  </si>
  <si>
    <t>14168HM</t>
  </si>
  <si>
    <t>HUYMEX</t>
  </si>
  <si>
    <t>ห้วยเม็ก</t>
  </si>
  <si>
    <t>14168YL</t>
  </si>
  <si>
    <t>YANGTALAD</t>
  </si>
  <si>
    <t>ยางตลาด</t>
  </si>
  <si>
    <t>14175HO</t>
  </si>
  <si>
    <t>YASOTHON</t>
  </si>
  <si>
    <t>ยโสธร</t>
  </si>
  <si>
    <t>14175LT</t>
  </si>
  <si>
    <t>LOENGNOKTHA</t>
  </si>
  <si>
    <t>เลิงนกทา</t>
  </si>
  <si>
    <t>14183HO</t>
  </si>
  <si>
    <t>NONGKAI</t>
  </si>
  <si>
    <t>NONGKI</t>
  </si>
  <si>
    <t>หนองคาย</t>
  </si>
  <si>
    <t>14191HO</t>
  </si>
  <si>
    <t>NANGRONG</t>
  </si>
  <si>
    <t>นางรอง</t>
  </si>
  <si>
    <t>14191LP</t>
  </si>
  <si>
    <t>LAMPAIMAS</t>
  </si>
  <si>
    <t>ลำปลายมาศ</t>
  </si>
  <si>
    <t>14191PT</t>
  </si>
  <si>
    <t>PUTTHAISONG</t>
  </si>
  <si>
    <t>พุทไธสง</t>
  </si>
  <si>
    <t>14191MR</t>
  </si>
  <si>
    <t>MUANGBURIRAM</t>
  </si>
  <si>
    <t>เมืองบุรีรัมย์</t>
  </si>
  <si>
    <t>14191BK</t>
  </si>
  <si>
    <t>BANKRUAD</t>
  </si>
  <si>
    <t>บ้านกรวด</t>
  </si>
  <si>
    <t>14209HO</t>
  </si>
  <si>
    <t>TOYOTA AMNAJCAROEN</t>
  </si>
  <si>
    <t>AMNAJCHAROEN</t>
  </si>
  <si>
    <t>โตโยต้าอำนาจเจริญ</t>
  </si>
  <si>
    <t>อำนาจเจริญ</t>
  </si>
  <si>
    <t>14217HO</t>
  </si>
  <si>
    <t>DEEYIAM</t>
  </si>
  <si>
    <t>ดีเยี่ยม</t>
  </si>
  <si>
    <t>14217TP</t>
  </si>
  <si>
    <t>TRAKARNPHEUTPOL</t>
  </si>
  <si>
    <t>ตระการพืชผล</t>
  </si>
  <si>
    <t>14217NY</t>
  </si>
  <si>
    <t>NUMYUEN</t>
  </si>
  <si>
    <t>น้ำยืน</t>
  </si>
  <si>
    <t>14217PH</t>
  </si>
  <si>
    <t>PHIBOONMUNGSAHARN</t>
  </si>
  <si>
    <t>พิบูลมังสาหาร</t>
  </si>
  <si>
    <t>14225HO</t>
  </si>
  <si>
    <t>KAENNAKORN</t>
  </si>
  <si>
    <t>แก่นนคร</t>
  </si>
  <si>
    <t>14225NR</t>
  </si>
  <si>
    <t>NONGRUE</t>
  </si>
  <si>
    <t>หนองเรือ</t>
  </si>
  <si>
    <t>14225MR</t>
  </si>
  <si>
    <t>MANCHAKHIRI</t>
  </si>
  <si>
    <t>มัญจาคีรี</t>
  </si>
  <si>
    <t>14225BD</t>
  </si>
  <si>
    <t>BANDON</t>
  </si>
  <si>
    <t>บ้านดอน</t>
  </si>
  <si>
    <t>14233HO</t>
  </si>
  <si>
    <t>AMATA</t>
  </si>
  <si>
    <t>HO.</t>
  </si>
  <si>
    <t>อมตะ</t>
  </si>
  <si>
    <t>14233NP</t>
  </si>
  <si>
    <t>NUMPONG</t>
  </si>
  <si>
    <t>น้ำพอง</t>
  </si>
  <si>
    <t>14241NB</t>
  </si>
  <si>
    <t>NONGBUALAMPHU</t>
  </si>
  <si>
    <t>หนองบัวลำภู</t>
  </si>
  <si>
    <t>14241SB</t>
  </si>
  <si>
    <t>SRIBOONRUENG</t>
  </si>
  <si>
    <t>ศรีบุญเรือง</t>
  </si>
  <si>
    <t>14258JH</t>
  </si>
  <si>
    <t>THONGRUAYSIMA</t>
  </si>
  <si>
    <t>JOHO</t>
  </si>
  <si>
    <t>ทองรวยสีมา</t>
  </si>
  <si>
    <t>จอหอ (สนญ)</t>
  </si>
  <si>
    <t>14258BY</t>
  </si>
  <si>
    <t>BUAYAI</t>
  </si>
  <si>
    <t>บัวใหญ่</t>
  </si>
  <si>
    <t>14258PY</t>
  </si>
  <si>
    <t>PRUYAI</t>
  </si>
  <si>
    <t>ปรุใหญ่</t>
  </si>
  <si>
    <t>14266WR</t>
  </si>
  <si>
    <t>DELUXE</t>
  </si>
  <si>
    <t>ดีลักซ์</t>
  </si>
  <si>
    <t>14274BP</t>
  </si>
  <si>
    <t>SHIN NONT</t>
  </si>
  <si>
    <t>ชิณณ์ นนท์</t>
  </si>
  <si>
    <t>14282MN</t>
  </si>
  <si>
    <t>BUENGKAN</t>
  </si>
  <si>
    <t>บึงกาฬ</t>
  </si>
  <si>
    <t>14290MN</t>
  </si>
  <si>
    <t>THAITHANI</t>
  </si>
  <si>
    <t>ไทยธานี</t>
  </si>
  <si>
    <t>14308PC</t>
  </si>
  <si>
    <t>KHAOYAI</t>
  </si>
  <si>
    <t>HEAD OFFICE(PAKCHONG)</t>
  </si>
  <si>
    <t>เขาใหญ่</t>
  </si>
  <si>
    <t>14308PT</t>
  </si>
  <si>
    <t>PAKTONGCHAI</t>
  </si>
  <si>
    <t>ปักธงชัย</t>
  </si>
  <si>
    <t>14316SD</t>
  </si>
  <si>
    <t>BEST</t>
  </si>
  <si>
    <t>เบสท์</t>
  </si>
  <si>
    <t>14316PK</t>
  </si>
  <si>
    <t>PANGKONE</t>
  </si>
  <si>
    <t>พังโคน</t>
  </si>
  <si>
    <t>14324MN</t>
  </si>
  <si>
    <t>PEN NONG</t>
  </si>
  <si>
    <t>เป็นหนึ่ง</t>
  </si>
  <si>
    <t>14332MN</t>
  </si>
  <si>
    <t>PHUMJAIKUNVASI</t>
  </si>
  <si>
    <t>ภูมิใจคุณวาสี</t>
  </si>
  <si>
    <t>14340MN</t>
  </si>
  <si>
    <t>PANOMROUNG</t>
  </si>
  <si>
    <t>พนมรุ้ง</t>
  </si>
  <si>
    <t>14357MN</t>
  </si>
  <si>
    <t>SAKATENAKORN</t>
  </si>
  <si>
    <t>สาเกตนคร</t>
  </si>
  <si>
    <t>15016HO</t>
  </si>
  <si>
    <t>THAIYONT</t>
  </si>
  <si>
    <t>ไทยยนต์ ชลบุรี</t>
  </si>
  <si>
    <t>15016PY</t>
  </si>
  <si>
    <t>PATAYA</t>
  </si>
  <si>
    <t>พัทยา</t>
  </si>
  <si>
    <t>15016NM</t>
  </si>
  <si>
    <t>15040RY</t>
  </si>
  <si>
    <t>RAYONG</t>
  </si>
  <si>
    <t>ระยอง</t>
  </si>
  <si>
    <t>15040KG</t>
  </si>
  <si>
    <t>KLANG</t>
  </si>
  <si>
    <t>แกลง</t>
  </si>
  <si>
    <t>15040HO</t>
  </si>
  <si>
    <t>MABTAPUD (HO.)</t>
  </si>
  <si>
    <t>มาบตาพุด (สนญ.)</t>
  </si>
  <si>
    <t>15057HO</t>
  </si>
  <si>
    <t>CHACHERNGSAO</t>
  </si>
  <si>
    <t>ฉะเชิงเทรา</t>
  </si>
  <si>
    <t>15057SK</t>
  </si>
  <si>
    <t>SANAMCHAIKHET</t>
  </si>
  <si>
    <t>สนามชัยเขต</t>
  </si>
  <si>
    <t>15057SW</t>
  </si>
  <si>
    <t>SUWINTHAWONG</t>
  </si>
  <si>
    <t>สุวินทวงศ์</t>
  </si>
  <si>
    <t>15065HO</t>
  </si>
  <si>
    <t>PRACHINBURI</t>
  </si>
  <si>
    <t>ปราจีนบุรี</t>
  </si>
  <si>
    <t xml:space="preserve">ปราจีนบุรี  </t>
  </si>
  <si>
    <t>15065SP</t>
  </si>
  <si>
    <t>SRIMAHAPHO</t>
  </si>
  <si>
    <t>ศรีมหาโพธิ</t>
  </si>
  <si>
    <t>15073HO</t>
  </si>
  <si>
    <t>TRAD</t>
  </si>
  <si>
    <t>ตราด</t>
  </si>
  <si>
    <t xml:space="preserve">ตราด  </t>
  </si>
  <si>
    <t>15081HO</t>
  </si>
  <si>
    <t>SRAKAEW</t>
  </si>
  <si>
    <t>สระแก้ว</t>
  </si>
  <si>
    <t>15081WY</t>
  </si>
  <si>
    <t>W'NAMYEN</t>
  </si>
  <si>
    <t>วังน้ำเย็น</t>
  </si>
  <si>
    <t>15081AT</t>
  </si>
  <si>
    <t>ARANYAPRATHET</t>
  </si>
  <si>
    <t>อรัญประเทศ</t>
  </si>
  <si>
    <t>15099HO</t>
  </si>
  <si>
    <t>INTERYONT</t>
  </si>
  <si>
    <t>INTERYONT CHONBURI</t>
  </si>
  <si>
    <t>อินเตอร์ยนต์</t>
  </si>
  <si>
    <t>ชลบุรี (สนญ.)</t>
  </si>
  <si>
    <t>15099AO</t>
  </si>
  <si>
    <t>OAW - U - DOM</t>
  </si>
  <si>
    <t>อ่าวอุดม</t>
  </si>
  <si>
    <t>15107HO</t>
  </si>
  <si>
    <t>PATTAYA1998</t>
  </si>
  <si>
    <t>PATTAYA</t>
  </si>
  <si>
    <t>พัทยา (1998)</t>
  </si>
  <si>
    <t>15107BW</t>
  </si>
  <si>
    <t>BORWIN</t>
  </si>
  <si>
    <t>บ่อวิน</t>
  </si>
  <si>
    <t>15115HO</t>
  </si>
  <si>
    <t>VISION</t>
  </si>
  <si>
    <t>วิชั่น</t>
  </si>
  <si>
    <t>15123HO</t>
  </si>
  <si>
    <t>PAVILLIAN RAYONG</t>
  </si>
  <si>
    <t>PAVILION RAYONG</t>
  </si>
  <si>
    <t>พาวิลเลี่ยน ระยอง (2005)</t>
  </si>
  <si>
    <t>15123SS</t>
  </si>
  <si>
    <t>SAPARN 4</t>
  </si>
  <si>
    <t>สะพาน 4</t>
  </si>
  <si>
    <t>15131HO</t>
  </si>
  <si>
    <t>CHANTHABURI</t>
  </si>
  <si>
    <t>CHANTABURI</t>
  </si>
  <si>
    <t>จันทบุรี</t>
  </si>
  <si>
    <t>15131NA</t>
  </si>
  <si>
    <t>NAYAIARM</t>
  </si>
  <si>
    <t>นายายอาม</t>
  </si>
  <si>
    <t>15149BS</t>
  </si>
  <si>
    <t>CHAROENYONT</t>
  </si>
  <si>
    <t>HEAD OFFICE (BANGSAN)</t>
  </si>
  <si>
    <t>เจริญยนต์</t>
  </si>
  <si>
    <t>สำนักงานใหญ่(บางแสน)</t>
  </si>
  <si>
    <t>15149SR</t>
  </si>
  <si>
    <t>SRIRACHA</t>
  </si>
  <si>
    <t>ศรีราชา</t>
  </si>
  <si>
    <t>15149NT</t>
  </si>
  <si>
    <t>NAJOMTIEN</t>
  </si>
  <si>
    <t>นาจอมเทียน</t>
  </si>
  <si>
    <t>15156BC</t>
  </si>
  <si>
    <t>นครระยอง</t>
  </si>
  <si>
    <t>15164MN</t>
  </si>
  <si>
    <t>MUANGCHON</t>
  </si>
  <si>
    <t>เมืองชล</t>
  </si>
  <si>
    <t>15172BK</t>
  </si>
  <si>
    <t>ONE</t>
  </si>
  <si>
    <t>วัน</t>
  </si>
  <si>
    <t>15172PK</t>
  </si>
  <si>
    <t>PANOMSARAKAM</t>
  </si>
  <si>
    <t>พนมสารคาม</t>
  </si>
  <si>
    <t>15180MN</t>
  </si>
  <si>
    <t>NAKORNCHONBURI</t>
  </si>
  <si>
    <t>นครชลบุรี</t>
  </si>
  <si>
    <t>15198BM</t>
  </si>
  <si>
    <t>GND</t>
  </si>
  <si>
    <t>จีเอ็นดี</t>
  </si>
  <si>
    <t>15206MN</t>
  </si>
  <si>
    <t>SMILE</t>
  </si>
  <si>
    <t>สมาย</t>
  </si>
  <si>
    <t>16014HO</t>
  </si>
  <si>
    <t>CHOOMPORN</t>
  </si>
  <si>
    <t>ชุมพร</t>
  </si>
  <si>
    <t>16014TS</t>
  </si>
  <si>
    <t>THASEA</t>
  </si>
  <si>
    <t>ท่าแซะ</t>
  </si>
  <si>
    <t>16014LS</t>
  </si>
  <si>
    <t>LUNGSUAN</t>
  </si>
  <si>
    <t>หลังสวน</t>
  </si>
  <si>
    <t>16014YP</t>
  </si>
  <si>
    <t>YAEKPATHOMPORN</t>
  </si>
  <si>
    <t>แยกปฐมพร</t>
  </si>
  <si>
    <t>16014SW</t>
  </si>
  <si>
    <t>SAWI</t>
  </si>
  <si>
    <t>สวี</t>
  </si>
  <si>
    <t>16030HO</t>
  </si>
  <si>
    <t>PITHAN HADYAI</t>
  </si>
  <si>
    <t>HAD YAI</t>
  </si>
  <si>
    <t>พิธานพาณิชย์ หาดใหญ่</t>
  </si>
  <si>
    <t>หาดใหญ่ (สนญ.)</t>
  </si>
  <si>
    <t>16030ST</t>
  </si>
  <si>
    <t>SATOON</t>
  </si>
  <si>
    <t>สตูล</t>
  </si>
  <si>
    <t>16030SK</t>
  </si>
  <si>
    <t>SONGKLA BR.</t>
  </si>
  <si>
    <t>สงขลา</t>
  </si>
  <si>
    <t>16030NT</t>
  </si>
  <si>
    <t>NATAWEE</t>
  </si>
  <si>
    <t>นาทวี</t>
  </si>
  <si>
    <t>16030LR</t>
  </si>
  <si>
    <t>LOPBURI RAMES</t>
  </si>
  <si>
    <t>ลพบุรีราเมศ</t>
  </si>
  <si>
    <t>16030SD</t>
  </si>
  <si>
    <t>SADAO</t>
  </si>
  <si>
    <t>สะเดา</t>
  </si>
  <si>
    <t>16030B1</t>
  </si>
  <si>
    <t>USECAR</t>
  </si>
  <si>
    <t>ยูสคาร์</t>
  </si>
  <si>
    <t>16048HO</t>
  </si>
  <si>
    <t>PITHAN PATTANI</t>
  </si>
  <si>
    <t>PATTANI</t>
  </si>
  <si>
    <t>พิธานปัตตานี</t>
  </si>
  <si>
    <t>ปัตตานี</t>
  </si>
  <si>
    <t>16055HO</t>
  </si>
  <si>
    <t>RANONG</t>
  </si>
  <si>
    <t>ระนอง</t>
  </si>
  <si>
    <t>16055KR</t>
  </si>
  <si>
    <t>KRABURI</t>
  </si>
  <si>
    <t>กระบุรี</t>
  </si>
  <si>
    <t>16071HO</t>
  </si>
  <si>
    <t>PANG-NGA</t>
  </si>
  <si>
    <t>พังงา</t>
  </si>
  <si>
    <t>16071TP</t>
  </si>
  <si>
    <t>TAKUAPA</t>
  </si>
  <si>
    <t>ตะกั่วป่า</t>
  </si>
  <si>
    <t>16089DS</t>
  </si>
  <si>
    <t>SURAJTHANI</t>
  </si>
  <si>
    <t>DORNSAK</t>
  </si>
  <si>
    <t>สุราษฎร์ธานี</t>
  </si>
  <si>
    <t>ดอนสัก</t>
  </si>
  <si>
    <t>16089HO</t>
  </si>
  <si>
    <t>16089SM</t>
  </si>
  <si>
    <t>KHO SAMUI</t>
  </si>
  <si>
    <t>เกาะสมุย</t>
  </si>
  <si>
    <t>16089VS</t>
  </si>
  <si>
    <t>VIENGSRA</t>
  </si>
  <si>
    <t>เวียงสระ</t>
  </si>
  <si>
    <t>16089TT</t>
  </si>
  <si>
    <t>16089CY</t>
  </si>
  <si>
    <t>CHAIYA</t>
  </si>
  <si>
    <t>ไชยา</t>
  </si>
  <si>
    <t>16105RD</t>
  </si>
  <si>
    <t>PEARL</t>
  </si>
  <si>
    <t>RASADA</t>
  </si>
  <si>
    <t>เพิร์ล</t>
  </si>
  <si>
    <t>รัษฎา</t>
  </si>
  <si>
    <t>16105HO</t>
  </si>
  <si>
    <t>16105CF</t>
  </si>
  <si>
    <t>CHAOFA</t>
  </si>
  <si>
    <t>เจ้าฟ้า</t>
  </si>
  <si>
    <t>16113HO</t>
  </si>
  <si>
    <t>YALA</t>
  </si>
  <si>
    <t>พิธาน ยะลา</t>
  </si>
  <si>
    <t>ยะลา</t>
  </si>
  <si>
    <t>16121AM</t>
  </si>
  <si>
    <t>NARATHIVAS</t>
  </si>
  <si>
    <t>พิธาน นราธิวาส</t>
  </si>
  <si>
    <t>นราธิวาส</t>
  </si>
  <si>
    <t>16121HO</t>
  </si>
  <si>
    <t>SUNGAIKOLOK</t>
  </si>
  <si>
    <t>สุไหงโก-ลก</t>
  </si>
  <si>
    <t>16139HO</t>
  </si>
  <si>
    <t>PATTALUNG</t>
  </si>
  <si>
    <t>พัทลุง</t>
  </si>
  <si>
    <t>16148HO</t>
  </si>
  <si>
    <t>N'SRITHAMMARAJ</t>
  </si>
  <si>
    <t>นครศรีธรรมราช</t>
  </si>
  <si>
    <t>เมือง (สนญ)</t>
  </si>
  <si>
    <t>16148TS</t>
  </si>
  <si>
    <t>TOONGSONG</t>
  </si>
  <si>
    <t>ทุ่งสง</t>
  </si>
  <si>
    <t>16148SC</t>
  </si>
  <si>
    <t>SICHON</t>
  </si>
  <si>
    <t>สิชล</t>
  </si>
  <si>
    <t>16148CD</t>
  </si>
  <si>
    <t>CHANDEE</t>
  </si>
  <si>
    <t>จันดี</t>
  </si>
  <si>
    <t>16164ST</t>
  </si>
  <si>
    <t>SONGKLA</t>
  </si>
  <si>
    <t>16164HO</t>
  </si>
  <si>
    <t>HADYAI</t>
  </si>
  <si>
    <t>หาดใหญ่ใน (สงขลา)</t>
  </si>
  <si>
    <t>16164HY</t>
  </si>
  <si>
    <t>30 M.</t>
  </si>
  <si>
    <t>30 เมตร</t>
  </si>
  <si>
    <t>16164RN</t>
  </si>
  <si>
    <t>RANOD</t>
  </si>
  <si>
    <t>ระโนด</t>
  </si>
  <si>
    <t>16164JN</t>
  </si>
  <si>
    <t>JANA</t>
  </si>
  <si>
    <t>จะนะ</t>
  </si>
  <si>
    <t>16164KY</t>
  </si>
  <si>
    <t>HA YAK KHO YOR</t>
  </si>
  <si>
    <t>ห้าแยกเกาะยอ</t>
  </si>
  <si>
    <t>16172HO</t>
  </si>
  <si>
    <t>TRANG</t>
  </si>
  <si>
    <t>MUNAG</t>
  </si>
  <si>
    <t>เมืองตรัง</t>
  </si>
  <si>
    <t>16172YK</t>
  </si>
  <si>
    <t>YANTAKHAO</t>
  </si>
  <si>
    <t>ย่านตาขาว</t>
  </si>
  <si>
    <t>16172RD</t>
  </si>
  <si>
    <t>16172HY</t>
  </si>
  <si>
    <t>HUAYYOD</t>
  </si>
  <si>
    <t>ห้วยยอด</t>
  </si>
  <si>
    <t>16172ST</t>
  </si>
  <si>
    <t>SRITRANG</t>
  </si>
  <si>
    <t>ศรีตรัง</t>
  </si>
  <si>
    <t>16188HO</t>
  </si>
  <si>
    <t>ANDAMAN KRABI</t>
  </si>
  <si>
    <t>UNDAMARN KRABI</t>
  </si>
  <si>
    <t>อันดามัน กระบี่</t>
  </si>
  <si>
    <t>16188AL</t>
  </si>
  <si>
    <t>OAWLUEK</t>
  </si>
  <si>
    <t>อ่าวลึก</t>
  </si>
  <si>
    <t>16188KT</t>
  </si>
  <si>
    <t>KHLONG THOM</t>
  </si>
  <si>
    <t>คลองท่อม</t>
  </si>
  <si>
    <t>16188KN</t>
  </si>
  <si>
    <t>KHAOPANOM</t>
  </si>
  <si>
    <t>เขาพนม</t>
  </si>
  <si>
    <t>16188NK</t>
  </si>
  <si>
    <t>NUEAKHLONG</t>
  </si>
  <si>
    <t>เหนือคลอง</t>
  </si>
  <si>
    <t>16196HO</t>
  </si>
  <si>
    <t>MUANGKORN</t>
  </si>
  <si>
    <t>เมืองคอน</t>
  </si>
  <si>
    <t>16196TY</t>
  </si>
  <si>
    <t>TUNGYAI</t>
  </si>
  <si>
    <t>ทุ่งใหญ่</t>
  </si>
  <si>
    <t>16196TS</t>
  </si>
  <si>
    <t>THASALA</t>
  </si>
  <si>
    <t>ท่าศาลา</t>
  </si>
  <si>
    <t>16196CU</t>
  </si>
  <si>
    <t>CHA-UAT</t>
  </si>
  <si>
    <t>ชะอวด</t>
  </si>
  <si>
    <t>16204BP</t>
  </si>
  <si>
    <t>TAPEE</t>
  </si>
  <si>
    <t>ตาปี</t>
  </si>
  <si>
    <t>16212MN</t>
  </si>
  <si>
    <t>NEXT</t>
  </si>
  <si>
    <t>เน็กซ์</t>
  </si>
  <si>
    <t>16220MN</t>
  </si>
  <si>
    <t>PHUKET MOTOR</t>
  </si>
  <si>
    <t>ภูเก็ต มอเตอร์</t>
  </si>
  <si>
    <t>16238MN</t>
  </si>
  <si>
    <t>CHAMP</t>
  </si>
  <si>
    <t>แชมป์</t>
  </si>
  <si>
    <t>51011H1</t>
  </si>
  <si>
    <t>TBS</t>
  </si>
  <si>
    <t>โตโยต้าบอดีเซอร์วิส</t>
  </si>
  <si>
    <t>51011S1</t>
  </si>
  <si>
    <t>SAMRONG</t>
  </si>
  <si>
    <t>สำโรง</t>
  </si>
  <si>
    <t>60004H1</t>
  </si>
  <si>
    <t>SUMRONG SERVICE</t>
  </si>
  <si>
    <t>SAMRONG CCCC</t>
  </si>
  <si>
    <t>สำโรง เซอร์วิส</t>
  </si>
  <si>
    <t>Mexco</t>
  </si>
  <si>
    <t>Colombia</t>
  </si>
  <si>
    <t>Georgia</t>
  </si>
  <si>
    <t>Kazakhstan</t>
  </si>
  <si>
    <t>Iraq</t>
  </si>
  <si>
    <t>Lebarnon</t>
  </si>
  <si>
    <t>U.A.E.</t>
  </si>
  <si>
    <t>413360K080</t>
  </si>
  <si>
    <t>B200 , S20 (Dis use on 20 Jun'14)</t>
  </si>
  <si>
    <t>COVER DUST</t>
  </si>
  <si>
    <t>SEAL, TYPE T OIL (LH)</t>
  </si>
  <si>
    <t>SEAL, TYPE T OIL (RH)</t>
  </si>
  <si>
    <t>BEARING, NEEDLE ROLLER</t>
  </si>
  <si>
    <t>BEARING, RADIAL BALL</t>
  </si>
  <si>
    <t>BOLT, HEXALOBULAR</t>
  </si>
  <si>
    <t>BOLT, STUD</t>
  </si>
  <si>
    <t>BOLT, HUB</t>
  </si>
  <si>
    <t>WASHER, PLATE</t>
  </si>
  <si>
    <t>GASKET KIT, DIFFERENTIAL CARRIER(TYPE D)</t>
  </si>
  <si>
    <t>RETAINER SUB-ASSY, SPRING</t>
  </si>
  <si>
    <t>AA</t>
  </si>
  <si>
    <t>AF</t>
  </si>
  <si>
    <t>B1</t>
  </si>
  <si>
    <t>BE</t>
  </si>
  <si>
    <t>FI</t>
  </si>
  <si>
    <t>IH</t>
  </si>
  <si>
    <t>IN</t>
  </si>
  <si>
    <t>KK</t>
  </si>
  <si>
    <t>M1</t>
  </si>
  <si>
    <t>MA</t>
  </si>
  <si>
    <t>QQ</t>
  </si>
  <si>
    <t>X1</t>
  </si>
  <si>
    <t>TAP</t>
  </si>
  <si>
    <t>TKAP</t>
  </si>
  <si>
    <t>TDB</t>
  </si>
  <si>
    <t>TABM</t>
  </si>
  <si>
    <t>TMV</t>
  </si>
  <si>
    <t>SAP</t>
  </si>
  <si>
    <t>TD</t>
  </si>
  <si>
    <t>ADM (ASSY TMMIN)</t>
  </si>
  <si>
    <t>BD</t>
  </si>
  <si>
    <t>AD</t>
  </si>
  <si>
    <t>ARACO</t>
  </si>
  <si>
    <t>DAIHASU</t>
  </si>
  <si>
    <t>FHI</t>
  </si>
  <si>
    <t>GIFU BODY</t>
  </si>
  <si>
    <t>GM</t>
  </si>
  <si>
    <t>J1</t>
  </si>
  <si>
    <t>GTMC2</t>
  </si>
  <si>
    <t>J2</t>
  </si>
  <si>
    <t>GTMC</t>
  </si>
  <si>
    <t>HINO</t>
  </si>
  <si>
    <t>HONSYA</t>
  </si>
  <si>
    <t>HONSYA NO.2</t>
  </si>
  <si>
    <t>HONSYA NO.3</t>
  </si>
  <si>
    <t>HONSYA NO.1</t>
  </si>
  <si>
    <t>PA</t>
  </si>
  <si>
    <t>KD PARTS</t>
  </si>
  <si>
    <t>KD SET</t>
  </si>
  <si>
    <t>KD (MOTOMACHI1)</t>
  </si>
  <si>
    <t>KOKUZUI</t>
  </si>
  <si>
    <t>KYOKUTOKAIHATSU</t>
  </si>
  <si>
    <t>MZ</t>
  </si>
  <si>
    <t>MEXICO MAZDA</t>
  </si>
  <si>
    <t>MOTOMACHI NO.1</t>
  </si>
  <si>
    <t>MOTOMACHI NO.2</t>
  </si>
  <si>
    <t>MOTOMACHI / TSU2</t>
  </si>
  <si>
    <t>MOTONATI / TAHARA</t>
  </si>
  <si>
    <t>Z1</t>
  </si>
  <si>
    <t>PM</t>
  </si>
  <si>
    <t>VP</t>
  </si>
  <si>
    <t>SH</t>
  </si>
  <si>
    <t>MOTOMATI / TAKAOK</t>
  </si>
  <si>
    <t>MOTOMATI / TSUTSU</t>
  </si>
  <si>
    <t>NUMMI</t>
  </si>
  <si>
    <t>PMSB (DAIHATSU)</t>
  </si>
  <si>
    <t>PSA</t>
  </si>
  <si>
    <t>SFTM (SICHUAN)</t>
  </si>
  <si>
    <t>CH</t>
  </si>
  <si>
    <t>CF</t>
  </si>
  <si>
    <t>SA</t>
  </si>
  <si>
    <t>YB</t>
  </si>
  <si>
    <t>IS</t>
  </si>
  <si>
    <t>SFTM1 (CHANGCHUN)</t>
  </si>
  <si>
    <t>SFTM2 (CHANGCHUN)</t>
  </si>
  <si>
    <t>SIA</t>
  </si>
  <si>
    <t>SOLLERS BUSSAN</t>
  </si>
  <si>
    <t>SUGITY</t>
  </si>
  <si>
    <t>TAHARA 2D/1A</t>
  </si>
  <si>
    <t>TAHARA 3/1A</t>
  </si>
  <si>
    <t>TAHARA 3E</t>
  </si>
  <si>
    <t>TAHARA / MOTOMATI</t>
  </si>
  <si>
    <t>TAHARA / TSUTSUMI</t>
  </si>
  <si>
    <t>TAKA SYOURY</t>
  </si>
  <si>
    <t>TAKAOKA</t>
  </si>
  <si>
    <t>TAKAOKA NO.1</t>
  </si>
  <si>
    <t>TAKAOKA NO.2</t>
  </si>
  <si>
    <t>TA</t>
  </si>
  <si>
    <t>PR</t>
  </si>
  <si>
    <t>D1</t>
  </si>
  <si>
    <t>D2</t>
  </si>
  <si>
    <t>VN</t>
  </si>
  <si>
    <t>T3</t>
  </si>
  <si>
    <t>B2</t>
  </si>
  <si>
    <t>B3</t>
  </si>
  <si>
    <t>TAKAOKA NO.3</t>
  </si>
  <si>
    <t>TAKAOKA NO.4</t>
  </si>
  <si>
    <t>TAKAOKA / TAHARA</t>
  </si>
  <si>
    <t>TAW (TOYOTA BODY)</t>
  </si>
  <si>
    <t>TCAP (PORTUGAL)</t>
  </si>
  <si>
    <t>TDB (INDAIATUBA)</t>
  </si>
  <si>
    <t>TDB (SOROCABA)</t>
  </si>
  <si>
    <t>THAILAND</t>
  </si>
  <si>
    <t>TFTM (TENSIN NO.1)</t>
  </si>
  <si>
    <t>TFTM (TENSIN NO.2)</t>
  </si>
  <si>
    <t>TFTM (TENSIN NO.3)</t>
  </si>
  <si>
    <t>AU</t>
  </si>
  <si>
    <t>QZ</t>
  </si>
  <si>
    <t>C1</t>
  </si>
  <si>
    <t>C2</t>
  </si>
  <si>
    <t>C3</t>
  </si>
  <si>
    <t>F1</t>
  </si>
  <si>
    <t>S1</t>
  </si>
  <si>
    <t>TMCA</t>
  </si>
  <si>
    <t>TMEE</t>
  </si>
  <si>
    <t>TMEJ (FUKAURA)</t>
  </si>
  <si>
    <t>TMEJ (HIGASIFUJI)</t>
  </si>
  <si>
    <t>TMEJ (IWATE)</t>
  </si>
  <si>
    <t>TMEJ (OHIRA)</t>
  </si>
  <si>
    <t>TMKZ</t>
  </si>
  <si>
    <t>TMMBC</t>
  </si>
  <si>
    <t>TMMC1</t>
  </si>
  <si>
    <t>TMMC2</t>
  </si>
  <si>
    <t>TMMC3</t>
  </si>
  <si>
    <t>TMMF</t>
  </si>
  <si>
    <t>TMMI</t>
  </si>
  <si>
    <t>S2</t>
  </si>
  <si>
    <t>U1</t>
  </si>
  <si>
    <t>U2</t>
  </si>
  <si>
    <t>U3</t>
  </si>
  <si>
    <t>ZS</t>
  </si>
  <si>
    <t>Y1</t>
  </si>
  <si>
    <t>R1</t>
  </si>
  <si>
    <t>E1</t>
  </si>
  <si>
    <t>E2</t>
  </si>
  <si>
    <t>P1</t>
  </si>
  <si>
    <t>TMMK2</t>
  </si>
  <si>
    <t>TMMK3</t>
  </si>
  <si>
    <t>TMMMS</t>
  </si>
  <si>
    <t>TMMR</t>
  </si>
  <si>
    <t>TMMT</t>
  </si>
  <si>
    <t>TMMTX</t>
  </si>
  <si>
    <t>TMUK</t>
  </si>
  <si>
    <t>TOYOTA SYOKKI</t>
  </si>
  <si>
    <t>TOYOTA BODY</t>
  </si>
  <si>
    <t>TOYOTA KYUSYU</t>
  </si>
  <si>
    <t>TPCA</t>
  </si>
  <si>
    <t>TSUTSUMI KD</t>
  </si>
  <si>
    <t>6S</t>
  </si>
  <si>
    <t>6R</t>
  </si>
  <si>
    <t>VW</t>
  </si>
  <si>
    <t>TSUTSUMI NO.1</t>
  </si>
  <si>
    <t>TSUTSUMI NO.2</t>
  </si>
  <si>
    <t>TSUTSUNI NO.1</t>
  </si>
  <si>
    <t>TSUTSUMI / TAKAOK</t>
  </si>
  <si>
    <t>TSUTSUMI / TAHARA</t>
  </si>
  <si>
    <t>TUTUMI NO.1</t>
  </si>
  <si>
    <t>BRAZIL</t>
  </si>
  <si>
    <t>KUO</t>
  </si>
  <si>
    <t>TAIWAN</t>
  </si>
  <si>
    <t>EQYPT</t>
  </si>
  <si>
    <t>HMMT/MSP</t>
  </si>
  <si>
    <t>044120K540</t>
  </si>
  <si>
    <t>044120K550</t>
  </si>
  <si>
    <t>044120K560</t>
  </si>
  <si>
    <t>044120K570</t>
  </si>
  <si>
    <t>413200K020</t>
  </si>
  <si>
    <t>SEAL, TYPE S OIL</t>
  </si>
  <si>
    <t>SEAL, TYPE K OIL</t>
  </si>
  <si>
    <t>SEAL, TYPE T OIL (LH) Cost 0 until Dec'18</t>
  </si>
  <si>
    <t>SEAL, TYPE T OIL (RH) Cost 0 until Dec'18</t>
  </si>
  <si>
    <t>SEAL, TYPE T OIL (LH)  Cost 0 until Dec'18</t>
  </si>
  <si>
    <t>SEAL, TYPE T OIL (RH) Cost 0 until Oct'18</t>
  </si>
  <si>
    <t>SEAL, TYPE T OIL (FR)  Cost 0 until Oct'18</t>
  </si>
  <si>
    <t>SEAL, TYPE T OIL (LH)  Cost 0 until Oct'18</t>
  </si>
  <si>
    <t>486100K070</t>
  </si>
  <si>
    <t>ARM ASSY, SUSPEMSION, UPR RH (4X4)</t>
  </si>
  <si>
    <t>ARM ASSY, SUSPEMSION, UPR RH (4X2)</t>
  </si>
  <si>
    <t>48610-0K070-</t>
  </si>
  <si>
    <t>578W</t>
  </si>
  <si>
    <t>413010K120</t>
  </si>
  <si>
    <t>413010K110</t>
  </si>
  <si>
    <t>413010K170</t>
  </si>
  <si>
    <t>413010K180</t>
  </si>
  <si>
    <t>413010K190</t>
  </si>
  <si>
    <t>CASE SUB-ASSY, DIFFERENTIAL (BD22 Normal)</t>
  </si>
  <si>
    <t>CASE SUB-ASSY, DIFFERENTIAL (SD20 Normal)</t>
  </si>
  <si>
    <t>CASE SUB-ASSY, DIFFERENTIAL (SD20 ADD)</t>
  </si>
  <si>
    <t>CASE SUB-ASSY, DIFFERENTIAL (BD20 Normal)</t>
  </si>
  <si>
    <t>413210K011</t>
  </si>
  <si>
    <t>514020K050</t>
  </si>
  <si>
    <t>51402-0K040-</t>
  </si>
  <si>
    <t>51402-0K050-</t>
  </si>
  <si>
    <t>4120109B21</t>
  </si>
  <si>
    <t>41201-09B21</t>
  </si>
  <si>
    <t>4120109D60</t>
  </si>
  <si>
    <t>413020K020</t>
  </si>
  <si>
    <t>CASE SUB-ASSY, DIFFERENTIAL (BD22 Lock)</t>
  </si>
  <si>
    <t>51021-KK010-</t>
  </si>
  <si>
    <t>51703KK010</t>
  </si>
  <si>
    <t>51703-KK010-</t>
  </si>
  <si>
    <t>410390K010</t>
  </si>
  <si>
    <t>413430K010</t>
  </si>
  <si>
    <t>41343-0K010-</t>
  </si>
  <si>
    <t>PIN, DIFFERENTIAL PINION SHAFT</t>
  </si>
  <si>
    <t>661200K020</t>
  </si>
  <si>
    <t>66120-0K020-</t>
  </si>
  <si>
    <t>90109-T0030-</t>
  </si>
  <si>
    <t>SEAL, TYPE T OIL (FR) Cost 0 until Nov'19</t>
  </si>
  <si>
    <t>JOINT ASSY, UPR BALL (60:40 , 01/2019)</t>
  </si>
  <si>
    <t>JOINT ASSY, LWR BALL (0:100)</t>
  </si>
  <si>
    <t>90363-T0009-</t>
  </si>
  <si>
    <t>661200K050</t>
  </si>
  <si>
    <t>661200K060</t>
  </si>
  <si>
    <t>66120-0K050-</t>
  </si>
  <si>
    <t>66120-0K060-</t>
  </si>
  <si>
    <t>4140035034</t>
  </si>
  <si>
    <t>90366T0080</t>
  </si>
  <si>
    <t>90366T0081</t>
  </si>
  <si>
    <t>90366T0082</t>
  </si>
  <si>
    <t>90366T0084</t>
  </si>
  <si>
    <t>90366T0085</t>
  </si>
  <si>
    <t>BEARING, TAPERED ROLLER No.1</t>
  </si>
  <si>
    <t>BEARING, TAPERED ROLLER No.2</t>
  </si>
  <si>
    <t>CROSSMEMBER S/A FR SUSPENSION</t>
  </si>
  <si>
    <t>512010D151</t>
  </si>
  <si>
    <t>512010D260</t>
  </si>
  <si>
    <t>4103971040</t>
  </si>
  <si>
    <t>9017722003</t>
  </si>
  <si>
    <t>9031147025</t>
  </si>
  <si>
    <t>4131535010</t>
  </si>
  <si>
    <t>4110135171</t>
  </si>
  <si>
    <t>51071KK010</t>
  </si>
  <si>
    <t>51071-KK010-</t>
  </si>
  <si>
    <t>FR Hub</t>
  </si>
  <si>
    <t>Suspension Arm</t>
  </si>
  <si>
    <t>Knuckle</t>
  </si>
  <si>
    <t>RING, DIFFERENTIAL LOCK CAM</t>
  </si>
  <si>
    <t>41433-0K010</t>
  </si>
  <si>
    <t>413060K030</t>
  </si>
  <si>
    <t>41306-0K030-</t>
  </si>
  <si>
    <t>4103971070</t>
  </si>
  <si>
    <t>1B</t>
  </si>
  <si>
    <t>51201KK010</t>
  </si>
  <si>
    <t>51201KK020</t>
  </si>
  <si>
    <t>51202KK010</t>
  </si>
  <si>
    <t>51201-KK010-</t>
  </si>
  <si>
    <t>51201-KK020-</t>
  </si>
  <si>
    <t>51202-KK010-</t>
  </si>
  <si>
    <t>66170KK0</t>
  </si>
  <si>
    <t>66170KK011</t>
  </si>
  <si>
    <t>48720-0K050-</t>
  </si>
  <si>
    <t>487200K050</t>
  </si>
  <si>
    <t>INDONESIA (TMMIN)</t>
  </si>
  <si>
    <t>ADM (KARAWANG TMMIN)</t>
  </si>
  <si>
    <t>ADM (SUNTER TMMIN)</t>
  </si>
  <si>
    <t>ARGENTINA (TASA)</t>
  </si>
  <si>
    <t>PAKISTAN (IMC)</t>
  </si>
  <si>
    <t>MALAYSIA (ASSB)</t>
  </si>
  <si>
    <t>PHILIPPINES (TMP)</t>
  </si>
  <si>
    <t>VIETNAM (BE)</t>
  </si>
  <si>
    <t>VIETNAM (TMV)</t>
  </si>
  <si>
    <t>India (TKM2)</t>
  </si>
  <si>
    <t>India (TKM3)</t>
  </si>
  <si>
    <t>India (TKM1)</t>
  </si>
  <si>
    <t>NINO(J BUS)</t>
  </si>
  <si>
    <t>HMMI (Hino Indonesia (HMMI)</t>
  </si>
  <si>
    <t>SOUTHAFRUCA (TSAM)</t>
  </si>
  <si>
    <t>VIETNAM (TDV)</t>
  </si>
  <si>
    <t>27381</t>
  </si>
  <si>
    <t>08601</t>
  </si>
  <si>
    <t>486100K050</t>
  </si>
  <si>
    <t>48610-0K050-</t>
  </si>
  <si>
    <t>424310K250</t>
  </si>
  <si>
    <t>42423-20001</t>
  </si>
  <si>
    <t>51001KKA00</t>
  </si>
  <si>
    <t>414170K010</t>
  </si>
  <si>
    <t>414170K020</t>
  </si>
  <si>
    <t>SPRING, DIFFERENTIAL LOCK</t>
  </si>
  <si>
    <t>41417-0K010-</t>
  </si>
  <si>
    <t>41417-0K020-</t>
  </si>
  <si>
    <t>51203KK030</t>
  </si>
  <si>
    <t>51203-KK030-</t>
  </si>
  <si>
    <t>661100K020</t>
  </si>
  <si>
    <t>66110-0K020-</t>
  </si>
  <si>
    <t>42421KK050</t>
  </si>
  <si>
    <t>42422KK050</t>
  </si>
  <si>
    <t>CASE, RR AXLE BEARING, RH</t>
  </si>
  <si>
    <t>CASE, RR AXLE BEARING, LH</t>
  </si>
  <si>
    <t>ASC</t>
  </si>
  <si>
    <t>175050L020</t>
  </si>
  <si>
    <t>17505-0L020-</t>
  </si>
  <si>
    <t>424310K280</t>
  </si>
  <si>
    <t>044120K510</t>
  </si>
  <si>
    <t>T.Toukyo</t>
  </si>
  <si>
    <t>T.Shimane</t>
  </si>
  <si>
    <t>T.Kumamoto</t>
  </si>
  <si>
    <t>661100K050</t>
  </si>
  <si>
    <t>66110-0K050-</t>
  </si>
  <si>
    <t>661100K060</t>
  </si>
  <si>
    <t>66110-0K060-</t>
  </si>
  <si>
    <t>St.Lucia</t>
  </si>
  <si>
    <t>413610K300</t>
  </si>
  <si>
    <t>413610K310</t>
  </si>
  <si>
    <t>413610K320</t>
  </si>
  <si>
    <t>413610K330</t>
  </si>
  <si>
    <t>413610K340</t>
  </si>
  <si>
    <t>413610K350</t>
  </si>
  <si>
    <t>413610K360</t>
  </si>
  <si>
    <t>413610K370</t>
  </si>
  <si>
    <t>42110KK050</t>
  </si>
  <si>
    <t>51001KK481</t>
  </si>
  <si>
    <t>51001KK321</t>
  </si>
  <si>
    <t>51001KK341</t>
  </si>
  <si>
    <t>51001KK391</t>
  </si>
  <si>
    <t>51001KK371</t>
  </si>
  <si>
    <t>51001KK361</t>
  </si>
  <si>
    <t>51001KK351</t>
  </si>
  <si>
    <t>51001KK311</t>
  </si>
  <si>
    <t>51001KK401</t>
  </si>
  <si>
    <t>51001KK411</t>
  </si>
  <si>
    <t>51001KK421</t>
  </si>
  <si>
    <t>51001KK431</t>
  </si>
  <si>
    <t>51001KK441</t>
  </si>
  <si>
    <t>51001KK451</t>
  </si>
  <si>
    <t>51001KK471</t>
  </si>
  <si>
    <t>51001KK491</t>
  </si>
  <si>
    <t>51001KK432</t>
  </si>
  <si>
    <t>51001KK492</t>
  </si>
  <si>
    <t>51001KK501</t>
  </si>
  <si>
    <t>51001KK511</t>
  </si>
  <si>
    <t>51001KK531</t>
  </si>
  <si>
    <t>51001KK541</t>
  </si>
  <si>
    <t>51001KK551</t>
  </si>
  <si>
    <t>51001KK561</t>
  </si>
  <si>
    <t>51001KK571</t>
  </si>
  <si>
    <t>51001KK512</t>
  </si>
  <si>
    <t>51001KK532</t>
  </si>
  <si>
    <t>51001KK542</t>
  </si>
  <si>
    <t>51001KK552</t>
  </si>
  <si>
    <t>51001KK572</t>
  </si>
  <si>
    <t>51001KK562</t>
  </si>
  <si>
    <t>51001KK611</t>
  </si>
  <si>
    <t>T.Niigata</t>
  </si>
  <si>
    <t>T.FUKUI</t>
  </si>
  <si>
    <t>51072KK010</t>
  </si>
  <si>
    <t>51072KK030</t>
  </si>
  <si>
    <t>51001KKA01</t>
  </si>
  <si>
    <t>90311T0066</t>
  </si>
  <si>
    <t>90311T0069</t>
  </si>
  <si>
    <t>SEAL, TYPE T OIL (Brake)</t>
  </si>
  <si>
    <t>ADVICS / ATM</t>
  </si>
  <si>
    <t>ADVICS / NBMT</t>
  </si>
  <si>
    <t>ADVICS / TNC</t>
  </si>
  <si>
    <t>90170T0017</t>
  </si>
  <si>
    <t>90170-T0017-1</t>
  </si>
  <si>
    <t>90170T0009</t>
  </si>
  <si>
    <t>90170-T0009-1</t>
  </si>
  <si>
    <t>QK</t>
  </si>
  <si>
    <t>AVA</t>
  </si>
  <si>
    <t>03701</t>
  </si>
  <si>
    <t>Ha waii (USTT)</t>
  </si>
  <si>
    <t>03501</t>
  </si>
  <si>
    <t>06301</t>
  </si>
  <si>
    <t>Canary</t>
  </si>
  <si>
    <t>T.Miyazaki</t>
  </si>
  <si>
    <t>T.Chiba</t>
  </si>
  <si>
    <t>T.Okayama</t>
  </si>
  <si>
    <t>T.Kanagawa</t>
  </si>
  <si>
    <t>T.Tecno Craft</t>
  </si>
  <si>
    <t>T.Shizuoka</t>
  </si>
  <si>
    <t>P.Osaka</t>
  </si>
  <si>
    <t>Tiwan (CBU/Dyna) (Nummi,TMM) (Asia)</t>
  </si>
  <si>
    <t>S.Africa (Dyna.DA) (Africa)</t>
  </si>
  <si>
    <t>Bulgaria (East Europe)</t>
  </si>
  <si>
    <t>465590K012</t>
  </si>
  <si>
    <t>465570K012</t>
  </si>
  <si>
    <t>465560K012</t>
  </si>
  <si>
    <t>465040K011</t>
  </si>
  <si>
    <t>465030K011</t>
  </si>
  <si>
    <t>466060K012</t>
  </si>
  <si>
    <t>PIN, PRKG BRK SHOE HOLD DOWN SPRING</t>
  </si>
  <si>
    <t>CUP, BRAKE SHOE HOLD DOWN</t>
  </si>
  <si>
    <t>PLATE, S/A, PARKING BRAKE , LH</t>
  </si>
  <si>
    <t>PLATE, S/A, PARKING BRAKE , RH</t>
  </si>
  <si>
    <t>SCREW SET, PARKING BRAKE SHOE ADJ, LH</t>
  </si>
  <si>
    <t>470440K090</t>
  </si>
  <si>
    <t>470430K090</t>
  </si>
  <si>
    <t>049420K180</t>
  </si>
  <si>
    <t>044740K050</t>
  </si>
  <si>
    <t>T.Hyogo</t>
  </si>
  <si>
    <t>05401</t>
  </si>
  <si>
    <t>474000K011</t>
  </si>
  <si>
    <t>475000K011</t>
  </si>
  <si>
    <t>474000K080</t>
  </si>
  <si>
    <t>475000K080</t>
  </si>
  <si>
    <t>Brake Assy 4x2</t>
  </si>
  <si>
    <t>474000K100</t>
  </si>
  <si>
    <t>475000K100</t>
  </si>
  <si>
    <t>Brake Assy 4x4</t>
  </si>
  <si>
    <t>CYLINDER KIT</t>
  </si>
  <si>
    <t>PISTON SUB-ASSY</t>
  </si>
  <si>
    <t>470510K010</t>
  </si>
  <si>
    <t>465400K010</t>
  </si>
  <si>
    <t>465500K010</t>
  </si>
  <si>
    <t>465100K011</t>
  </si>
  <si>
    <t>465100K012</t>
  </si>
  <si>
    <t>BRAKE ASS'Y, PARKING, RH</t>
  </si>
  <si>
    <t>PLATE SUB-ASSY, PARKING BRAKE, RH</t>
  </si>
  <si>
    <t>SUB ASS'Y, PARKING BRAKE, NO.1</t>
  </si>
  <si>
    <t>SHOE ASSY, PARKING BRAKE RH NO.2</t>
  </si>
  <si>
    <t>LEVER, PARKING BRAKE SHOE</t>
  </si>
  <si>
    <t>STRUT, PARKING BRAKE SHOE</t>
  </si>
  <si>
    <t>4111035D70</t>
  </si>
  <si>
    <t>4111035D71</t>
  </si>
  <si>
    <t>51502KK010</t>
  </si>
  <si>
    <t>51502KK020</t>
  </si>
  <si>
    <t>51501-KK010-</t>
  </si>
  <si>
    <t>51501-KK020-</t>
  </si>
  <si>
    <t>51502-KK010-</t>
  </si>
  <si>
    <t>51502-KK020-</t>
  </si>
  <si>
    <t>ENGINE CRANKS-NO START</t>
  </si>
  <si>
    <t>ROUGH IDLE</t>
  </si>
  <si>
    <t>SURGE</t>
  </si>
  <si>
    <t>STUMBLE,HESITATION,POOR ACCELERATION</t>
  </si>
  <si>
    <t>LACK/LOSS OF POWER</t>
  </si>
  <si>
    <t>EXCESSIVE KNOCKING</t>
  </si>
  <si>
    <t>ENGINE CRANKS-HARD START</t>
  </si>
  <si>
    <t>ENGINE STALLS-RESTARTS</t>
  </si>
  <si>
    <t>EXCESSIVE FUEL CONSUMPTION</t>
  </si>
  <si>
    <t>EXCESSIVE OIL CONSUMPTION (EXCLUDE OIL LEAK=65)</t>
  </si>
  <si>
    <t>OVERHEATING</t>
  </si>
  <si>
    <t>ENGINE RUN-ON</t>
  </si>
  <si>
    <t>FAILS TO REACH NORMAL OPERATING TEMPERATURE</t>
  </si>
  <si>
    <t>ENGINE NO RESTARTS (INCLUDES PERCOLATION STALL)</t>
  </si>
  <si>
    <t>OVERFLOWING,FLOODING</t>
  </si>
  <si>
    <t>ABNORMAL EXHAUST GAS  (WHITE,BLUE,OR BLACK)</t>
  </si>
  <si>
    <t>FAILED EMISSION TEST</t>
  </si>
  <si>
    <t>BACK FIRE</t>
  </si>
  <si>
    <t>AFTER FIRE</t>
  </si>
  <si>
    <t>CLUTCH SLIPPING,A/T SLIPPING</t>
  </si>
  <si>
    <t>FAILS TO DISENGAGE</t>
  </si>
  <si>
    <t>M/T JUMPS OUT OF GEAR</t>
  </si>
  <si>
    <t>M/T GEAR GRIND/CLASH/IMPROPER ENGAGEMENT</t>
  </si>
  <si>
    <t>A/T ABNORMAL SHIFT POINT  (INCLUDES IMPROPER K/D)</t>
  </si>
  <si>
    <t>A/T WILL NOT SHIFT UP/DOWN</t>
  </si>
  <si>
    <t>SHIFT LEVER STICKS (M/T OR A/T)</t>
  </si>
  <si>
    <t>NO FORWARD OR REVERSE MOVEMENT (A/T ONLY)</t>
  </si>
  <si>
    <t>CLUTCH JUDDER  (EXCLUDES NOISE=91,VIBRATION=9B)</t>
  </si>
  <si>
    <t>A/T ABNORMAL TIME LAG</t>
  </si>
  <si>
    <t>UNSTABLE STEERING (VEHICLE WANDERS)</t>
  </si>
  <si>
    <t>EXCESSIVE SHOCK (INCLUDES A/T AND CHASSIS)</t>
  </si>
  <si>
    <t>SQUEAK NOISE</t>
  </si>
  <si>
    <t>PULL TO THE RIGHT OR LEFT WHILE BRAKING</t>
  </si>
  <si>
    <t>POOR BRAKE PERFORMANCE (EXCLUDES PARKING BRAKE)</t>
  </si>
  <si>
    <t>VEHICLE PULLS OR DRIFTS TO THE RIGHT</t>
  </si>
  <si>
    <t>VEHICLE PULLS OR DRIFTS TO THE LEFT</t>
  </si>
  <si>
    <t>STEERING WHEEL OFF-CENTER</t>
  </si>
  <si>
    <t>IMPROPER STROKE  (INCLUDES PEDAL,EXCLUDE PKB)</t>
  </si>
  <si>
    <t>UNEVEN VEHICLE HEIGHT</t>
  </si>
  <si>
    <t>BRAKES DRAG (EXCLUDES PARKING BRAKE)</t>
  </si>
  <si>
    <t>BRAKES LOCK WHEEL(S)  PREMATURELY</t>
  </si>
  <si>
    <t>NO A/T LOCKUP</t>
  </si>
  <si>
    <t>IMPROPER A/T LOCKUP POINT</t>
  </si>
  <si>
    <t>PARKING BRAKE DOES NOT HOLD VEHICLE</t>
  </si>
  <si>
    <t>IMPROPER PARKING BRAKE LEVER OR PEDAL STROKE</t>
  </si>
  <si>
    <t>PARKING BRAKEE DOES NOT RELEASE PROPERLY</t>
  </si>
  <si>
    <t>WIND NOISE / WHISTLE</t>
  </si>
  <si>
    <t>WINDOW GLASS FOGGING</t>
  </si>
  <si>
    <t>ABNORMAL SMELL</t>
  </si>
  <si>
    <t>LOOSENING,FALLING OFF</t>
  </si>
  <si>
    <t>LEAKS-OTHER(AIR,FUEL,EXHAUST GAS,REFRIGERANT)</t>
  </si>
  <si>
    <t>OIL OR GREASE LEAK,OIL ENTERING</t>
  </si>
  <si>
    <t>WATER LEAK,WATER ENTERING</t>
  </si>
  <si>
    <t>POOR APPEARANCE (EXCLUDES DODES 68,69)</t>
  </si>
  <si>
    <t>POOR PLATING OF PARTS</t>
  </si>
  <si>
    <t>POOR PAINT APPEARANCE</t>
  </si>
  <si>
    <t>RUST PERFORATION OF BODY</t>
  </si>
  <si>
    <t>BATTERY DOES NOT HOLD CHARGE</t>
  </si>
  <si>
    <t>INOPERATIVE WHEN SWITCHED ON</t>
  </si>
  <si>
    <t>INACCURATE (METER,GAUGE,CLOCK ETC)</t>
  </si>
  <si>
    <t>BATTRY OVERCHARGE</t>
  </si>
  <si>
    <t>INEFFECTIVE WIPING OR WASHING</t>
  </si>
  <si>
    <t>POOR SOUND (HORN,RADIO,BUZZER,ETC)</t>
  </si>
  <si>
    <t>DISTORTED AUDIO</t>
  </si>
  <si>
    <t>COOLER OR HEATER NOT COLD OR HOT ENOUGH(EXC.LEAK)</t>
  </si>
  <si>
    <t>MALFUNCTION OF DISPLAY PANEL</t>
  </si>
  <si>
    <t>STARTER-LATE TO / WILL NOT DISENGAGE</t>
  </si>
  <si>
    <t>WILL NOT MAINTAIN ON OR OFF</t>
  </si>
  <si>
    <t>CONTINUES TO OPERATE  WHEN SWITCHED  OFF</t>
  </si>
  <si>
    <t>ODOMETER DISPLAY INCORRECT</t>
  </si>
  <si>
    <t>IMPROPER COMING-OUT OF LIGHTER,ANTENNA,AUDIO</t>
  </si>
  <si>
    <t>POOR RADIO RECEPTION</t>
  </si>
  <si>
    <t>ERRONEOUS BEHAVIOR</t>
  </si>
  <si>
    <t>ENGINE CHECKLAMP ON / MIL ON</t>
  </si>
  <si>
    <t>TIRE PRESSURE WARNING LAMP ON</t>
  </si>
  <si>
    <t>WARNING OR INDICATOR LAMP  ON (OTHER THAN CODES</t>
  </si>
  <si>
    <t>LIGHT DIM OR INOPERATIVE (INCLUDES HEADLAMP,ETC)</t>
  </si>
  <si>
    <t>ABNORMAL OR EXCESSIVE NOISE</t>
  </si>
  <si>
    <t>GRABS</t>
  </si>
  <si>
    <t>INTERFERENCE (RESULTING IN DAMAGE)</t>
  </si>
  <si>
    <t>HIGH OPERATING EFFORT</t>
  </si>
  <si>
    <t>POOR FEELING OF SWITCHES OR CONTROLS</t>
  </si>
  <si>
    <t>OTHERS</t>
  </si>
  <si>
    <t>IMPROPER CLOSING AND/OR OPENING,INEFFECTIVE LOCK</t>
  </si>
  <si>
    <t>SHUDDER,EXCESSIVE VIBRATION OR PULSATION</t>
  </si>
  <si>
    <t>POOR RETURN(BELT,SEATBACK,TURN SIGNAL SWITCH,ETC.)</t>
  </si>
  <si>
    <t>BURNT</t>
  </si>
  <si>
    <t>FROZEN(ICING)</t>
  </si>
  <si>
    <t>BUMP</t>
  </si>
  <si>
    <t>SCARRED(E.G.BRUISE,SCRATCH,CUT,SCORED)/SCRATCHED</t>
  </si>
  <si>
    <t>BROKEN,SPLIT,TORN/DENT</t>
  </si>
  <si>
    <t>BENT,WARPED,SHRUNK,WRINKLED,SWELL/PANEL WAVE</t>
  </si>
  <si>
    <t>WEAKENED,LOSS OF TENSION/ROUGH,CRACKING SEAM FILLE</t>
  </si>
  <si>
    <t>PEELING,COME-OFF</t>
  </si>
  <si>
    <t>CRACKED</t>
  </si>
  <si>
    <t>RUSTY,CORRODED</t>
  </si>
  <si>
    <t>HARDENING OR SOFTENING</t>
  </si>
  <si>
    <t>WEAR</t>
  </si>
  <si>
    <t>METALLIC BLEMISH,MOTTLING OF PAINT</t>
  </si>
  <si>
    <t>THIN OF PAINTED PARTS</t>
  </si>
  <si>
    <t>RUNS AND SAGS OF PAINTED PARTS</t>
  </si>
  <si>
    <t>POLISH MARK OF PAINTED PARTS</t>
  </si>
  <si>
    <t>CISSING(FISH EYES) OF PAINTED PARTS</t>
  </si>
  <si>
    <t>POOR REPAIR OF PAINTED PARTS</t>
  </si>
  <si>
    <t>SEEDS OF PAINTED PARTS</t>
  </si>
  <si>
    <t>POOR BODY SEALER APPLICATION</t>
  </si>
  <si>
    <t>POOR MASTIC SEALER APPLICATION</t>
  </si>
  <si>
    <t>IMPROPER FREE PLAY</t>
  </si>
  <si>
    <t>POOR CONTACT</t>
  </si>
  <si>
    <t>OUT OF BALANCE</t>
  </si>
  <si>
    <t>EXCESSIVE CLEARANCE OR BACKLASH</t>
  </si>
  <si>
    <t>LACK OF CLEARANCE OR BACKLASH</t>
  </si>
  <si>
    <t>POROUS,PINHOLE</t>
  </si>
  <si>
    <t>POOR CALKING</t>
  </si>
  <si>
    <t>FAULTY MACHINING,POOR FORMING</t>
  </si>
  <si>
    <t>INCORRECT PART/OFF-COLOR</t>
  </si>
  <si>
    <t>MISSING PART/PARTING LINE DEFECT FOR TWO TONE</t>
  </si>
  <si>
    <t>EXISTENCE OF FOREIGN MATTER/STRIPE DEFECT</t>
  </si>
  <si>
    <t>LACK OF LUBRICANT,SEALER POOR ADHESION/OVERSPRAY</t>
  </si>
  <si>
    <t>POOR FIT,POOR ASSEMBLING</t>
  </si>
  <si>
    <t>A SEAM COMES APART</t>
  </si>
  <si>
    <t>EXTRA PARTS</t>
  </si>
  <si>
    <t>LOOSE THREADS/RUST DUE TO PARTS INSTALLED DAMAGE</t>
  </si>
  <si>
    <t>DIRT</t>
  </si>
  <si>
    <t>BUBBLE/SCRATCH BY INTERFERENCE</t>
  </si>
  <si>
    <t>DISCOLORATION,STAIN,SCORCH OR BURN/GLUE ADHERED</t>
  </si>
  <si>
    <t>POOR WELDING</t>
  </si>
  <si>
    <t>OPEN CIRCUIT,FAULTY SEMICONDUCTOR</t>
  </si>
  <si>
    <t>SHORT CIRCUIT,POOR INSULATION,POOR CONTACT</t>
  </si>
  <si>
    <t>POOR PROGRAMMING</t>
  </si>
  <si>
    <t>SPOT DISCOLORATION,STAIN</t>
  </si>
  <si>
    <t>ORANGE PEEL,POOR GLOSS</t>
  </si>
  <si>
    <t>CRACKING</t>
  </si>
  <si>
    <t>BLISTERING</t>
  </si>
  <si>
    <t>FADING</t>
  </si>
  <si>
    <t>POOR TIGHTENING(LOOSING,BROKEN-BOLT,NAT)/CHALKING</t>
  </si>
  <si>
    <t>PEELING</t>
  </si>
  <si>
    <t>STICKING,SEIZED,UNSMOOTH SLIDING/RUSTING THROUGH</t>
  </si>
  <si>
    <t>UNSMOOTH SLIDING</t>
  </si>
  <si>
    <t>RUST ON HEM,JOINT</t>
  </si>
  <si>
    <t>RUST SPOTS</t>
  </si>
  <si>
    <t>ANTI-RUST WAX ATTACH</t>
  </si>
  <si>
    <t>CLOGGED AND/OR EXISTENCE OF FOREGIN MATTER</t>
  </si>
  <si>
    <t>Country/Region</t>
  </si>
  <si>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</si>
  <si>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</si>
  <si>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</si>
  <si>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</si>
  <si>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</si>
  <si>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</si>
  <si>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</si>
  <si>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</si>
  <si>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</si>
  <si>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</si>
  <si>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</si>
  <si>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</si>
  <si>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</si>
  <si>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</si>
  <si>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</si>
  <si>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</si>
  <si>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</si>
  <si>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</si>
  <si>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</si>
  <si>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</si>
  <si>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</si>
  <si>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</si>
  <si>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</si>
  <si>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Bermuda</t>
  </si>
  <si>
    <t>Bhutan</t>
  </si>
  <si>
    <t>Bolivia</t>
  </si>
  <si>
    <t>Bonaire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</si>
  <si>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</si>
  <si>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</si>
  <si>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</si>
  <si>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</si>
  <si>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</si>
  <si>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</si>
  <si>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</si>
  <si>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</si>
  <si>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</si>
  <si>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</si>
  <si>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</si>
  <si>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</si>
  <si>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</si>
  <si>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</si>
  <si>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</si>
  <si>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</si>
  <si>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</si>
  <si>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</si>
  <si>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</si>
  <si>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</si>
  <si>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</si>
  <si>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Comoros</t>
  </si>
  <si>
    <t>Congo</t>
  </si>
  <si>
    <t>Congo (DRC)</t>
  </si>
  <si>
    <t>Cook Islands</t>
  </si>
  <si>
    <t>Costa Rica</t>
  </si>
  <si>
    <t>Côte d’Ivoire</t>
  </si>
  <si>
    <t>Croatia</t>
  </si>
  <si>
    <t>Cuba</t>
  </si>
  <si>
    <t>Curaçao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</si>
  <si>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</si>
  <si>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</si>
  <si>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</si>
  <si>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</si>
  <si>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</si>
  <si>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</si>
  <si>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</si>
  <si>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</si>
  <si>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</si>
  <si>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</si>
  <si>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</si>
  <si>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</si>
  <si>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</si>
  <si>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</si>
  <si>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</si>
  <si>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</si>
  <si>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</si>
  <si>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</si>
  <si>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</si>
  <si>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</si>
  <si>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</si>
  <si>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</si>
  <si>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</si>
  <si>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</si>
  <si>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</si>
  <si>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</si>
  <si>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</si>
  <si>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</si>
  <si>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</si>
  <si>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</si>
  <si>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</si>
  <si>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</si>
  <si>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</si>
  <si>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</si>
  <si>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</si>
  <si>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</si>
  <si>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</si>
  <si>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</si>
  <si>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</si>
  <si>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 SAR</t>
  </si>
  <si>
    <t>Hungary</t>
  </si>
  <si>
    <t>Iceland</t>
  </si>
  <si>
    <t>India</t>
  </si>
  <si>
    <t>Indonesia</t>
  </si>
  <si>
    <t>Iran</t>
  </si>
  <si>
    <t>Ireland</t>
  </si>
  <si>
    <t>Isle of Man</t>
  </si>
  <si>
    <t>Israel</t>
  </si>
  <si>
    <t>Italy</t>
  </si>
  <si>
    <t>Jamaica</t>
  </si>
  <si>
    <t>Jan Mayen</t>
  </si>
  <si>
    <t>Japan</t>
  </si>
  <si>
    <t>Jersey</t>
  </si>
  <si>
    <t>Jordan</t>
  </si>
  <si>
    <t>Kenya</t>
  </si>
  <si>
    <t>Kiribati</t>
  </si>
  <si>
    <t>Korea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</si>
  <si>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</si>
  <si>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</si>
  <si>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</si>
  <si>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</si>
  <si>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</si>
  <si>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</si>
  <si>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</si>
  <si>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</si>
  <si>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</si>
  <si>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</si>
  <si>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</si>
  <si>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</si>
  <si>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</si>
  <si>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</si>
  <si>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</si>
  <si>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</si>
  <si>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</si>
  <si>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</si>
  <si>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</si>
  <si>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</si>
  <si>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</si>
  <si>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</si>
  <si>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</si>
  <si>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</si>
  <si>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</si>
  <si>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</si>
  <si>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</si>
  <si>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</si>
  <si>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</si>
  <si>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</si>
  <si>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</si>
  <si>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</si>
  <si>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</si>
  <si>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</si>
  <si>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</si>
  <si>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</si>
  <si>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</si>
  <si>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</si>
  <si>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</si>
  <si>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</si>
  <si>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Niger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</si>
  <si>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</si>
  <si>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</si>
  <si>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</si>
  <si>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</si>
  <si>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</si>
  <si>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</si>
  <si>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</si>
  <si>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</si>
  <si>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</si>
  <si>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Palestinian Authority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</si>
  <si>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</si>
  <si>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</si>
  <si>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</si>
  <si>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</si>
  <si>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</si>
  <si>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</si>
  <si>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</si>
  <si>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</si>
  <si>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</si>
  <si>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</si>
  <si>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Réunion</t>
  </si>
  <si>
    <t>Romania</t>
  </si>
  <si>
    <t>Russia</t>
  </si>
  <si>
    <t>Rwanda</t>
  </si>
  <si>
    <t>Saba</t>
  </si>
  <si>
    <t>Saint Barthélemy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</si>
  <si>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</si>
  <si>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</si>
  <si>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</si>
  <si>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</si>
  <si>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</si>
  <si>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</si>
  <si>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</si>
  <si>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</si>
  <si>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</si>
  <si>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</si>
  <si>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</si>
  <si>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</si>
  <si>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</si>
  <si>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</si>
  <si>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Eustatius</t>
  </si>
  <si>
    <t>Sint Maarten</t>
  </si>
  <si>
    <t>Slovakia</t>
  </si>
  <si>
    <t>Solomon Islands</t>
  </si>
  <si>
    <t>Somalia</t>
  </si>
  <si>
    <t>South Africa</t>
  </si>
  <si>
    <t>South Georgia and South Sandwich Islands</t>
  </si>
  <si>
    <t>South Sudan</t>
  </si>
  <si>
    <t>Spain</t>
  </si>
  <si>
    <t>Sri Lanka</t>
  </si>
  <si>
    <t>St Helena, Ascension, Tristan da Cunha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</si>
  <si>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</si>
  <si>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</si>
  <si>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</si>
  <si>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</si>
  <si>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</si>
  <si>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</si>
  <si>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</si>
  <si>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</si>
  <si>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</si>
  <si>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</si>
  <si>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</si>
  <si>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</si>
  <si>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</si>
  <si>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</si>
  <si>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</si>
  <si>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</si>
  <si>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</si>
  <si>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</si>
  <si>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</si>
  <si>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</si>
  <si>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U.S. Outlying Islands</t>
  </si>
  <si>
    <t>U.S. Virgin Islands</t>
  </si>
  <si>
    <t>Uganda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</si>
  <si>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</si>
  <si>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</si>
  <si>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</si>
  <si>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</si>
  <si>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</si>
  <si>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</si>
  <si>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</si>
  <si>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</si>
  <si>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</si>
  <si>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</si>
  <si>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Yemen</t>
  </si>
  <si>
    <t>Zambia</t>
  </si>
  <si>
    <t>Zimbabwe</t>
  </si>
  <si>
    <t>Country/Region from bing</t>
  </si>
  <si>
    <t>Country before revise</t>
  </si>
  <si>
    <t>02101</t>
  </si>
  <si>
    <t>T.Aomori</t>
  </si>
  <si>
    <t>04801</t>
  </si>
  <si>
    <t>T.Mie</t>
  </si>
  <si>
    <t>04701</t>
  </si>
  <si>
    <t>T.Aichi</t>
  </si>
  <si>
    <t>TMMGT</t>
  </si>
  <si>
    <t>XM</t>
  </si>
  <si>
    <t>510010KK20</t>
  </si>
  <si>
    <t>510010KK10</t>
  </si>
  <si>
    <t>51001KKC20</t>
  </si>
  <si>
    <t>65700YP902</t>
  </si>
  <si>
    <t>65700YP903</t>
  </si>
  <si>
    <t>65700YP904</t>
  </si>
  <si>
    <t>65700YP905</t>
  </si>
  <si>
    <t>65700YP906</t>
  </si>
  <si>
    <t>65700YP907</t>
  </si>
  <si>
    <t>65700YP010</t>
  </si>
  <si>
    <t>65700YP030</t>
  </si>
  <si>
    <t>GATE ASSY RR BODY TAIL W/ HINGE</t>
  </si>
  <si>
    <t>51001KKC30</t>
  </si>
  <si>
    <t>01201</t>
  </si>
  <si>
    <t>T.Sapporo</t>
  </si>
  <si>
    <t>02401</t>
  </si>
  <si>
    <t>T.Akita</t>
  </si>
  <si>
    <t>T.Yamagata</t>
  </si>
  <si>
    <t>06101</t>
  </si>
  <si>
    <t>T.Tottori</t>
  </si>
  <si>
    <t>02501</t>
  </si>
  <si>
    <t>15301</t>
  </si>
  <si>
    <t>T.Osaka</t>
  </si>
  <si>
    <t>01401</t>
  </si>
  <si>
    <t>T.Kushiro</t>
  </si>
  <si>
    <t>Aomori</t>
  </si>
  <si>
    <t>Aichi</t>
  </si>
  <si>
    <t>Sapporo</t>
  </si>
  <si>
    <t>Akita</t>
  </si>
  <si>
    <t>Yamagata</t>
  </si>
  <si>
    <t>Tottori</t>
  </si>
  <si>
    <t>Osaka</t>
  </si>
  <si>
    <t>Kushiro</t>
  </si>
  <si>
    <t>51001KKC10</t>
  </si>
  <si>
    <t>413670K010</t>
  </si>
  <si>
    <t>WASHER, DIFFERENTIAL SOLENOID</t>
  </si>
  <si>
    <t>02301</t>
  </si>
  <si>
    <t>02601</t>
  </si>
  <si>
    <t>04401</t>
  </si>
  <si>
    <t>31301</t>
  </si>
  <si>
    <t>31701</t>
  </si>
  <si>
    <t>T.MIYAGI</t>
  </si>
  <si>
    <t>T.FUKUSHIMA</t>
  </si>
  <si>
    <t>T.NAGANO</t>
  </si>
  <si>
    <t>C.HAKODATE</t>
  </si>
  <si>
    <t>C.TOMAKOMAI</t>
  </si>
  <si>
    <t>Miyagi</t>
  </si>
  <si>
    <t>Fukushima</t>
  </si>
  <si>
    <t>Nagano</t>
  </si>
  <si>
    <t>Hakodate</t>
  </si>
  <si>
    <t>Tomakomai</t>
  </si>
  <si>
    <t>51078KK010</t>
  </si>
  <si>
    <t>BRACKET SUB-ASSY,RR BODY MT,NO.4 LH</t>
  </si>
  <si>
    <t>BRACKET SUB-ASSY,RR BODY MT, NO.2 RH</t>
  </si>
  <si>
    <t>51077KK010</t>
  </si>
  <si>
    <t>51704KK010</t>
  </si>
  <si>
    <t>51704-KK010-</t>
  </si>
  <si>
    <t>08201</t>
  </si>
  <si>
    <t>T.Nishi Kysyu</t>
  </si>
  <si>
    <t>Nishikyushu</t>
  </si>
  <si>
    <t>P.Asahikawa</t>
  </si>
  <si>
    <t>Asahikawa</t>
  </si>
  <si>
    <t>C.Tochigi</t>
  </si>
  <si>
    <t>Tochigi</t>
  </si>
  <si>
    <t>C.Nagoya</t>
  </si>
  <si>
    <t>Nagoya</t>
  </si>
  <si>
    <t>51110KK907</t>
  </si>
  <si>
    <t>51110KK906</t>
  </si>
  <si>
    <t>EXT ASSY, SIDE RAIL, W/CHANNEL SUB-ASSY, RH</t>
  </si>
  <si>
    <t>757W</t>
  </si>
  <si>
    <t>51110-KK907-</t>
  </si>
  <si>
    <t>51110-KK906-</t>
  </si>
  <si>
    <t>03401</t>
  </si>
  <si>
    <t>SAITAMA</t>
  </si>
  <si>
    <t>T.Saitama</t>
  </si>
  <si>
    <t>01101</t>
  </si>
  <si>
    <t>T.Asahikawa</t>
  </si>
  <si>
    <t>01301</t>
  </si>
  <si>
    <t>T.HAKODATE</t>
  </si>
  <si>
    <t>02201</t>
  </si>
  <si>
    <t>IWATE</t>
  </si>
  <si>
    <t>T.Iwate</t>
  </si>
  <si>
    <t>04101</t>
  </si>
  <si>
    <t>TOYAMA</t>
  </si>
  <si>
    <t>TM.Toyama</t>
  </si>
  <si>
    <t>06501</t>
  </si>
  <si>
    <t>YAMAGUCHI</t>
  </si>
  <si>
    <t>T.YAMAGUCHI</t>
  </si>
  <si>
    <t>ISHIKAWA</t>
  </si>
  <si>
    <t>C.ISHIKAWA</t>
  </si>
  <si>
    <t>BRACKET SUB-ASSY,RR BUMPER MOUNTING, RH</t>
  </si>
  <si>
    <t>BRACKET SUB-ASSY,RR BUMPER MOUNTING, LH</t>
  </si>
  <si>
    <t>FUKUOKA</t>
  </si>
  <si>
    <t>T.FUKUOKA</t>
  </si>
  <si>
    <t>FUKUSHIMA</t>
  </si>
  <si>
    <t>P.FUKUSHIMA</t>
  </si>
  <si>
    <t>NOVEL MIE</t>
  </si>
  <si>
    <t>N.NOVEL MIE</t>
  </si>
  <si>
    <t>51001KK701</t>
  </si>
  <si>
    <t>51001KK721</t>
  </si>
  <si>
    <t>51001KK741</t>
  </si>
  <si>
    <t>412040K130</t>
  </si>
  <si>
    <t>SFT</t>
  </si>
  <si>
    <t>51001KK482</t>
  </si>
  <si>
    <t>51001KK483</t>
  </si>
  <si>
    <t>HMMT1/TKT</t>
  </si>
  <si>
    <t>42110KK031</t>
  </si>
  <si>
    <t>42110KK041</t>
  </si>
  <si>
    <t>42110KK061</t>
  </si>
  <si>
    <t>42110KK071</t>
  </si>
  <si>
    <t>P.Hiroshima</t>
  </si>
  <si>
    <t>T.Kagawa</t>
  </si>
  <si>
    <t>P.Nagoya</t>
  </si>
  <si>
    <t>Unknow</t>
  </si>
  <si>
    <t>413010K100</t>
  </si>
  <si>
    <t>049430K080</t>
  </si>
  <si>
    <t>06401</t>
  </si>
  <si>
    <t>T.Hiroshima</t>
  </si>
  <si>
    <t>34704</t>
  </si>
  <si>
    <t>C.Aiho</t>
  </si>
  <si>
    <t>51001KKA02</t>
  </si>
  <si>
    <t>51001KKA03</t>
  </si>
  <si>
    <t>51001KKA04</t>
  </si>
  <si>
    <t>51001KK422</t>
  </si>
  <si>
    <t>51001KK423</t>
  </si>
  <si>
    <t>51001KK424</t>
  </si>
  <si>
    <t>470430K091</t>
  </si>
  <si>
    <t>470440K091</t>
  </si>
  <si>
    <t>470430K130</t>
  </si>
  <si>
    <t>049410K070</t>
  </si>
  <si>
    <r>
      <t>Data Base of Warranty Claim</t>
    </r>
    <r>
      <rPr>
        <b/>
        <sz val="26"/>
        <rFont val="Arial"/>
        <family val="2"/>
      </rPr>
      <t xml:space="preserve"> (Up date to 4 Jan 2023)</t>
    </r>
  </si>
  <si>
    <t>SWITCH, TRANSFER INDICATOR</t>
  </si>
  <si>
    <t>CONNECTOR,WIRING HARNESS</t>
  </si>
  <si>
    <t>41367-0K010</t>
  </si>
  <si>
    <t>57082-0K010</t>
  </si>
  <si>
    <t>57082-0K020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</si>
</sst>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_-* #,##0_-;\-* #,##0_-;_-* &quot;-&quot;_-;_-@_-"/>
    <numFmt numFmtId="171" formatCode="_-* #,##0.00_-;\-* #,##0.00_-;_-* &quot;-&quot;??_-;_-@_-"/>
    <numFmt numFmtId="176" formatCode="_-&quot;฿&quot;* #,##0_-;\-&quot;฿&quot;* #,##0_-;_-&quot;฿&quot;* &quot;-&quot;_-;_-@_-"/>
    <numFmt numFmtId="177" formatCode="_-&quot;฿&quot;* #,##0.00_-;\-&quot;฿&quot;* #,##0.00_-;_-&quot;฿&quot;* &quot;-&quot;??_-;_-@_-"/>
    <numFmt numFmtId="188" formatCode="#,##0.00\ &quot;F&quot;;\-#,##0.00\ &quot;F&quot;"/>
    <numFmt numFmtId="189" formatCode="dd\-mmm\-yy_)"/>
    <numFmt numFmtId="190" formatCode="0.0%"/>
    <numFmt numFmtId="191" formatCode="0.00_)"/>
    <numFmt numFmtId="192" formatCode="&quot;\&quot;#,##0.00;[Red]&quot;\&quot;\-#,##0.00"/>
    <numFmt numFmtId="193" formatCode="&quot;\&quot;#,##0;[Red]&quot;\&quot;\-#,##0"/>
    <numFmt numFmtId="194" formatCode="_ * #,##0_ ;_ * \-#,##0_ ;_ * &quot;-&quot;_ ;_ @_ "/>
    <numFmt numFmtId="195" formatCode="_ * #,##0.00_ ;_ * \-#,##0.00_ ;_ * &quot;-&quot;??_ ;_ @_ "/>
    <numFmt numFmtId="196" formatCode="[Red][&gt;20.7]0.00;[Green][&lt;20.8]0.00;General"/>
    <numFmt numFmtId="197" formatCode="&quot;¥&quot;#,##0.00;[Red]&quot;¥&quot;\-#,##0.00"/>
    <numFmt numFmtId="198" formatCode="&quot;¥&quot;#,##0;[Red]&quot;¥&quot;\-#,##0"/>
    <numFmt numFmtId="199" formatCode="_-&quot;ﾟ&quot;* #,##0_-;\-&quot;ﾟ&quot;* #,##0_-;_-&quot;ﾟ&quot;* &quot;-&quot;_-;_-@_-"/>
    <numFmt numFmtId="200" formatCode="_-&quot;ﾟ&quot;* #,##0.00_-;\-&quot;ﾟ&quot;* #,##0.00_-;_-&quot;ﾟ&quot;* &quot;-&quot;??_-;_-@_-"/>
    <numFmt numFmtId="201" formatCode="#&quot; Day&quot;"/>
    <numFmt numFmtId="202" formatCode="&quot;Today&quot;\ \:\ dd\-mmm\-yyyy"/>
  </numFmts>
  <fonts count="125">
    <font>
      <sz val="14"/>
      <name val="Cordia New"/>
      <family val="2"/>
      <charset val="22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MS Sans Serif"/>
      <family val="2"/>
    </font>
    <font>
      <b/>
      <sz val="8"/>
      <color indexed="81"/>
      <name val="MS Sans Serif"/>
      <family val="2"/>
    </font>
    <font>
      <b/>
      <sz val="8"/>
      <color indexed="10"/>
      <name val="MS Sans Serif"/>
      <family val="2"/>
    </font>
    <font>
      <b/>
      <sz val="10"/>
      <name val="Arial"/>
      <family val="2"/>
    </font>
    <font>
      <b/>
      <sz val="11"/>
      <name val="Arial"/>
      <family val="2"/>
    </font>
    <font>
      <strike/>
      <sz val="10"/>
      <name val="Arial"/>
      <family val="2"/>
    </font>
    <font>
      <sz val="12"/>
      <name val="Arial"/>
      <family val="2"/>
    </font>
    <font>
      <i/>
      <strike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34"/>
      <name val="Arial"/>
      <family val="2"/>
    </font>
    <font>
      <i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indexed="81"/>
      <name val="Tahoma"/>
      <family val="2"/>
    </font>
    <font>
      <sz val="12"/>
      <color indexed="81"/>
      <name val="Tahoma"/>
      <family val="2"/>
    </font>
    <font>
      <sz val="14"/>
      <name val="Cordia New"/>
      <family val="2"/>
    </font>
    <font>
      <b/>
      <sz val="8"/>
      <name val="Comic Sans MS"/>
      <family val="4"/>
    </font>
    <font>
      <sz val="8"/>
      <name val="Comic Sans MS"/>
      <family val="4"/>
    </font>
    <font>
      <sz val="10"/>
      <name val="MS Sans Serif"/>
      <family val="2"/>
    </font>
    <font>
      <sz val="14"/>
      <name val="Cordia New"/>
      <family val="2"/>
      <charset val="222"/>
    </font>
    <font>
      <b/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name val="?? ????"/>
      <family val="3"/>
      <charset val="128"/>
    </font>
    <font>
      <sz val="11"/>
      <name val="??"/>
      <family val="1"/>
      <charset val="128"/>
    </font>
    <font>
      <sz val="11"/>
      <name val="?? ?????"/>
      <family val="3"/>
      <charset val="128"/>
    </font>
    <font>
      <sz val="11"/>
      <name val="?l?r ?o?S?V?b?N"/>
      <family val="3"/>
    </font>
    <font>
      <sz val="11"/>
      <name val="‚l‚r ‚oƒSƒVƒbƒN"/>
      <family val="1"/>
    </font>
    <font>
      <u/>
      <sz val="8.25"/>
      <color indexed="36"/>
      <name val="lr oSVbN"/>
      <family val="3"/>
      <charset val="128"/>
    </font>
    <font>
      <sz val="11"/>
      <name val="®l®r ®o™S™V™b™N"/>
      <family val="3"/>
      <charset val="128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10"/>
      <color indexed="20"/>
      <name val="Arial"/>
      <family val="2"/>
    </font>
    <font>
      <sz val="11"/>
      <name val="明朝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0"/>
      <name val="Tms Rmn"/>
      <family val="1"/>
    </font>
    <font>
      <sz val="11"/>
      <name val="ＭＳ Ｐゴシック"/>
      <family val="3"/>
      <charset val="128"/>
    </font>
    <font>
      <sz val="11"/>
      <name val="ＭＳ Ｐゴシック"/>
      <charset val="128"/>
    </font>
    <font>
      <sz val="14"/>
      <name val="Cordia New"/>
      <family val="2"/>
    </font>
    <font>
      <sz val="10"/>
      <name val="Tahoma"/>
      <family val="2"/>
    </font>
    <font>
      <sz val="14"/>
      <name val="AngsanaUPC"/>
      <family val="1"/>
    </font>
    <font>
      <i/>
      <sz val="10"/>
      <color indexed="23"/>
      <name val="Arial"/>
      <family val="2"/>
    </font>
    <font>
      <sz val="11"/>
      <name val="lr oSVbN"/>
      <family val="3"/>
      <charset val="128"/>
    </font>
    <font>
      <sz val="10"/>
      <color indexed="17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4"/>
      <color indexed="12"/>
      <name val="Cordia New"/>
      <family val="2"/>
    </font>
    <font>
      <sz val="10"/>
      <color indexed="62"/>
      <name val="Arial"/>
      <family val="2"/>
    </font>
    <font>
      <sz val="10"/>
      <name val="ＭＳ ゴシック"/>
      <family val="3"/>
      <charset val="128"/>
    </font>
    <font>
      <sz val="10"/>
      <color indexed="52"/>
      <name val="Arial"/>
      <family val="2"/>
    </font>
    <font>
      <u/>
      <sz val="8.25"/>
      <color indexed="12"/>
      <name val="lr oSVbN"/>
      <family val="3"/>
      <charset val="128"/>
    </font>
    <font>
      <sz val="10"/>
      <color indexed="60"/>
      <name val="Arial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color indexed="63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name val="lr oSVbN"/>
      <family val="3"/>
      <charset val="222"/>
    </font>
    <font>
      <sz val="14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7.7"/>
      <color indexed="12"/>
      <name val="MS P????"/>
      <family val="3"/>
    </font>
    <font>
      <u/>
      <sz val="8.25"/>
      <color indexed="12"/>
      <name val="MS P????"/>
      <family val="3"/>
    </font>
    <font>
      <sz val="11"/>
      <color indexed="52"/>
      <name val="ＭＳ Ｐゴシック"/>
      <family val="3"/>
      <charset val="128"/>
    </font>
    <font>
      <sz val="11"/>
      <name val="ＭＳ Ｐゴシック"/>
      <family val="3"/>
      <charset val="136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u/>
      <sz val="7.7"/>
      <color indexed="36"/>
      <name val="MS P????"/>
      <family val="3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?? ?????"/>
      <family val="3"/>
    </font>
    <font>
      <b/>
      <sz val="11"/>
      <color indexed="8"/>
      <name val="ＭＳ Ｐゴシック"/>
      <family val="3"/>
      <charset val="128"/>
    </font>
    <font>
      <sz val="14"/>
      <name val="Arial"/>
      <family val="2"/>
    </font>
    <font>
      <sz val="14"/>
      <color indexed="8"/>
      <name val="CordiaUPC"/>
      <family val="2"/>
    </font>
    <font>
      <b/>
      <u/>
      <sz val="26"/>
      <name val="Arial"/>
      <family val="2"/>
    </font>
    <font>
      <b/>
      <sz val="26"/>
      <name val="Arial"/>
      <family val="2"/>
    </font>
    <font>
      <sz val="12"/>
      <color indexed="8"/>
      <name val="Arial"/>
      <family val="2"/>
    </font>
    <font>
      <strike/>
      <sz val="12"/>
      <name val="Arial"/>
      <family val="2"/>
    </font>
    <font>
      <strike/>
      <sz val="12"/>
      <color indexed="10"/>
      <name val="Arial"/>
      <family val="2"/>
    </font>
    <font>
      <sz val="16"/>
      <name val="Comic Sans MS"/>
      <family val="4"/>
    </font>
    <font>
      <b/>
      <sz val="16"/>
      <name val="Comic Sans MS"/>
      <family val="4"/>
    </font>
    <font>
      <b/>
      <sz val="14"/>
      <name val="Cordia Ne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2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FFFF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20">
    <xf numFmtId="0" fontId="0" fillId="0" borderId="0"/>
    <xf numFmtId="0" fontId="1" fillId="0" borderId="0"/>
    <xf numFmtId="0" fontId="45" fillId="0" borderId="0"/>
    <xf numFmtId="44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69" fontId="46" fillId="0" borderId="0" applyFont="0" applyFill="0" applyBorder="0" applyAlignment="0" applyProtection="0"/>
    <xf numFmtId="0" fontId="47" fillId="0" borderId="0"/>
    <xf numFmtId="0" fontId="48" fillId="0" borderId="0"/>
    <xf numFmtId="0" fontId="1" fillId="0" borderId="0"/>
    <xf numFmtId="193" fontId="49" fillId="0" borderId="0" applyFont="0" applyFill="0" applyBorder="0" applyAlignment="0" applyProtection="0"/>
    <xf numFmtId="192" fontId="49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/>
    <xf numFmtId="0" fontId="49" fillId="0" borderId="0"/>
    <xf numFmtId="195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2" fontId="67" fillId="0" borderId="0" applyFont="0" applyFill="0" applyBorder="0" applyAlignment="0" applyProtection="0"/>
    <xf numFmtId="193" fontId="67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67" fillId="0" borderId="0"/>
    <xf numFmtId="0" fontId="52" fillId="2" borderId="0" applyNumberFormat="0" applyBorder="0" applyAlignment="0" applyProtection="0"/>
    <xf numFmtId="0" fontId="52" fillId="2" borderId="0" applyNumberFormat="0" applyBorder="0" applyAlignment="0" applyProtection="0"/>
    <xf numFmtId="0" fontId="52" fillId="2" borderId="0" applyNumberFormat="0" applyBorder="0" applyAlignment="0" applyProtection="0"/>
    <xf numFmtId="0" fontId="52" fillId="2" borderId="0" applyNumberFormat="0" applyBorder="0" applyAlignment="0" applyProtection="0"/>
    <xf numFmtId="0" fontId="52" fillId="2" borderId="0" applyNumberFormat="0" applyBorder="0" applyAlignment="0" applyProtection="0"/>
    <xf numFmtId="0" fontId="52" fillId="2" borderId="0" applyNumberFormat="0" applyBorder="0" applyAlignment="0" applyProtection="0"/>
    <xf numFmtId="0" fontId="52" fillId="2" borderId="0" applyNumberFormat="0" applyBorder="0" applyAlignment="0" applyProtection="0"/>
    <xf numFmtId="0" fontId="27" fillId="2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27" fillId="3" borderId="0" applyNumberFormat="0" applyBorder="0" applyAlignment="0" applyProtection="0"/>
    <xf numFmtId="0" fontId="52" fillId="4" borderId="0" applyNumberFormat="0" applyBorder="0" applyAlignment="0" applyProtection="0"/>
    <xf numFmtId="0" fontId="52" fillId="4" borderId="0" applyNumberFormat="0" applyBorder="0" applyAlignment="0" applyProtection="0"/>
    <xf numFmtId="0" fontId="52" fillId="4" borderId="0" applyNumberFormat="0" applyBorder="0" applyAlignment="0" applyProtection="0"/>
    <xf numFmtId="0" fontId="52" fillId="4" borderId="0" applyNumberFormat="0" applyBorder="0" applyAlignment="0" applyProtection="0"/>
    <xf numFmtId="0" fontId="52" fillId="4" borderId="0" applyNumberFormat="0" applyBorder="0" applyAlignment="0" applyProtection="0"/>
    <xf numFmtId="0" fontId="52" fillId="4" borderId="0" applyNumberFormat="0" applyBorder="0" applyAlignment="0" applyProtection="0"/>
    <xf numFmtId="0" fontId="52" fillId="4" borderId="0" applyNumberFormat="0" applyBorder="0" applyAlignment="0" applyProtection="0"/>
    <xf numFmtId="0" fontId="27" fillId="4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27" fillId="5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27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27" fillId="7" borderId="0" applyNumberFormat="0" applyBorder="0" applyAlignment="0" applyProtection="0"/>
    <xf numFmtId="0" fontId="53" fillId="2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27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7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7" fillId="10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27" fillId="5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27" fillId="8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27" fillId="11" borderId="0" applyNumberFormat="0" applyBorder="0" applyAlignment="0" applyProtection="0"/>
    <xf numFmtId="0" fontId="53" fillId="8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8" fillId="1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8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8" fillId="10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8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8" fillId="14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8" fillId="15" borderId="0" applyNumberFormat="0" applyBorder="0" applyAlignment="0" applyProtection="0"/>
    <xf numFmtId="0" fontId="55" fillId="12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54" fillId="16" borderId="0" applyNumberFormat="0" applyBorder="0" applyAlignment="0" applyProtection="0"/>
    <xf numFmtId="0" fontId="28" fillId="16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28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28" fillId="18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8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8" fillId="14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54" fillId="19" borderId="0" applyNumberFormat="0" applyBorder="0" applyAlignment="0" applyProtection="0"/>
    <xf numFmtId="0" fontId="28" fillId="19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29" fillId="3" borderId="0" applyNumberFormat="0" applyBorder="0" applyAlignment="0" applyProtection="0"/>
    <xf numFmtId="41" fontId="57" fillId="0" borderId="0" applyFill="0" applyBorder="0" applyAlignment="0"/>
    <xf numFmtId="0" fontId="58" fillId="20" borderId="1" applyNumberFormat="0" applyAlignment="0" applyProtection="0"/>
    <xf numFmtId="0" fontId="58" fillId="20" borderId="1" applyNumberFormat="0" applyAlignment="0" applyProtection="0"/>
    <xf numFmtId="0" fontId="58" fillId="20" borderId="1" applyNumberFormat="0" applyAlignment="0" applyProtection="0"/>
    <xf numFmtId="0" fontId="58" fillId="20" borderId="1" applyNumberFormat="0" applyAlignment="0" applyProtection="0"/>
    <xf numFmtId="0" fontId="58" fillId="20" borderId="1" applyNumberFormat="0" applyAlignment="0" applyProtection="0"/>
    <xf numFmtId="0" fontId="58" fillId="20" borderId="1" applyNumberFormat="0" applyAlignment="0" applyProtection="0"/>
    <xf numFmtId="0" fontId="58" fillId="20" borderId="1" applyNumberFormat="0" applyAlignment="0" applyProtection="0"/>
    <xf numFmtId="0" fontId="30" fillId="20" borderId="1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59" fillId="21" borderId="2" applyNumberFormat="0" applyAlignment="0" applyProtection="0"/>
    <xf numFmtId="0" fontId="31" fillId="21" borderId="2" applyNumberFormat="0" applyAlignment="0" applyProtection="0"/>
    <xf numFmtId="0" fontId="60" fillId="0" borderId="0"/>
    <xf numFmtId="38" fontId="6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40" fontId="6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202" fontId="63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188" fontId="65" fillId="0" borderId="0"/>
    <xf numFmtId="0" fontId="60" fillId="0" borderId="0"/>
    <xf numFmtId="0" fontId="60" fillId="0" borderId="0"/>
    <xf numFmtId="189" fontId="65" fillId="0" borderId="0"/>
    <xf numFmtId="190" fontId="65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33" fillId="4" borderId="0" applyNumberFormat="0" applyBorder="0" applyAlignment="0" applyProtection="0"/>
    <xf numFmtId="38" fontId="69" fillId="22" borderId="0" applyNumberFormat="0" applyBorder="0" applyAlignment="0" applyProtection="0"/>
    <xf numFmtId="0" fontId="12" fillId="0" borderId="3" applyNumberFormat="0" applyAlignment="0" applyProtection="0">
      <alignment horizontal="left" vertical="center"/>
    </xf>
    <xf numFmtId="0" fontId="12" fillId="0" borderId="4">
      <alignment horizontal="left" vertical="center"/>
    </xf>
    <xf numFmtId="37" fontId="70" fillId="0" borderId="5" applyBorder="0" applyAlignment="0"/>
    <xf numFmtId="0" fontId="71" fillId="0" borderId="6" applyNumberFormat="0" applyFill="0" applyAlignment="0" applyProtection="0"/>
    <xf numFmtId="0" fontId="71" fillId="0" borderId="6" applyNumberFormat="0" applyFill="0" applyAlignment="0" applyProtection="0"/>
    <xf numFmtId="0" fontId="71" fillId="0" borderId="6" applyNumberFormat="0" applyFill="0" applyAlignment="0" applyProtection="0"/>
    <xf numFmtId="0" fontId="71" fillId="0" borderId="6" applyNumberFormat="0" applyFill="0" applyAlignment="0" applyProtection="0"/>
    <xf numFmtId="0" fontId="71" fillId="0" borderId="6" applyNumberFormat="0" applyFill="0" applyAlignment="0" applyProtection="0"/>
    <xf numFmtId="0" fontId="71" fillId="0" borderId="6" applyNumberFormat="0" applyFill="0" applyAlignment="0" applyProtection="0"/>
    <xf numFmtId="0" fontId="71" fillId="0" borderId="6" applyNumberFormat="0" applyFill="0" applyAlignment="0" applyProtection="0"/>
    <xf numFmtId="0" fontId="34" fillId="0" borderId="6" applyNumberFormat="0" applyFill="0" applyAlignment="0" applyProtection="0"/>
    <xf numFmtId="0" fontId="72" fillId="0" borderId="7" applyNumberFormat="0" applyFill="0" applyAlignment="0" applyProtection="0"/>
    <xf numFmtId="0" fontId="72" fillId="0" borderId="7" applyNumberFormat="0" applyFill="0" applyAlignment="0" applyProtection="0"/>
    <xf numFmtId="0" fontId="72" fillId="0" borderId="7" applyNumberFormat="0" applyFill="0" applyAlignment="0" applyProtection="0"/>
    <xf numFmtId="0" fontId="72" fillId="0" borderId="7" applyNumberFormat="0" applyFill="0" applyAlignment="0" applyProtection="0"/>
    <xf numFmtId="0" fontId="72" fillId="0" borderId="7" applyNumberFormat="0" applyFill="0" applyAlignment="0" applyProtection="0"/>
    <xf numFmtId="0" fontId="72" fillId="0" borderId="7" applyNumberFormat="0" applyFill="0" applyAlignment="0" applyProtection="0"/>
    <xf numFmtId="0" fontId="72" fillId="0" borderId="7" applyNumberFormat="0" applyFill="0" applyAlignment="0" applyProtection="0"/>
    <xf numFmtId="0" fontId="35" fillId="0" borderId="7" applyNumberFormat="0" applyFill="0" applyAlignment="0" applyProtection="0"/>
    <xf numFmtId="0" fontId="73" fillId="0" borderId="8" applyNumberFormat="0" applyFill="0" applyAlignment="0" applyProtection="0"/>
    <xf numFmtId="0" fontId="73" fillId="0" borderId="8" applyNumberFormat="0" applyFill="0" applyAlignment="0" applyProtection="0"/>
    <xf numFmtId="0" fontId="73" fillId="0" borderId="8" applyNumberFormat="0" applyFill="0" applyAlignment="0" applyProtection="0"/>
    <xf numFmtId="0" fontId="73" fillId="0" borderId="8" applyNumberFormat="0" applyFill="0" applyAlignment="0" applyProtection="0"/>
    <xf numFmtId="0" fontId="73" fillId="0" borderId="8" applyNumberFormat="0" applyFill="0" applyAlignment="0" applyProtection="0"/>
    <xf numFmtId="0" fontId="73" fillId="0" borderId="8" applyNumberFormat="0" applyFill="0" applyAlignment="0" applyProtection="0"/>
    <xf numFmtId="0" fontId="73" fillId="0" borderId="8" applyNumberFormat="0" applyFill="0" applyAlignment="0" applyProtection="0"/>
    <xf numFmtId="0" fontId="36" fillId="0" borderId="8" applyNumberFormat="0" applyFill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10" fontId="69" fillId="23" borderId="9" applyNumberFormat="0" applyBorder="0" applyAlignment="0" applyProtection="0"/>
    <xf numFmtId="0" fontId="37" fillId="7" borderId="1" applyNumberFormat="0" applyAlignment="0" applyProtection="0"/>
    <xf numFmtId="0" fontId="75" fillId="7" borderId="1" applyNumberFormat="0" applyAlignment="0" applyProtection="0"/>
    <xf numFmtId="0" fontId="75" fillId="7" borderId="1" applyNumberFormat="0" applyAlignment="0" applyProtection="0"/>
    <xf numFmtId="0" fontId="75" fillId="7" borderId="1" applyNumberFormat="0" applyAlignment="0" applyProtection="0"/>
    <xf numFmtId="0" fontId="75" fillId="7" borderId="1" applyNumberFormat="0" applyAlignment="0" applyProtection="0"/>
    <xf numFmtId="0" fontId="75" fillId="7" borderId="1" applyNumberFormat="0" applyAlignment="0" applyProtection="0"/>
    <xf numFmtId="0" fontId="75" fillId="7" borderId="1" applyNumberFormat="0" applyAlignment="0" applyProtection="0"/>
    <xf numFmtId="0" fontId="75" fillId="7" borderId="1" applyNumberFormat="0" applyAlignment="0" applyProtection="0"/>
    <xf numFmtId="0" fontId="37" fillId="7" borderId="1" applyNumberFormat="0" applyAlignment="0" applyProtection="0"/>
    <xf numFmtId="1" fontId="76" fillId="0" borderId="0" applyProtection="0">
      <protection locked="0"/>
    </xf>
    <xf numFmtId="0" fontId="77" fillId="0" borderId="10" applyNumberFormat="0" applyFill="0" applyAlignment="0" applyProtection="0"/>
    <xf numFmtId="0" fontId="77" fillId="0" borderId="10" applyNumberFormat="0" applyFill="0" applyAlignment="0" applyProtection="0"/>
    <xf numFmtId="0" fontId="77" fillId="0" borderId="10" applyNumberFormat="0" applyFill="0" applyAlignment="0" applyProtection="0"/>
    <xf numFmtId="0" fontId="77" fillId="0" borderId="10" applyNumberFormat="0" applyFill="0" applyAlignment="0" applyProtection="0"/>
    <xf numFmtId="0" fontId="77" fillId="0" borderId="10" applyNumberFormat="0" applyFill="0" applyAlignment="0" applyProtection="0"/>
    <xf numFmtId="0" fontId="77" fillId="0" borderId="10" applyNumberFormat="0" applyFill="0" applyAlignment="0" applyProtection="0"/>
    <xf numFmtId="0" fontId="77" fillId="0" borderId="10" applyNumberFormat="0" applyFill="0" applyAlignment="0" applyProtection="0"/>
    <xf numFmtId="0" fontId="38" fillId="0" borderId="10" applyNumberFormat="0" applyFill="0" applyAlignment="0" applyProtection="0"/>
    <xf numFmtId="38" fontId="24" fillId="0" borderId="0" applyFont="0" applyFill="0" applyBorder="0" applyAlignment="0" applyProtection="0"/>
    <xf numFmtId="40" fontId="24" fillId="0" borderId="0" applyFont="0" applyFill="0" applyBorder="0" applyAlignment="0" applyProtection="0"/>
    <xf numFmtId="6" fontId="24" fillId="0" borderId="0" applyFont="0" applyFill="0" applyBorder="0" applyAlignment="0" applyProtection="0"/>
    <xf numFmtId="8" fontId="24" fillId="0" borderId="0" applyFont="0" applyFill="0" applyBorder="0" applyAlignment="0" applyProtection="0"/>
    <xf numFmtId="6" fontId="24" fillId="0" borderId="0" applyFont="0" applyFill="0" applyBorder="0" applyAlignment="0" applyProtection="0"/>
    <xf numFmtId="8" fontId="24" fillId="0" borderId="0" applyFont="0" applyFill="0" applyBorder="0" applyAlignment="0" applyProtection="0"/>
    <xf numFmtId="6" fontId="24" fillId="0" borderId="0" applyFont="0" applyFill="0" applyBorder="0" applyAlignment="0" applyProtection="0"/>
    <xf numFmtId="8" fontId="24" fillId="0" borderId="0" applyFont="0" applyFill="0" applyBorder="0" applyAlignment="0" applyProtection="0"/>
    <xf numFmtId="6" fontId="24" fillId="0" borderId="0" applyFont="0" applyFill="0" applyBorder="0" applyAlignment="0" applyProtection="0"/>
    <xf numFmtId="8" fontId="24" fillId="0" borderId="0" applyFont="0" applyFill="0" applyBorder="0" applyAlignment="0" applyProtection="0"/>
    <xf numFmtId="6" fontId="24" fillId="0" borderId="0" applyFont="0" applyFill="0" applyBorder="0" applyAlignment="0" applyProtection="0"/>
    <xf numFmtId="8" fontId="24" fillId="0" borderId="0" applyFont="0" applyFill="0" applyBorder="0" applyAlignment="0" applyProtection="0"/>
    <xf numFmtId="0" fontId="79" fillId="24" borderId="0" applyNumberFormat="0" applyBorder="0" applyAlignment="0" applyProtection="0"/>
    <xf numFmtId="0" fontId="79" fillId="24" borderId="0" applyNumberFormat="0" applyBorder="0" applyAlignment="0" applyProtection="0"/>
    <xf numFmtId="0" fontId="79" fillId="24" borderId="0" applyNumberFormat="0" applyBorder="0" applyAlignment="0" applyProtection="0"/>
    <xf numFmtId="0" fontId="79" fillId="24" borderId="0" applyNumberFormat="0" applyBorder="0" applyAlignment="0" applyProtection="0"/>
    <xf numFmtId="0" fontId="79" fillId="24" borderId="0" applyNumberFormat="0" applyBorder="0" applyAlignment="0" applyProtection="0"/>
    <xf numFmtId="0" fontId="79" fillId="24" borderId="0" applyNumberFormat="0" applyBorder="0" applyAlignment="0" applyProtection="0"/>
    <xf numFmtId="0" fontId="79" fillId="24" borderId="0" applyNumberFormat="0" applyBorder="0" applyAlignment="0" applyProtection="0"/>
    <xf numFmtId="0" fontId="39" fillId="24" borderId="0" applyNumberFormat="0" applyBorder="0" applyAlignment="0" applyProtection="0"/>
    <xf numFmtId="37" fontId="80" fillId="0" borderId="0"/>
    <xf numFmtId="37" fontId="1" fillId="0" borderId="11"/>
    <xf numFmtId="191" fontId="81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27" fillId="0" borderId="0"/>
    <xf numFmtId="0" fontId="52" fillId="0" borderId="0"/>
    <xf numFmtId="0" fontId="27" fillId="0" borderId="0"/>
    <xf numFmtId="0" fontId="1" fillId="0" borderId="0"/>
    <xf numFmtId="0" fontId="27" fillId="0" borderId="0"/>
    <xf numFmtId="0" fontId="44" fillId="0" borderId="0"/>
    <xf numFmtId="0" fontId="4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" fillId="0" borderId="0"/>
    <xf numFmtId="0" fontId="1" fillId="0" borderId="0"/>
    <xf numFmtId="0" fontId="52" fillId="0" borderId="0"/>
    <xf numFmtId="0" fontId="52" fillId="25" borderId="12" applyNumberFormat="0" applyFont="0" applyAlignment="0" applyProtection="0"/>
    <xf numFmtId="0" fontId="52" fillId="25" borderId="12" applyNumberFormat="0" applyFont="0" applyAlignment="0" applyProtection="0"/>
    <xf numFmtId="0" fontId="52" fillId="25" borderId="12" applyNumberFormat="0" applyFont="0" applyAlignment="0" applyProtection="0"/>
    <xf numFmtId="0" fontId="52" fillId="25" borderId="12" applyNumberFormat="0" applyFont="0" applyAlignment="0" applyProtection="0"/>
    <xf numFmtId="0" fontId="52" fillId="25" borderId="12" applyNumberFormat="0" applyFont="0" applyAlignment="0" applyProtection="0"/>
    <xf numFmtId="0" fontId="52" fillId="25" borderId="12" applyNumberFormat="0" applyFont="0" applyAlignment="0" applyProtection="0"/>
    <xf numFmtId="0" fontId="52" fillId="25" borderId="12" applyNumberFormat="0" applyFont="0" applyAlignment="0" applyProtection="0"/>
    <xf numFmtId="0" fontId="1" fillId="25" borderId="12" applyNumberFormat="0" applyFont="0" applyAlignment="0" applyProtection="0"/>
    <xf numFmtId="0" fontId="82" fillId="20" borderId="13" applyNumberFormat="0" applyAlignment="0" applyProtection="0"/>
    <xf numFmtId="0" fontId="82" fillId="20" borderId="13" applyNumberFormat="0" applyAlignment="0" applyProtection="0"/>
    <xf numFmtId="0" fontId="82" fillId="20" borderId="13" applyNumberFormat="0" applyAlignment="0" applyProtection="0"/>
    <xf numFmtId="0" fontId="82" fillId="20" borderId="13" applyNumberFormat="0" applyAlignment="0" applyProtection="0"/>
    <xf numFmtId="0" fontId="82" fillId="20" borderId="13" applyNumberFormat="0" applyAlignment="0" applyProtection="0"/>
    <xf numFmtId="0" fontId="82" fillId="20" borderId="13" applyNumberFormat="0" applyAlignment="0" applyProtection="0"/>
    <xf numFmtId="0" fontId="82" fillId="20" borderId="13" applyNumberFormat="0" applyAlignment="0" applyProtection="0"/>
    <xf numFmtId="0" fontId="40" fillId="20" borderId="13" applyNumberFormat="0" applyAlignment="0" applyProtection="0"/>
    <xf numFmtId="196" fontId="67" fillId="0" borderId="0" applyFont="0" applyFill="0" applyBorder="0" applyAlignment="0" applyProtection="0"/>
    <xf numFmtId="10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24" fillId="0" borderId="14" applyNumberFormat="0" applyBorder="0"/>
    <xf numFmtId="1" fontId="44" fillId="0" borderId="15" applyNumberFormat="0" applyFill="0" applyAlignment="0" applyProtection="0">
      <alignment horizontal="center" vertical="center"/>
    </xf>
    <xf numFmtId="37" fontId="6" fillId="1" borderId="11"/>
    <xf numFmtId="37" fontId="83" fillId="1" borderId="11"/>
    <xf numFmtId="0" fontId="1" fillId="0" borderId="0"/>
    <xf numFmtId="0" fontId="26" fillId="0" borderId="0" applyFill="0" applyBorder="0" applyProtection="0">
      <alignment horizontal="left" vertical="top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42" fillId="0" borderId="16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2" fontId="87" fillId="0" borderId="17">
      <protection locked="0"/>
    </xf>
    <xf numFmtId="0" fontId="88" fillId="0" borderId="0" applyNumberFormat="0" applyFill="0" applyBorder="0" applyAlignment="0" applyProtection="0">
      <alignment vertical="center"/>
    </xf>
    <xf numFmtId="0" fontId="89" fillId="21" borderId="2" applyNumberFormat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53" fillId="25" borderId="12" applyNumberFormat="0" applyFont="0" applyAlignment="0" applyProtection="0">
      <alignment vertical="center"/>
    </xf>
    <xf numFmtId="0" fontId="94" fillId="0" borderId="10" applyNumberFormat="0" applyFill="0" applyAlignment="0" applyProtection="0">
      <alignment vertical="center"/>
    </xf>
    <xf numFmtId="38" fontId="67" fillId="0" borderId="0" applyFont="0" applyFill="0" applyBorder="0" applyAlignment="0" applyProtection="0"/>
    <xf numFmtId="40" fontId="86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67" fillId="0" borderId="0"/>
    <xf numFmtId="0" fontId="21" fillId="0" borderId="0"/>
    <xf numFmtId="0" fontId="95" fillId="0" borderId="0"/>
    <xf numFmtId="0" fontId="96" fillId="7" borderId="1" applyNumberFormat="0" applyAlignment="0" applyProtection="0">
      <alignment vertical="center"/>
    </xf>
    <xf numFmtId="0" fontId="97" fillId="20" borderId="13" applyNumberFormat="0" applyAlignment="0" applyProtection="0">
      <alignment vertical="center"/>
    </xf>
    <xf numFmtId="0" fontId="98" fillId="3" borderId="0" applyNumberFormat="0" applyBorder="0" applyAlignment="0" applyProtection="0">
      <alignment vertical="center"/>
    </xf>
    <xf numFmtId="0" fontId="99" fillId="0" borderId="0"/>
    <xf numFmtId="17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00" fillId="0" borderId="0"/>
    <xf numFmtId="169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199" fontId="63" fillId="0" borderId="0" applyFont="0" applyFill="0" applyBorder="0" applyAlignment="0" applyProtection="0"/>
    <xf numFmtId="200" fontId="63" fillId="0" borderId="0" applyFont="0" applyFill="0" applyBorder="0" applyAlignment="0" applyProtection="0"/>
    <xf numFmtId="0" fontId="101" fillId="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>
      <alignment vertical="top"/>
      <protection locked="0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20" borderId="1" applyNumberFormat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197" fontId="110" fillId="0" borderId="0" applyFont="0" applyFill="0" applyBorder="0" applyAlignment="0" applyProtection="0"/>
    <xf numFmtId="198" fontId="110" fillId="0" borderId="0" applyFont="0" applyFill="0" applyBorder="0" applyAlignment="0" applyProtection="0"/>
    <xf numFmtId="0" fontId="111" fillId="0" borderId="16" applyNumberFormat="0" applyFill="0" applyAlignment="0" applyProtection="0">
      <alignment vertical="center"/>
    </xf>
  </cellStyleXfs>
  <cellXfs count="248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Fill="1"/>
    <xf numFmtId="0" fontId="10" fillId="0" borderId="0" xfId="0" applyFont="1" applyFill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9" fillId="0" borderId="9" xfId="42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" fillId="0" borderId="0" xfId="0" applyFont="1" applyFill="1"/>
    <xf numFmtId="0" fontId="13" fillId="0" borderId="0" xfId="0" applyFont="1" applyAlignment="1">
      <alignment vertical="center"/>
    </xf>
    <xf numFmtId="0" fontId="6" fillId="0" borderId="0" xfId="0" applyFont="1" applyFill="1"/>
    <xf numFmtId="0" fontId="8" fillId="0" borderId="0" xfId="0" applyFont="1" applyFill="1" applyBorder="1"/>
    <xf numFmtId="0" fontId="1" fillId="0" borderId="0" xfId="0" applyFont="1" applyFill="1" applyBorder="1"/>
    <xf numFmtId="0" fontId="9" fillId="0" borderId="9" xfId="421" applyFont="1" applyFill="1" applyBorder="1" applyAlignment="1">
      <alignment horizontal="center" vertical="center"/>
    </xf>
    <xf numFmtId="0" fontId="1" fillId="26" borderId="0" xfId="0" applyFont="1" applyFill="1" applyBorder="1"/>
    <xf numFmtId="0" fontId="23" fillId="0" borderId="0" xfId="494" applyFont="1"/>
    <xf numFmtId="0" fontId="23" fillId="27" borderId="9" xfId="494" applyFont="1" applyFill="1" applyBorder="1" applyAlignment="1">
      <alignment horizontal="center"/>
    </xf>
    <xf numFmtId="0" fontId="23" fillId="0" borderId="18" xfId="494" applyFont="1" applyBorder="1" applyAlignment="1">
      <alignment horizontal="left"/>
    </xf>
    <xf numFmtId="0" fontId="23" fillId="0" borderId="19" xfId="494" applyFont="1" applyBorder="1" applyAlignment="1">
      <alignment horizontal="left"/>
    </xf>
    <xf numFmtId="0" fontId="23" fillId="0" borderId="20" xfId="494" applyFont="1" applyBorder="1" applyAlignment="1">
      <alignment horizontal="left"/>
    </xf>
    <xf numFmtId="0" fontId="23" fillId="0" borderId="21" xfId="494" applyFont="1" applyBorder="1" applyAlignment="1">
      <alignment horizontal="left"/>
    </xf>
    <xf numFmtId="0" fontId="23" fillId="0" borderId="15" xfId="494" applyFont="1" applyBorder="1" applyAlignment="1">
      <alignment horizontal="left"/>
    </xf>
    <xf numFmtId="0" fontId="23" fillId="0" borderId="22" xfId="494" applyFont="1" applyBorder="1" applyAlignment="1">
      <alignment horizontal="left"/>
    </xf>
    <xf numFmtId="0" fontId="23" fillId="0" borderId="0" xfId="494" applyFont="1" applyBorder="1" applyAlignment="1">
      <alignment horizontal="left"/>
    </xf>
    <xf numFmtId="0" fontId="23" fillId="0" borderId="23" xfId="494" applyFont="1" applyBorder="1" applyAlignment="1">
      <alignment horizontal="left"/>
    </xf>
    <xf numFmtId="0" fontId="23" fillId="0" borderId="24" xfId="494" applyFont="1" applyBorder="1" applyAlignment="1">
      <alignment horizontal="left"/>
    </xf>
    <xf numFmtId="0" fontId="23" fillId="0" borderId="25" xfId="494" applyFont="1" applyBorder="1" applyAlignment="1">
      <alignment horizontal="left"/>
    </xf>
    <xf numFmtId="0" fontId="23" fillId="0" borderId="26" xfId="494" applyFont="1" applyBorder="1" applyAlignment="1">
      <alignment horizontal="left"/>
    </xf>
    <xf numFmtId="0" fontId="23" fillId="27" borderId="27" xfId="494" applyFont="1" applyFill="1" applyBorder="1" applyAlignment="1">
      <alignment horizontal="center"/>
    </xf>
    <xf numFmtId="0" fontId="22" fillId="28" borderId="0" xfId="494" applyFont="1" applyFill="1" applyBorder="1" applyAlignment="1">
      <alignment horizontal="center" wrapText="1" shrinkToFit="1"/>
    </xf>
    <xf numFmtId="0" fontId="22" fillId="28" borderId="0" xfId="494" applyFont="1" applyFill="1" applyBorder="1" applyAlignment="1">
      <alignment horizontal="center" wrapText="1"/>
    </xf>
    <xf numFmtId="0" fontId="22" fillId="28" borderId="28" xfId="494" applyFont="1" applyFill="1" applyBorder="1" applyAlignment="1">
      <alignment horizontal="center"/>
    </xf>
    <xf numFmtId="0" fontId="23" fillId="0" borderId="0" xfId="494" applyFont="1" applyAlignment="1">
      <alignment horizontal="left"/>
    </xf>
    <xf numFmtId="0" fontId="22" fillId="27" borderId="9" xfId="494" applyFont="1" applyFill="1" applyBorder="1" applyAlignment="1">
      <alignment horizontal="center"/>
    </xf>
    <xf numFmtId="0" fontId="23" fillId="0" borderId="15" xfId="494" applyFont="1" applyFill="1" applyBorder="1" applyAlignment="1">
      <alignment horizontal="left"/>
    </xf>
    <xf numFmtId="0" fontId="23" fillId="29" borderId="15" xfId="494" applyFont="1" applyFill="1" applyBorder="1" applyAlignment="1">
      <alignment horizontal="left"/>
    </xf>
    <xf numFmtId="0" fontId="22" fillId="28" borderId="0" xfId="494" applyFont="1" applyFill="1" applyAlignment="1">
      <alignment horizontal="left"/>
    </xf>
    <xf numFmtId="0" fontId="23" fillId="22" borderId="18" xfId="494" applyFont="1" applyFill="1" applyBorder="1" applyAlignment="1">
      <alignment horizontal="left"/>
    </xf>
    <xf numFmtId="0" fontId="23" fillId="22" borderId="29" xfId="494" applyFont="1" applyFill="1" applyBorder="1" applyAlignment="1">
      <alignment horizontal="left"/>
    </xf>
    <xf numFmtId="0" fontId="14" fillId="0" borderId="0" xfId="0" applyFont="1" applyFill="1"/>
    <xf numFmtId="0" fontId="9" fillId="0" borderId="9" xfId="0" applyFont="1" applyFill="1" applyBorder="1" applyAlignment="1">
      <alignment horizontal="center"/>
    </xf>
    <xf numFmtId="0" fontId="11" fillId="28" borderId="18" xfId="419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2" fillId="28" borderId="0" xfId="494" applyFont="1" applyFill="1" applyBorder="1" applyAlignment="1">
      <alignment horizontal="left" wrapText="1" shrinkToFit="1"/>
    </xf>
    <xf numFmtId="0" fontId="22" fillId="28" borderId="28" xfId="494" applyFont="1" applyFill="1" applyBorder="1" applyAlignment="1">
      <alignment horizontal="left"/>
    </xf>
    <xf numFmtId="0" fontId="23" fillId="27" borderId="9" xfId="494" applyFont="1" applyFill="1" applyBorder="1" applyAlignment="1">
      <alignment horizontal="left"/>
    </xf>
    <xf numFmtId="0" fontId="23" fillId="0" borderId="18" xfId="494" applyNumberFormat="1" applyFont="1" applyBorder="1" applyAlignment="1">
      <alignment horizontal="center"/>
    </xf>
    <xf numFmtId="0" fontId="23" fillId="0" borderId="15" xfId="494" applyNumberFormat="1" applyFont="1" applyBorder="1" applyAlignment="1">
      <alignment horizontal="center"/>
    </xf>
    <xf numFmtId="0" fontId="23" fillId="0" borderId="22" xfId="494" applyNumberFormat="1" applyFont="1" applyBorder="1" applyAlignment="1">
      <alignment horizontal="center"/>
    </xf>
    <xf numFmtId="0" fontId="23" fillId="0" borderId="24" xfId="494" applyNumberFormat="1" applyFont="1" applyBorder="1" applyAlignment="1">
      <alignment horizontal="center"/>
    </xf>
    <xf numFmtId="0" fontId="112" fillId="0" borderId="9" xfId="0" applyFont="1" applyFill="1" applyBorder="1" applyAlignment="1">
      <alignment horizontal="left"/>
    </xf>
    <xf numFmtId="0" fontId="11" fillId="0" borderId="9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/>
    </xf>
    <xf numFmtId="0" fontId="112" fillId="0" borderId="9" xfId="0" applyFont="1" applyFill="1" applyBorder="1" applyAlignment="1">
      <alignment horizontal="center"/>
    </xf>
    <xf numFmtId="0" fontId="1" fillId="0" borderId="30" xfId="421" applyFont="1" applyFill="1" applyBorder="1" applyAlignment="1">
      <alignment horizontal="center" vertical="center"/>
    </xf>
    <xf numFmtId="0" fontId="1" fillId="0" borderId="9" xfId="421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1" fillId="0" borderId="0" xfId="0" applyFont="1" applyBorder="1"/>
    <xf numFmtId="0" fontId="6" fillId="0" borderId="0" xfId="418" quotePrefix="1" applyNumberFormat="1" applyFont="1" applyFill="1" applyBorder="1" applyAlignment="1">
      <alignment horizontal="center" vertical="center" textRotation="90"/>
    </xf>
    <xf numFmtId="0" fontId="6" fillId="0" borderId="0" xfId="418" applyFont="1" applyFill="1" applyBorder="1" applyAlignment="1">
      <alignment horizontal="center" vertical="center"/>
    </xf>
    <xf numFmtId="0" fontId="6" fillId="0" borderId="0" xfId="418" applyFont="1" applyFill="1" applyBorder="1" applyAlignment="1">
      <alignment horizontal="center" vertical="center" wrapText="1"/>
    </xf>
    <xf numFmtId="0" fontId="1" fillId="0" borderId="0" xfId="418" applyFont="1" applyFill="1" applyBorder="1" applyAlignment="1">
      <alignment vertical="center"/>
    </xf>
    <xf numFmtId="0" fontId="1" fillId="0" borderId="0" xfId="418" applyFont="1" applyFill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23" fillId="0" borderId="0" xfId="494" applyFont="1" applyAlignment="1">
      <alignment horizontal="left" vertical="center"/>
    </xf>
    <xf numFmtId="1" fontId="23" fillId="31" borderId="18" xfId="494" applyNumberFormat="1" applyFont="1" applyFill="1" applyBorder="1" applyAlignment="1">
      <alignment horizontal="center" vertical="center"/>
    </xf>
    <xf numFmtId="0" fontId="23" fillId="31" borderId="18" xfId="494" applyFont="1" applyFill="1" applyBorder="1" applyAlignment="1">
      <alignment horizontal="center" vertical="center"/>
    </xf>
    <xf numFmtId="0" fontId="113" fillId="30" borderId="9" xfId="422" applyFont="1" applyFill="1" applyBorder="1" applyAlignment="1">
      <alignment horizontal="center" vertical="center"/>
    </xf>
    <xf numFmtId="1" fontId="23" fillId="29" borderId="18" xfId="494" applyNumberFormat="1" applyFont="1" applyFill="1" applyBorder="1" applyAlignment="1">
      <alignment horizontal="left" vertical="center"/>
    </xf>
    <xf numFmtId="0" fontId="23" fillId="29" borderId="18" xfId="494" applyFont="1" applyFill="1" applyBorder="1" applyAlignment="1">
      <alignment horizontal="left" vertical="center"/>
    </xf>
    <xf numFmtId="0" fontId="113" fillId="0" borderId="9" xfId="422" applyNumberFormat="1" applyFont="1" applyFill="1" applyBorder="1" applyAlignment="1">
      <alignment horizontal="left" vertical="center" wrapText="1"/>
    </xf>
    <xf numFmtId="0" fontId="113" fillId="0" borderId="9" xfId="422" applyFont="1" applyFill="1" applyBorder="1" applyAlignment="1">
      <alignment vertical="center" wrapText="1"/>
    </xf>
    <xf numFmtId="1" fontId="23" fillId="28" borderId="15" xfId="494" applyNumberFormat="1" applyFont="1" applyFill="1" applyBorder="1" applyAlignment="1">
      <alignment horizontal="left" vertical="center"/>
    </xf>
    <xf numFmtId="0" fontId="23" fillId="28" borderId="15" xfId="494" applyFont="1" applyFill="1" applyBorder="1" applyAlignment="1">
      <alignment horizontal="left" vertical="center"/>
    </xf>
    <xf numFmtId="1" fontId="23" fillId="29" borderId="15" xfId="494" applyNumberFormat="1" applyFont="1" applyFill="1" applyBorder="1" applyAlignment="1">
      <alignment horizontal="left" vertical="center"/>
    </xf>
    <xf numFmtId="0" fontId="23" fillId="29" borderId="15" xfId="494" applyFont="1" applyFill="1" applyBorder="1" applyAlignment="1">
      <alignment horizontal="left" vertical="center"/>
    </xf>
    <xf numFmtId="1" fontId="23" fillId="0" borderId="15" xfId="494" applyNumberFormat="1" applyFont="1" applyBorder="1" applyAlignment="1">
      <alignment horizontal="left" vertical="center"/>
    </xf>
    <xf numFmtId="0" fontId="23" fillId="0" borderId="15" xfId="494" applyFont="1" applyBorder="1" applyAlignment="1">
      <alignment horizontal="left" vertical="center"/>
    </xf>
    <xf numFmtId="1" fontId="23" fillId="0" borderId="29" xfId="494" applyNumberFormat="1" applyFont="1" applyBorder="1" applyAlignment="1">
      <alignment horizontal="left" vertical="center"/>
    </xf>
    <xf numFmtId="0" fontId="23" fillId="0" borderId="29" xfId="494" applyFont="1" applyBorder="1" applyAlignment="1">
      <alignment horizontal="left" vertical="center"/>
    </xf>
    <xf numFmtId="1" fontId="23" fillId="0" borderId="19" xfId="494" applyNumberFormat="1" applyFont="1" applyBorder="1" applyAlignment="1">
      <alignment horizontal="left" vertical="center"/>
    </xf>
    <xf numFmtId="0" fontId="23" fillId="0" borderId="18" xfId="494" applyFont="1" applyBorder="1" applyAlignment="1">
      <alignment horizontal="left" vertical="center"/>
    </xf>
    <xf numFmtId="1" fontId="23" fillId="0" borderId="22" xfId="494" applyNumberFormat="1" applyFont="1" applyBorder="1" applyAlignment="1">
      <alignment horizontal="left" vertical="center"/>
    </xf>
    <xf numFmtId="1" fontId="23" fillId="29" borderId="22" xfId="494" applyNumberFormat="1" applyFont="1" applyFill="1" applyBorder="1" applyAlignment="1">
      <alignment horizontal="left" vertical="center"/>
    </xf>
    <xf numFmtId="1" fontId="23" fillId="0" borderId="18" xfId="494" applyNumberFormat="1" applyFont="1" applyBorder="1" applyAlignment="1">
      <alignment horizontal="left" vertical="center"/>
    </xf>
    <xf numFmtId="1" fontId="23" fillId="0" borderId="15" xfId="494" applyNumberFormat="1" applyFont="1" applyFill="1" applyBorder="1" applyAlignment="1">
      <alignment horizontal="left" vertical="center"/>
    </xf>
    <xf numFmtId="0" fontId="23" fillId="0" borderId="15" xfId="494" applyFont="1" applyFill="1" applyBorder="1" applyAlignment="1">
      <alignment horizontal="left" vertical="center"/>
    </xf>
    <xf numFmtId="1" fontId="23" fillId="22" borderId="18" xfId="494" applyNumberFormat="1" applyFont="1" applyFill="1" applyBorder="1" applyAlignment="1">
      <alignment horizontal="left" vertical="center"/>
    </xf>
    <xf numFmtId="0" fontId="23" fillId="22" borderId="18" xfId="494" applyFont="1" applyFill="1" applyBorder="1" applyAlignment="1">
      <alignment horizontal="left" vertical="center"/>
    </xf>
    <xf numFmtId="1" fontId="23" fillId="22" borderId="29" xfId="494" applyNumberFormat="1" applyFont="1" applyFill="1" applyBorder="1" applyAlignment="1">
      <alignment horizontal="left" vertical="center"/>
    </xf>
    <xf numFmtId="0" fontId="23" fillId="22" borderId="29" xfId="494" applyFont="1" applyFill="1" applyBorder="1" applyAlignment="1">
      <alignment horizontal="left" vertical="center"/>
    </xf>
    <xf numFmtId="1" fontId="23" fillId="0" borderId="0" xfId="494" applyNumberFormat="1" applyFont="1" applyAlignment="1">
      <alignment horizontal="left" vertical="center"/>
    </xf>
    <xf numFmtId="0" fontId="113" fillId="0" borderId="9" xfId="422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49" fontId="23" fillId="0" borderId="18" xfId="494" applyNumberFormat="1" applyFont="1" applyBorder="1" applyAlignment="1">
      <alignment horizontal="center"/>
    </xf>
    <xf numFmtId="49" fontId="23" fillId="0" borderId="15" xfId="494" applyNumberFormat="1" applyFont="1" applyBorder="1" applyAlignment="1">
      <alignment horizontal="center"/>
    </xf>
    <xf numFmtId="49" fontId="23" fillId="0" borderId="15" xfId="494" applyNumberFormat="1" applyFont="1" applyFill="1" applyBorder="1" applyAlignment="1">
      <alignment horizontal="center"/>
    </xf>
    <xf numFmtId="1" fontId="23" fillId="0" borderId="15" xfId="494" applyNumberFormat="1" applyFont="1" applyBorder="1" applyAlignment="1">
      <alignment horizontal="center"/>
    </xf>
    <xf numFmtId="49" fontId="23" fillId="0" borderId="29" xfId="494" applyNumberFormat="1" applyFont="1" applyBorder="1" applyAlignment="1">
      <alignment horizontal="center"/>
    </xf>
    <xf numFmtId="0" fontId="11" fillId="28" borderId="18" xfId="0" applyFont="1" applyFill="1" applyBorder="1" applyAlignment="1">
      <alignment horizontal="center" vertical="center" wrapText="1"/>
    </xf>
    <xf numFmtId="0" fontId="9" fillId="0" borderId="9" xfId="421" quotePrefix="1" applyFont="1" applyFill="1" applyBorder="1" applyAlignment="1">
      <alignment horizontal="left" vertical="center"/>
    </xf>
    <xf numFmtId="0" fontId="9" fillId="0" borderId="9" xfId="421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3" fontId="9" fillId="0" borderId="9" xfId="0" applyNumberFormat="1" applyFont="1" applyFill="1" applyBorder="1" applyAlignment="1">
      <alignment horizontal="center" vertical="center"/>
    </xf>
    <xf numFmtId="4" fontId="9" fillId="0" borderId="9" xfId="0" applyNumberFormat="1" applyFont="1" applyFill="1" applyBorder="1" applyAlignment="1">
      <alignment horizontal="center" vertical="center"/>
    </xf>
    <xf numFmtId="0" fontId="9" fillId="0" borderId="9" xfId="421" quotePrefix="1" applyFont="1" applyFill="1" applyBorder="1" applyAlignment="1">
      <alignment horizontal="center" vertical="center"/>
    </xf>
    <xf numFmtId="0" fontId="9" fillId="0" borderId="9" xfId="0" applyNumberFormat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left"/>
    </xf>
    <xf numFmtId="0" fontId="9" fillId="0" borderId="9" xfId="420" applyFont="1" applyFill="1" applyBorder="1" applyAlignment="1">
      <alignment horizontal="left" vertical="center"/>
    </xf>
    <xf numFmtId="0" fontId="9" fillId="0" borderId="9" xfId="420" quotePrefix="1" applyFont="1" applyFill="1" applyBorder="1" applyAlignment="1">
      <alignment horizontal="center" vertical="center"/>
    </xf>
    <xf numFmtId="0" fontId="9" fillId="0" borderId="9" xfId="417" applyNumberFormat="1" applyFont="1" applyFill="1" applyBorder="1" applyAlignment="1">
      <alignment horizontal="left"/>
    </xf>
    <xf numFmtId="49" fontId="9" fillId="0" borderId="9" xfId="417" quotePrefix="1" applyNumberFormat="1" applyFont="1" applyFill="1" applyBorder="1" applyAlignment="1">
      <alignment horizontal="left"/>
    </xf>
    <xf numFmtId="0" fontId="9" fillId="0" borderId="9" xfId="418" quotePrefix="1" applyNumberFormat="1" applyFont="1" applyFill="1" applyBorder="1" applyAlignment="1">
      <alignment horizontal="left"/>
    </xf>
    <xf numFmtId="0" fontId="9" fillId="0" borderId="9" xfId="0" quotePrefix="1" applyFont="1" applyFill="1" applyBorder="1" applyAlignment="1">
      <alignment horizontal="center" vertical="center"/>
    </xf>
    <xf numFmtId="0" fontId="9" fillId="0" borderId="9" xfId="418" quotePrefix="1" applyNumberFormat="1" applyFont="1" applyFill="1" applyBorder="1" applyAlignment="1">
      <alignment horizontal="left" vertical="center"/>
    </xf>
    <xf numFmtId="0" fontId="9" fillId="0" borderId="9" xfId="418" applyFont="1" applyFill="1" applyBorder="1" applyAlignment="1">
      <alignment horizontal="center"/>
    </xf>
    <xf numFmtId="0" fontId="9" fillId="0" borderId="9" xfId="0" quotePrefix="1" applyNumberFormat="1" applyFont="1" applyFill="1" applyBorder="1" applyAlignment="1">
      <alignment horizontal="center" vertical="center"/>
    </xf>
    <xf numFmtId="49" fontId="9" fillId="0" borderId="9" xfId="418" applyNumberFormat="1" applyFont="1" applyFill="1" applyBorder="1" applyAlignment="1">
      <alignment horizontal="left"/>
    </xf>
    <xf numFmtId="0" fontId="9" fillId="0" borderId="9" xfId="420" quotePrefix="1" applyFont="1" applyFill="1" applyBorder="1" applyAlignment="1">
      <alignment horizontal="left" vertical="center"/>
    </xf>
    <xf numFmtId="0" fontId="9" fillId="0" borderId="9" xfId="0" quotePrefix="1" applyFont="1" applyFill="1" applyBorder="1" applyAlignment="1">
      <alignment horizontal="left" vertical="center"/>
    </xf>
    <xf numFmtId="0" fontId="12" fillId="0" borderId="9" xfId="0" applyFont="1" applyFill="1" applyBorder="1" applyAlignment="1">
      <alignment horizontal="left"/>
    </xf>
    <xf numFmtId="49" fontId="9" fillId="0" borderId="9" xfId="416" quotePrefix="1" applyNumberFormat="1" applyFont="1" applyFill="1" applyBorder="1" applyAlignment="1">
      <alignment horizontal="center"/>
    </xf>
    <xf numFmtId="0" fontId="9" fillId="0" borderId="9" xfId="416" quotePrefix="1" applyNumberFormat="1" applyFont="1" applyFill="1" applyBorder="1" applyAlignment="1">
      <alignment horizontal="center"/>
    </xf>
    <xf numFmtId="0" fontId="9" fillId="0" borderId="9" xfId="0" applyNumberFormat="1" applyFont="1" applyFill="1" applyBorder="1" applyAlignment="1">
      <alignment horizontal="center"/>
    </xf>
    <xf numFmtId="0" fontId="116" fillId="0" borderId="9" xfId="402" applyFont="1" applyFill="1" applyBorder="1" applyAlignment="1">
      <alignment horizontal="center" vertical="center" wrapText="1"/>
    </xf>
    <xf numFmtId="49" fontId="9" fillId="0" borderId="9" xfId="0" quotePrefix="1" applyNumberFormat="1" applyFont="1" applyFill="1" applyBorder="1" applyAlignment="1">
      <alignment horizontal="center"/>
    </xf>
    <xf numFmtId="0" fontId="117" fillId="0" borderId="9" xfId="0" applyFont="1" applyFill="1" applyBorder="1" applyAlignment="1">
      <alignment horizontal="center" vertical="center"/>
    </xf>
    <xf numFmtId="0" fontId="116" fillId="0" borderId="9" xfId="402" applyFont="1" applyBorder="1" applyAlignment="1">
      <alignment horizontal="center" vertical="center" wrapText="1"/>
    </xf>
    <xf numFmtId="49" fontId="118" fillId="0" borderId="29" xfId="416" quotePrefix="1" applyNumberFormat="1" applyFont="1" applyFill="1" applyBorder="1" applyAlignment="1">
      <alignment horizontal="center"/>
    </xf>
    <xf numFmtId="49" fontId="124" fillId="0" borderId="29" xfId="416" quotePrefix="1" applyNumberFormat="1" applyFont="1" applyFill="1" applyBorder="1" applyAlignment="1">
      <alignment horizontal="center"/>
    </xf>
    <xf numFmtId="49" fontId="9" fillId="0" borderId="29" xfId="416" quotePrefix="1" applyNumberFormat="1" applyFont="1" applyFill="1" applyBorder="1" applyAlignment="1">
      <alignment horizontal="center"/>
    </xf>
    <xf numFmtId="49" fontId="118" fillId="0" borderId="9" xfId="416" quotePrefix="1" applyNumberFormat="1" applyFont="1" applyFill="1" applyBorder="1" applyAlignment="1">
      <alignment horizontal="center"/>
    </xf>
    <xf numFmtId="49" fontId="124" fillId="0" borderId="9" xfId="416" quotePrefix="1" applyNumberFormat="1" applyFont="1" applyFill="1" applyBorder="1" applyAlignment="1">
      <alignment horizontal="center"/>
    </xf>
    <xf numFmtId="49" fontId="124" fillId="32" borderId="9" xfId="416" quotePrefix="1" applyNumberFormat="1" applyFont="1" applyFill="1" applyBorder="1" applyAlignment="1">
      <alignment horizontal="center"/>
    </xf>
    <xf numFmtId="49" fontId="118" fillId="0" borderId="18" xfId="416" quotePrefix="1" applyNumberFormat="1" applyFont="1" applyFill="1" applyBorder="1" applyAlignment="1">
      <alignment horizontal="center"/>
    </xf>
    <xf numFmtId="49" fontId="124" fillId="0" borderId="18" xfId="416" quotePrefix="1" applyNumberFormat="1" applyFont="1" applyFill="1" applyBorder="1" applyAlignment="1">
      <alignment horizontal="center"/>
    </xf>
    <xf numFmtId="49" fontId="9" fillId="0" borderId="18" xfId="416" quotePrefix="1" applyNumberFormat="1" applyFont="1" applyFill="1" applyBorder="1" applyAlignment="1">
      <alignment horizontal="center"/>
    </xf>
    <xf numFmtId="49" fontId="118" fillId="0" borderId="9" xfId="414" quotePrefix="1" applyNumberFormat="1" applyFont="1" applyFill="1" applyBorder="1" applyAlignment="1">
      <alignment horizontal="center"/>
    </xf>
    <xf numFmtId="49" fontId="124" fillId="0" borderId="9" xfId="414" quotePrefix="1" applyNumberFormat="1" applyFont="1" applyFill="1" applyBorder="1" applyAlignment="1">
      <alignment horizontal="center"/>
    </xf>
    <xf numFmtId="49" fontId="9" fillId="0" borderId="9" xfId="414" quotePrefix="1" applyNumberFormat="1" applyFont="1" applyFill="1" applyBorder="1" applyAlignment="1">
      <alignment horizontal="center"/>
    </xf>
    <xf numFmtId="49" fontId="9" fillId="0" borderId="29" xfId="398" applyNumberFormat="1" applyFont="1" applyFill="1" applyBorder="1" applyAlignment="1">
      <alignment horizontal="center"/>
    </xf>
    <xf numFmtId="49" fontId="9" fillId="0" borderId="9" xfId="398" applyNumberFormat="1" applyFont="1" applyFill="1" applyBorder="1" applyAlignment="1">
      <alignment horizontal="center"/>
    </xf>
    <xf numFmtId="49" fontId="118" fillId="0" borderId="9" xfId="398" applyNumberFormat="1" applyFont="1" applyFill="1" applyBorder="1" applyAlignment="1">
      <alignment horizontal="center"/>
    </xf>
    <xf numFmtId="49" fontId="124" fillId="0" borderId="9" xfId="398" applyNumberFormat="1" applyFont="1" applyFill="1" applyBorder="1" applyAlignment="1">
      <alignment horizontal="center"/>
    </xf>
    <xf numFmtId="49" fontId="9" fillId="0" borderId="31" xfId="398" applyNumberFormat="1" applyFont="1" applyFill="1" applyBorder="1" applyAlignment="1">
      <alignment horizontal="center"/>
    </xf>
    <xf numFmtId="0" fontId="9" fillId="0" borderId="9" xfId="389" applyFont="1" applyBorder="1" applyAlignment="1">
      <alignment horizontal="center" vertical="center"/>
    </xf>
    <xf numFmtId="0" fontId="9" fillId="0" borderId="29" xfId="389" applyFont="1" applyBorder="1" applyAlignment="1">
      <alignment horizontal="center" vertical="center"/>
    </xf>
    <xf numFmtId="49" fontId="9" fillId="0" borderId="9" xfId="413" applyNumberFormat="1" applyFont="1" applyFill="1" applyBorder="1" applyAlignment="1">
      <alignment horizontal="center"/>
    </xf>
    <xf numFmtId="0" fontId="9" fillId="0" borderId="9" xfId="415" quotePrefix="1" applyNumberFormat="1" applyFont="1" applyBorder="1" applyAlignment="1">
      <alignment horizontal="center"/>
    </xf>
    <xf numFmtId="0" fontId="9" fillId="0" borderId="27" xfId="398" applyNumberFormat="1" applyFont="1" applyFill="1" applyBorder="1" applyAlignment="1">
      <alignment horizontal="center"/>
    </xf>
    <xf numFmtId="0" fontId="9" fillId="0" borderId="9" xfId="398" applyNumberFormat="1" applyFont="1" applyFill="1" applyBorder="1" applyAlignment="1">
      <alignment horizontal="center"/>
    </xf>
    <xf numFmtId="49" fontId="9" fillId="0" borderId="9" xfId="389" applyNumberFormat="1" applyFont="1" applyFill="1" applyBorder="1" applyAlignment="1">
      <alignment horizontal="center" vertical="center"/>
    </xf>
    <xf numFmtId="0" fontId="9" fillId="0" borderId="29" xfId="389" applyNumberFormat="1" applyFont="1" applyBorder="1" applyAlignment="1">
      <alignment horizontal="center" vertical="center"/>
    </xf>
    <xf numFmtId="49" fontId="9" fillId="0" borderId="9" xfId="0" applyNumberFormat="1" applyFont="1" applyFill="1" applyBorder="1" applyAlignment="1">
      <alignment horizontal="center" vertical="center"/>
    </xf>
    <xf numFmtId="49" fontId="9" fillId="0" borderId="9" xfId="398" applyNumberFormat="1" applyFont="1" applyFill="1" applyBorder="1" applyAlignment="1">
      <alignment horizontal="center" vertical="center"/>
    </xf>
    <xf numFmtId="0" fontId="9" fillId="0" borderId="9" xfId="398" applyNumberFormat="1" applyFont="1" applyFill="1" applyBorder="1" applyAlignment="1">
      <alignment horizontal="center" vertical="center"/>
    </xf>
    <xf numFmtId="0" fontId="119" fillId="0" borderId="0" xfId="494" applyFont="1" applyAlignment="1">
      <alignment horizontal="left" vertical="center"/>
    </xf>
    <xf numFmtId="1" fontId="119" fillId="0" borderId="15" xfId="494" applyNumberFormat="1" applyFont="1" applyBorder="1" applyAlignment="1">
      <alignment horizontal="left"/>
    </xf>
    <xf numFmtId="0" fontId="119" fillId="29" borderId="18" xfId="494" applyFont="1" applyFill="1" applyBorder="1" applyAlignment="1">
      <alignment horizontal="left"/>
    </xf>
    <xf numFmtId="0" fontId="119" fillId="28" borderId="15" xfId="494" applyFont="1" applyFill="1" applyBorder="1" applyAlignment="1">
      <alignment horizontal="left"/>
    </xf>
    <xf numFmtId="1" fontId="119" fillId="0" borderId="15" xfId="494" applyNumberFormat="1" applyFont="1" applyFill="1" applyBorder="1" applyAlignment="1">
      <alignment horizontal="left"/>
    </xf>
    <xf numFmtId="1" fontId="119" fillId="0" borderId="29" xfId="494" applyNumberFormat="1" applyFont="1" applyFill="1" applyBorder="1" applyAlignment="1">
      <alignment horizontal="left"/>
    </xf>
    <xf numFmtId="0" fontId="119" fillId="29" borderId="15" xfId="494" applyNumberFormat="1" applyFont="1" applyFill="1" applyBorder="1" applyAlignment="1">
      <alignment horizontal="left"/>
    </xf>
    <xf numFmtId="0" fontId="119" fillId="29" borderId="15" xfId="494" applyFont="1" applyFill="1" applyBorder="1" applyAlignment="1">
      <alignment horizontal="left"/>
    </xf>
    <xf numFmtId="0" fontId="119" fillId="0" borderId="15" xfId="494" applyNumberFormat="1" applyFont="1" applyBorder="1" applyAlignment="1">
      <alignment horizontal="left"/>
    </xf>
    <xf numFmtId="0" fontId="119" fillId="0" borderId="15" xfId="494" applyFont="1" applyBorder="1" applyAlignment="1">
      <alignment horizontal="left"/>
    </xf>
    <xf numFmtId="0" fontId="119" fillId="0" borderId="29" xfId="494" applyNumberFormat="1" applyFont="1" applyBorder="1" applyAlignment="1">
      <alignment horizontal="left"/>
    </xf>
    <xf numFmtId="0" fontId="119" fillId="0" borderId="29" xfId="494" applyFont="1" applyBorder="1" applyAlignment="1">
      <alignment horizontal="left"/>
    </xf>
    <xf numFmtId="0" fontId="119" fillId="0" borderId="19" xfId="494" applyNumberFormat="1" applyFont="1" applyBorder="1" applyAlignment="1">
      <alignment horizontal="left"/>
    </xf>
    <xf numFmtId="0" fontId="119" fillId="0" borderId="18" xfId="494" applyFont="1" applyBorder="1" applyAlignment="1">
      <alignment horizontal="left"/>
    </xf>
    <xf numFmtId="0" fontId="119" fillId="0" borderId="22" xfId="494" applyNumberFormat="1" applyFont="1" applyBorder="1" applyAlignment="1">
      <alignment horizontal="left"/>
    </xf>
    <xf numFmtId="0" fontId="119" fillId="29" borderId="22" xfId="494" applyNumberFormat="1" applyFont="1" applyFill="1" applyBorder="1" applyAlignment="1">
      <alignment horizontal="left"/>
    </xf>
    <xf numFmtId="0" fontId="119" fillId="0" borderId="18" xfId="494" applyNumberFormat="1" applyFont="1" applyBorder="1" applyAlignment="1">
      <alignment horizontal="left"/>
    </xf>
    <xf numFmtId="0" fontId="119" fillId="0" borderId="15" xfId="494" applyNumberFormat="1" applyFont="1" applyFill="1" applyBorder="1" applyAlignment="1">
      <alignment horizontal="left"/>
    </xf>
    <xf numFmtId="0" fontId="119" fillId="0" borderId="15" xfId="494" applyFont="1" applyFill="1" applyBorder="1" applyAlignment="1">
      <alignment horizontal="left"/>
    </xf>
    <xf numFmtId="0" fontId="119" fillId="0" borderId="0" xfId="494" applyFont="1" applyAlignment="1">
      <alignment horizontal="left"/>
    </xf>
    <xf numFmtId="0" fontId="119" fillId="22" borderId="18" xfId="494" applyFont="1" applyFill="1" applyBorder="1" applyAlignment="1">
      <alignment horizontal="left"/>
    </xf>
    <xf numFmtId="0" fontId="119" fillId="22" borderId="29" xfId="494" applyFont="1" applyFill="1" applyBorder="1" applyAlignment="1">
      <alignment horizontal="left"/>
    </xf>
    <xf numFmtId="0" fontId="120" fillId="28" borderId="0" xfId="494" applyFont="1" applyFill="1" applyAlignment="1">
      <alignment horizontal="left"/>
    </xf>
    <xf numFmtId="1" fontId="22" fillId="27" borderId="9" xfId="494" applyNumberFormat="1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49" fontId="9" fillId="0" borderId="9" xfId="0" applyNumberFormat="1" applyFont="1" applyFill="1" applyBorder="1" applyAlignment="1">
      <alignment vertical="center"/>
    </xf>
    <xf numFmtId="2" fontId="9" fillId="0" borderId="9" xfId="0" applyNumberFormat="1" applyFont="1" applyFill="1" applyBorder="1" applyAlignment="1">
      <alignment horizontal="center" vertical="center"/>
    </xf>
    <xf numFmtId="0" fontId="11" fillId="28" borderId="18" xfId="419" applyFont="1" applyFill="1" applyBorder="1" applyAlignment="1">
      <alignment vertical="center" wrapText="1"/>
    </xf>
    <xf numFmtId="0" fontId="9" fillId="0" borderId="9" xfId="0" applyFont="1" applyFill="1" applyBorder="1" applyAlignment="1">
      <alignment vertical="center"/>
    </xf>
    <xf numFmtId="49" fontId="9" fillId="0" borderId="9" xfId="413" applyNumberFormat="1" applyFont="1" applyFill="1" applyBorder="1" applyAlignment="1"/>
    <xf numFmtId="0" fontId="9" fillId="0" borderId="29" xfId="0" applyFont="1" applyFill="1" applyBorder="1" applyAlignment="1">
      <alignment vertical="center"/>
    </xf>
    <xf numFmtId="0" fontId="9" fillId="0" borderId="9" xfId="420" applyFont="1" applyFill="1" applyBorder="1" applyAlignment="1">
      <alignment vertical="center"/>
    </xf>
    <xf numFmtId="0" fontId="9" fillId="0" borderId="9" xfId="416" quotePrefix="1" applyNumberFormat="1" applyFont="1" applyFill="1" applyBorder="1" applyAlignment="1"/>
    <xf numFmtId="0" fontId="9" fillId="0" borderId="9" xfId="0" applyFont="1" applyFill="1" applyBorder="1" applyAlignment="1"/>
    <xf numFmtId="0" fontId="9" fillId="0" borderId="9" xfId="420" quotePrefix="1" applyFont="1" applyFill="1" applyBorder="1" applyAlignment="1">
      <alignment vertical="center"/>
    </xf>
    <xf numFmtId="49" fontId="9" fillId="0" borderId="9" xfId="0" applyNumberFormat="1" applyFont="1" applyFill="1" applyBorder="1" applyAlignment="1"/>
    <xf numFmtId="0" fontId="116" fillId="0" borderId="9" xfId="402" applyFont="1" applyFill="1" applyBorder="1" applyAlignment="1">
      <alignment vertical="center" wrapText="1"/>
    </xf>
    <xf numFmtId="0" fontId="9" fillId="0" borderId="9" xfId="0" quotePrefix="1" applyNumberFormat="1" applyFont="1" applyFill="1" applyBorder="1" applyAlignment="1"/>
    <xf numFmtId="0" fontId="117" fillId="0" borderId="9" xfId="0" applyFont="1" applyFill="1" applyBorder="1" applyAlignment="1">
      <alignment vertical="center"/>
    </xf>
    <xf numFmtId="0" fontId="116" fillId="0" borderId="9" xfId="402" applyFont="1" applyFill="1" applyBorder="1" applyAlignment="1">
      <alignment vertical="center"/>
    </xf>
    <xf numFmtId="0" fontId="118" fillId="0" borderId="29" xfId="416" quotePrefix="1" applyNumberFormat="1" applyFont="1" applyFill="1" applyBorder="1" applyAlignment="1"/>
    <xf numFmtId="0" fontId="9" fillId="0" borderId="29" xfId="416" quotePrefix="1" applyNumberFormat="1" applyFont="1" applyFill="1" applyBorder="1" applyAlignment="1"/>
    <xf numFmtId="0" fontId="124" fillId="32" borderId="9" xfId="416" quotePrefix="1" applyNumberFormat="1" applyFont="1" applyFill="1" applyBorder="1" applyAlignment="1"/>
    <xf numFmtId="0" fontId="118" fillId="0" borderId="9" xfId="416" quotePrefix="1" applyNumberFormat="1" applyFont="1" applyFill="1" applyBorder="1" applyAlignment="1"/>
    <xf numFmtId="0" fontId="124" fillId="0" borderId="9" xfId="416" quotePrefix="1" applyNumberFormat="1" applyFont="1" applyFill="1" applyBorder="1" applyAlignment="1"/>
    <xf numFmtId="0" fontId="118" fillId="0" borderId="18" xfId="416" quotePrefix="1" applyNumberFormat="1" applyFont="1" applyFill="1" applyBorder="1" applyAlignment="1"/>
    <xf numFmtId="0" fontId="124" fillId="0" borderId="18" xfId="416" quotePrefix="1" applyNumberFormat="1" applyFont="1" applyFill="1" applyBorder="1" applyAlignment="1"/>
    <xf numFmtId="0" fontId="9" fillId="0" borderId="18" xfId="416" quotePrefix="1" applyNumberFormat="1" applyFont="1" applyFill="1" applyBorder="1" applyAlignment="1"/>
    <xf numFmtId="0" fontId="118" fillId="0" borderId="9" xfId="414" quotePrefix="1" applyNumberFormat="1" applyFont="1" applyFill="1" applyBorder="1" applyAlignment="1"/>
    <xf numFmtId="0" fontId="124" fillId="0" borderId="9" xfId="414" quotePrefix="1" applyNumberFormat="1" applyFont="1" applyFill="1" applyBorder="1" applyAlignment="1"/>
    <xf numFmtId="0" fontId="9" fillId="0" borderId="9" xfId="414" quotePrefix="1" applyNumberFormat="1" applyFont="1" applyFill="1" applyBorder="1" applyAlignment="1"/>
    <xf numFmtId="49" fontId="9" fillId="0" borderId="29" xfId="398" applyNumberFormat="1" applyFont="1" applyFill="1" applyBorder="1" applyAlignment="1"/>
    <xf numFmtId="49" fontId="9" fillId="0" borderId="9" xfId="398" applyNumberFormat="1" applyFont="1" applyFill="1" applyBorder="1" applyAlignment="1"/>
    <xf numFmtId="49" fontId="118" fillId="0" borderId="9" xfId="398" applyNumberFormat="1" applyFont="1" applyFill="1" applyBorder="1" applyAlignment="1"/>
    <xf numFmtId="49" fontId="124" fillId="0" borderId="9" xfId="398" applyNumberFormat="1" applyFont="1" applyFill="1" applyBorder="1" applyAlignment="1"/>
    <xf numFmtId="49" fontId="9" fillId="0" borderId="32" xfId="398" applyNumberFormat="1" applyFont="1" applyFill="1" applyBorder="1" applyAlignment="1"/>
    <xf numFmtId="0" fontId="9" fillId="0" borderId="9" xfId="389" applyFont="1" applyBorder="1" applyAlignment="1">
      <alignment vertical="center"/>
    </xf>
    <xf numFmtId="0" fontId="9" fillId="0" borderId="29" xfId="389" applyFont="1" applyBorder="1" applyAlignment="1">
      <alignment vertical="center"/>
    </xf>
    <xf numFmtId="0" fontId="9" fillId="0" borderId="9" xfId="415" quotePrefix="1" applyNumberFormat="1" applyFont="1" applyBorder="1" applyAlignment="1"/>
    <xf numFmtId="49" fontId="9" fillId="0" borderId="27" xfId="389" applyNumberFormat="1" applyFont="1" applyFill="1" applyBorder="1" applyAlignment="1">
      <alignment vertical="center"/>
    </xf>
    <xf numFmtId="49" fontId="9" fillId="0" borderId="24" xfId="389" applyNumberFormat="1" applyFont="1" applyFill="1" applyBorder="1" applyAlignment="1">
      <alignment vertical="center"/>
    </xf>
    <xf numFmtId="49" fontId="9" fillId="0" borderId="9" xfId="398" applyNumberFormat="1" applyFont="1" applyFill="1" applyBorder="1" applyAlignment="1">
      <alignment vertical="center"/>
    </xf>
    <xf numFmtId="0" fontId="1" fillId="0" borderId="9" xfId="0" applyFont="1" applyFill="1" applyBorder="1" applyAlignment="1"/>
    <xf numFmtId="0" fontId="116" fillId="0" borderId="9" xfId="402" quotePrefix="1" applyNumberFormat="1" applyFont="1" applyFill="1" applyBorder="1" applyAlignment="1">
      <alignment horizontal="center" vertical="center" wrapText="1"/>
    </xf>
    <xf numFmtId="0" fontId="9" fillId="0" borderId="9" xfId="0" quotePrefix="1" applyFont="1" applyFill="1" applyBorder="1" applyAlignment="1">
      <alignment horizontal="center"/>
    </xf>
    <xf numFmtId="0" fontId="9" fillId="0" borderId="9" xfId="0" quotePrefix="1" applyNumberFormat="1" applyFont="1" applyFill="1" applyBorder="1" applyAlignment="1">
      <alignment horizontal="center"/>
    </xf>
    <xf numFmtId="0" fontId="23" fillId="0" borderId="29" xfId="494" applyFont="1" applyBorder="1" applyAlignment="1">
      <alignment horizontal="left"/>
    </xf>
    <xf numFmtId="0" fontId="123" fillId="0" borderId="0" xfId="0" applyFont="1" applyAlignment="1">
      <alignment horizontal="center" vertical="center"/>
    </xf>
    <xf numFmtId="0" fontId="123" fillId="0" borderId="0" xfId="0" applyFont="1"/>
    <xf numFmtId="0" fontId="0" fillId="0" borderId="0" xfId="0" applyAlignment="1">
      <alignment horizontal="center" vertical="center"/>
    </xf>
    <xf numFmtId="1" fontId="121" fillId="27" borderId="9" xfId="494" applyNumberFormat="1" applyFont="1" applyFill="1" applyBorder="1" applyAlignment="1">
      <alignment horizontal="center"/>
    </xf>
    <xf numFmtId="0" fontId="121" fillId="27" borderId="9" xfId="494" applyFont="1" applyFill="1" applyBorder="1" applyAlignment="1">
      <alignment horizontal="center"/>
    </xf>
    <xf numFmtId="0" fontId="121" fillId="27" borderId="0" xfId="494" applyFont="1" applyFill="1" applyBorder="1" applyAlignment="1">
      <alignment horizontal="center"/>
    </xf>
    <xf numFmtId="0" fontId="21" fillId="0" borderId="0" xfId="494" applyFont="1" applyAlignment="1">
      <alignment horizontal="left"/>
    </xf>
    <xf numFmtId="1" fontId="21" fillId="0" borderId="15" xfId="494" applyNumberFormat="1" applyFont="1" applyBorder="1" applyAlignment="1">
      <alignment horizontal="left"/>
    </xf>
    <xf numFmtId="0" fontId="21" fillId="0" borderId="15" xfId="494" applyFont="1" applyBorder="1" applyAlignment="1">
      <alignment horizontal="left"/>
    </xf>
    <xf numFmtId="0" fontId="21" fillId="0" borderId="0" xfId="494" applyFont="1" applyBorder="1" applyAlignment="1">
      <alignment horizontal="left"/>
    </xf>
    <xf numFmtId="0" fontId="121" fillId="28" borderId="0" xfId="494" applyFont="1" applyFill="1" applyAlignment="1">
      <alignment horizontal="left"/>
    </xf>
    <xf numFmtId="0" fontId="21" fillId="0" borderId="0" xfId="0" applyFont="1"/>
    <xf numFmtId="1" fontId="21" fillId="0" borderId="15" xfId="494" applyNumberFormat="1" applyFont="1" applyFill="1" applyBorder="1" applyAlignment="1">
      <alignment horizontal="left"/>
    </xf>
    <xf numFmtId="0" fontId="21" fillId="0" borderId="15" xfId="494" quotePrefix="1" applyFont="1" applyBorder="1" applyAlignment="1">
      <alignment horizontal="left"/>
    </xf>
    <xf numFmtId="0" fontId="21" fillId="0" borderId="23" xfId="494" applyFont="1" applyBorder="1" applyAlignment="1">
      <alignment horizontal="left"/>
    </xf>
    <xf numFmtId="1" fontId="21" fillId="0" borderId="0" xfId="494" applyNumberFormat="1" applyFont="1" applyBorder="1" applyAlignment="1">
      <alignment horizontal="left"/>
    </xf>
    <xf numFmtId="0" fontId="21" fillId="0" borderId="0" xfId="494" quotePrefix="1" applyFont="1" applyAlignment="1">
      <alignment horizontal="left"/>
    </xf>
    <xf numFmtId="0" fontId="114" fillId="0" borderId="24" xfId="0" applyFont="1" applyFill="1" applyBorder="1" applyAlignment="1">
      <alignment horizontal="center" vertical="center"/>
    </xf>
    <xf numFmtId="0" fontId="114" fillId="0" borderId="25" xfId="0" applyFont="1" applyFill="1" applyBorder="1" applyAlignment="1">
      <alignment horizontal="center" vertical="center"/>
    </xf>
    <xf numFmtId="1" fontId="23" fillId="0" borderId="9" xfId="494" applyNumberFormat="1" applyFont="1" applyBorder="1" applyAlignment="1">
      <alignment horizontal="center" vertical="center"/>
    </xf>
  </cellXfs>
  <cellStyles count="520">
    <cellStyle name="%" xfId="1"/>
    <cellStyle name="??" xfId="2"/>
    <cellStyle name="?? [0.00]_laroux" xfId="3"/>
    <cellStyle name="???? [0.00]_laroux" xfId="4"/>
    <cellStyle name="????_laroux" xfId="5"/>
    <cellStyle name="??_16210-67030??" xfId="6"/>
    <cellStyle name="?W準_Sheet1_1" xfId="7"/>
    <cellStyle name="_as400 11.4" xfId="8"/>
    <cellStyle name="’Ê‰Ý [0.00]_TMCA Spreadsheet(body)" xfId="9"/>
    <cellStyle name="’Ê‰Ý_TMCA Spreadsheet(body)" xfId="10"/>
    <cellStyle name="•\????nCp[“N" xfId="11"/>
    <cellStyle name="•W€_?i??•\ 40F‘??_V©E”?‘?”?•\ (2)" xfId="12"/>
    <cellStyle name="•W_AG LEADTIME SURVY" xfId="13"/>
    <cellStyle name="æØè [0.00]_PERSONAL" xfId="14"/>
    <cellStyle name="æØè_PERSONAL" xfId="15"/>
    <cellStyle name="ÊÝ [0.00]_laroux" xfId="16"/>
    <cellStyle name="ÊÝ_laroux" xfId="17"/>
    <cellStyle name="nCp[“N" xfId="18"/>
    <cellStyle name="W_16210-67030" xfId="19"/>
    <cellStyle name="20% - Accent1 2" xfId="20"/>
    <cellStyle name="20% - Accent1 3" xfId="21"/>
    <cellStyle name="20% - Accent1 4" xfId="22"/>
    <cellStyle name="20% - Accent1 5" xfId="23"/>
    <cellStyle name="20% - Accent1 6" xfId="24"/>
    <cellStyle name="20% - Accent1 7" xfId="25"/>
    <cellStyle name="20% - Accent1 8" xfId="26"/>
    <cellStyle name="20% - Accent1 9" xfId="27"/>
    <cellStyle name="20% - Accent2 2" xfId="28"/>
    <cellStyle name="20% - Accent2 3" xfId="29"/>
    <cellStyle name="20% - Accent2 4" xfId="30"/>
    <cellStyle name="20% - Accent2 5" xfId="31"/>
    <cellStyle name="20% - Accent2 6" xfId="32"/>
    <cellStyle name="20% - Accent2 7" xfId="33"/>
    <cellStyle name="20% - Accent2 8" xfId="34"/>
    <cellStyle name="20% - Accent2 9" xfId="35"/>
    <cellStyle name="20% - Accent3 2" xfId="36"/>
    <cellStyle name="20% - Accent3 3" xfId="37"/>
    <cellStyle name="20% - Accent3 4" xfId="38"/>
    <cellStyle name="20% - Accent3 5" xfId="39"/>
    <cellStyle name="20% - Accent3 6" xfId="40"/>
    <cellStyle name="20% - Accent3 7" xfId="41"/>
    <cellStyle name="20% - Accent3 8" xfId="42"/>
    <cellStyle name="20% - Accent3 9" xfId="43"/>
    <cellStyle name="20% - Accent4 2" xfId="44"/>
    <cellStyle name="20% - Accent4 3" xfId="45"/>
    <cellStyle name="20% - Accent4 4" xfId="46"/>
    <cellStyle name="20% - Accent4 5" xfId="47"/>
    <cellStyle name="20% - Accent4 6" xfId="48"/>
    <cellStyle name="20% - Accent4 7" xfId="49"/>
    <cellStyle name="20% - Accent4 8" xfId="50"/>
    <cellStyle name="20% - Accent4 9" xfId="51"/>
    <cellStyle name="20% - Accent5 2" xfId="52"/>
    <cellStyle name="20% - Accent5 3" xfId="53"/>
    <cellStyle name="20% - Accent5 4" xfId="54"/>
    <cellStyle name="20% - Accent5 5" xfId="55"/>
    <cellStyle name="20% - Accent5 6" xfId="56"/>
    <cellStyle name="20% - Accent5 7" xfId="57"/>
    <cellStyle name="20% - Accent5 8" xfId="58"/>
    <cellStyle name="20% - Accent5 9" xfId="59"/>
    <cellStyle name="20% - Accent6 2" xfId="60"/>
    <cellStyle name="20% - Accent6 3" xfId="61"/>
    <cellStyle name="20% - Accent6 4" xfId="62"/>
    <cellStyle name="20% - Accent6 5" xfId="63"/>
    <cellStyle name="20% - Accent6 6" xfId="64"/>
    <cellStyle name="20% - Accent6 7" xfId="65"/>
    <cellStyle name="20% - Accent6 8" xfId="66"/>
    <cellStyle name="20% - Accent6 9" xfId="67"/>
    <cellStyle name="20% - アクセント 1" xfId="68"/>
    <cellStyle name="20% - アクセント 2" xfId="69"/>
    <cellStyle name="20% - アクセント 3" xfId="70"/>
    <cellStyle name="20% - アクセント 4" xfId="71"/>
    <cellStyle name="20% - アクセント 5" xfId="72"/>
    <cellStyle name="20% - アクセント 6" xfId="73"/>
    <cellStyle name="40% - Accent1 2" xfId="74"/>
    <cellStyle name="40% - Accent1 3" xfId="75"/>
    <cellStyle name="40% - Accent1 4" xfId="76"/>
    <cellStyle name="40% - Accent1 5" xfId="77"/>
    <cellStyle name="40% - Accent1 6" xfId="78"/>
    <cellStyle name="40% - Accent1 7" xfId="79"/>
    <cellStyle name="40% - Accent1 8" xfId="80"/>
    <cellStyle name="40% - Accent1 9" xfId="81"/>
    <cellStyle name="40% - Accent2 2" xfId="82"/>
    <cellStyle name="40% - Accent2 3" xfId="83"/>
    <cellStyle name="40% - Accent2 4" xfId="84"/>
    <cellStyle name="40% - Accent2 5" xfId="85"/>
    <cellStyle name="40% - Accent2 6" xfId="86"/>
    <cellStyle name="40% - Accent2 7" xfId="87"/>
    <cellStyle name="40% - Accent2 8" xfId="88"/>
    <cellStyle name="40% - Accent2 9" xfId="89"/>
    <cellStyle name="40% - Accent3 2" xfId="90"/>
    <cellStyle name="40% - Accent3 3" xfId="91"/>
    <cellStyle name="40% - Accent3 4" xfId="92"/>
    <cellStyle name="40% - Accent3 5" xfId="93"/>
    <cellStyle name="40% - Accent3 6" xfId="94"/>
    <cellStyle name="40% - Accent3 7" xfId="95"/>
    <cellStyle name="40% - Accent3 8" xfId="96"/>
    <cellStyle name="40% - Accent3 9" xfId="97"/>
    <cellStyle name="40% - Accent4 2" xfId="98"/>
    <cellStyle name="40% - Accent4 3" xfId="99"/>
    <cellStyle name="40% - Accent4 4" xfId="100"/>
    <cellStyle name="40% - Accent4 5" xfId="101"/>
    <cellStyle name="40% - Accent4 6" xfId="102"/>
    <cellStyle name="40% - Accent4 7" xfId="103"/>
    <cellStyle name="40% - Accent4 8" xfId="104"/>
    <cellStyle name="40% - Accent4 9" xfId="105"/>
    <cellStyle name="40% - Accent5 2" xfId="106"/>
    <cellStyle name="40% - Accent5 3" xfId="107"/>
    <cellStyle name="40% - Accent5 4" xfId="108"/>
    <cellStyle name="40% - Accent5 5" xfId="109"/>
    <cellStyle name="40% - Accent5 6" xfId="110"/>
    <cellStyle name="40% - Accent5 7" xfId="111"/>
    <cellStyle name="40% - Accent5 8" xfId="112"/>
    <cellStyle name="40% - Accent5 9" xfId="113"/>
    <cellStyle name="40% - Accent6 2" xfId="114"/>
    <cellStyle name="40% - Accent6 3" xfId="115"/>
    <cellStyle name="40% - Accent6 4" xfId="116"/>
    <cellStyle name="40% - Accent6 5" xfId="117"/>
    <cellStyle name="40% - Accent6 6" xfId="118"/>
    <cellStyle name="40% - Accent6 7" xfId="119"/>
    <cellStyle name="40% - Accent6 8" xfId="120"/>
    <cellStyle name="40% - Accent6 9" xfId="121"/>
    <cellStyle name="40% - アクセント 1" xfId="122"/>
    <cellStyle name="40% - アクセント 2" xfId="123"/>
    <cellStyle name="40% - アクセント 3" xfId="124"/>
    <cellStyle name="40% - アクセント 4" xfId="125"/>
    <cellStyle name="40% - アクセント 5" xfId="126"/>
    <cellStyle name="40% - アクセント 6" xfId="127"/>
    <cellStyle name="60% - Accent1 2" xfId="128"/>
    <cellStyle name="60% - Accent1 3" xfId="129"/>
    <cellStyle name="60% - Accent1 4" xfId="130"/>
    <cellStyle name="60% - Accent1 5" xfId="131"/>
    <cellStyle name="60% - Accent1 6" xfId="132"/>
    <cellStyle name="60% - Accent1 7" xfId="133"/>
    <cellStyle name="60% - Accent1 8" xfId="134"/>
    <cellStyle name="60% - Accent1 9" xfId="135"/>
    <cellStyle name="60% - Accent2 2" xfId="136"/>
    <cellStyle name="60% - Accent2 3" xfId="137"/>
    <cellStyle name="60% - Accent2 4" xfId="138"/>
    <cellStyle name="60% - Accent2 5" xfId="139"/>
    <cellStyle name="60% - Accent2 6" xfId="140"/>
    <cellStyle name="60% - Accent2 7" xfId="141"/>
    <cellStyle name="60% - Accent2 8" xfId="142"/>
    <cellStyle name="60% - Accent2 9" xfId="143"/>
    <cellStyle name="60% - Accent3 2" xfId="144"/>
    <cellStyle name="60% - Accent3 3" xfId="145"/>
    <cellStyle name="60% - Accent3 4" xfId="146"/>
    <cellStyle name="60% - Accent3 5" xfId="147"/>
    <cellStyle name="60% - Accent3 6" xfId="148"/>
    <cellStyle name="60% - Accent3 7" xfId="149"/>
    <cellStyle name="60% - Accent3 8" xfId="150"/>
    <cellStyle name="60% - Accent3 9" xfId="151"/>
    <cellStyle name="60% - Accent4 2" xfId="152"/>
    <cellStyle name="60% - Accent4 3" xfId="153"/>
    <cellStyle name="60% - Accent4 4" xfId="154"/>
    <cellStyle name="60% - Accent4 5" xfId="155"/>
    <cellStyle name="60% - Accent4 6" xfId="156"/>
    <cellStyle name="60% - Accent4 7" xfId="157"/>
    <cellStyle name="60% - Accent4 8" xfId="158"/>
    <cellStyle name="60% - Accent4 9" xfId="159"/>
    <cellStyle name="60% - Accent5 2" xfId="160"/>
    <cellStyle name="60% - Accent5 3" xfId="161"/>
    <cellStyle name="60% - Accent5 4" xfId="162"/>
    <cellStyle name="60% - Accent5 5" xfId="163"/>
    <cellStyle name="60% - Accent5 6" xfId="164"/>
    <cellStyle name="60% - Accent5 7" xfId="165"/>
    <cellStyle name="60% - Accent5 8" xfId="166"/>
    <cellStyle name="60% - Accent5 9" xfId="167"/>
    <cellStyle name="60% - Accent6 2" xfId="168"/>
    <cellStyle name="60% - Accent6 3" xfId="169"/>
    <cellStyle name="60% - Accent6 4" xfId="170"/>
    <cellStyle name="60% - Accent6 5" xfId="171"/>
    <cellStyle name="60% - Accent6 6" xfId="172"/>
    <cellStyle name="60% - Accent6 7" xfId="173"/>
    <cellStyle name="60% - Accent6 8" xfId="174"/>
    <cellStyle name="60% - Accent6 9" xfId="175"/>
    <cellStyle name="60% - アクセント 1" xfId="176"/>
    <cellStyle name="60% - アクセント 2" xfId="177"/>
    <cellStyle name="60% - アクセント 3" xfId="178"/>
    <cellStyle name="60% - アクセント 4" xfId="179"/>
    <cellStyle name="60% - アクセント 5" xfId="180"/>
    <cellStyle name="60% - アクセント 6" xfId="181"/>
    <cellStyle name="Accent1 2" xfId="182"/>
    <cellStyle name="Accent1 3" xfId="183"/>
    <cellStyle name="Accent1 4" xfId="184"/>
    <cellStyle name="Accent1 5" xfId="185"/>
    <cellStyle name="Accent1 6" xfId="186"/>
    <cellStyle name="Accent1 7" xfId="187"/>
    <cellStyle name="Accent1 8" xfId="188"/>
    <cellStyle name="Accent1 9" xfId="189"/>
    <cellStyle name="Accent2 2" xfId="190"/>
    <cellStyle name="Accent2 3" xfId="191"/>
    <cellStyle name="Accent2 4" xfId="192"/>
    <cellStyle name="Accent2 5" xfId="193"/>
    <cellStyle name="Accent2 6" xfId="194"/>
    <cellStyle name="Accent2 7" xfId="195"/>
    <cellStyle name="Accent2 8" xfId="196"/>
    <cellStyle name="Accent2 9" xfId="197"/>
    <cellStyle name="Accent3 2" xfId="198"/>
    <cellStyle name="Accent3 3" xfId="199"/>
    <cellStyle name="Accent3 4" xfId="200"/>
    <cellStyle name="Accent3 5" xfId="201"/>
    <cellStyle name="Accent3 6" xfId="202"/>
    <cellStyle name="Accent3 7" xfId="203"/>
    <cellStyle name="Accent3 8" xfId="204"/>
    <cellStyle name="Accent3 9" xfId="205"/>
    <cellStyle name="Accent4 2" xfId="206"/>
    <cellStyle name="Accent4 3" xfId="207"/>
    <cellStyle name="Accent4 4" xfId="208"/>
    <cellStyle name="Accent4 5" xfId="209"/>
    <cellStyle name="Accent4 6" xfId="210"/>
    <cellStyle name="Accent4 7" xfId="211"/>
    <cellStyle name="Accent4 8" xfId="212"/>
    <cellStyle name="Accent4 9" xfId="213"/>
    <cellStyle name="Accent5 2" xfId="214"/>
    <cellStyle name="Accent5 3" xfId="215"/>
    <cellStyle name="Accent5 4" xfId="216"/>
    <cellStyle name="Accent5 5" xfId="217"/>
    <cellStyle name="Accent5 6" xfId="218"/>
    <cellStyle name="Accent5 7" xfId="219"/>
    <cellStyle name="Accent5 8" xfId="220"/>
    <cellStyle name="Accent5 9" xfId="221"/>
    <cellStyle name="Accent6 2" xfId="222"/>
    <cellStyle name="Accent6 3" xfId="223"/>
    <cellStyle name="Accent6 4" xfId="224"/>
    <cellStyle name="Accent6 5" xfId="225"/>
    <cellStyle name="Accent6 6" xfId="226"/>
    <cellStyle name="Accent6 7" xfId="227"/>
    <cellStyle name="Accent6 8" xfId="228"/>
    <cellStyle name="Accent6 9" xfId="229"/>
    <cellStyle name="Bad 2" xfId="230"/>
    <cellStyle name="Bad 3" xfId="231"/>
    <cellStyle name="Bad 4" xfId="232"/>
    <cellStyle name="Bad 5" xfId="233"/>
    <cellStyle name="Bad 6" xfId="234"/>
    <cellStyle name="Bad 7" xfId="235"/>
    <cellStyle name="Bad 8" xfId="236"/>
    <cellStyle name="Bad 9" xfId="237"/>
    <cellStyle name="Calc Currency (0)" xfId="238"/>
    <cellStyle name="Calculation 2" xfId="239"/>
    <cellStyle name="Calculation 3" xfId="240"/>
    <cellStyle name="Calculation 4" xfId="241"/>
    <cellStyle name="Calculation 5" xfId="242"/>
    <cellStyle name="Calculation 6" xfId="243"/>
    <cellStyle name="Calculation 7" xfId="244"/>
    <cellStyle name="Calculation 8" xfId="245"/>
    <cellStyle name="Calculation 9" xfId="246"/>
    <cellStyle name="Check Cell 2" xfId="247"/>
    <cellStyle name="Check Cell 3" xfId="248"/>
    <cellStyle name="Check Cell 4" xfId="249"/>
    <cellStyle name="Check Cell 5" xfId="250"/>
    <cellStyle name="Check Cell 6" xfId="251"/>
    <cellStyle name="Check Cell 7" xfId="252"/>
    <cellStyle name="Check Cell 8" xfId="253"/>
    <cellStyle name="Check Cell 9" xfId="254"/>
    <cellStyle name="Comma  - Style1" xfId="255"/>
    <cellStyle name="Comma [0] 2" xfId="256"/>
    <cellStyle name="Comma 10" xfId="257"/>
    <cellStyle name="Comma 11" xfId="258"/>
    <cellStyle name="Comma 12" xfId="259"/>
    <cellStyle name="Comma 13" xfId="260"/>
    <cellStyle name="Comma 14" xfId="261"/>
    <cellStyle name="Comma 15" xfId="262"/>
    <cellStyle name="Comma 16" xfId="263"/>
    <cellStyle name="Comma 17" xfId="264"/>
    <cellStyle name="Comma 18" xfId="265"/>
    <cellStyle name="Comma 19" xfId="266"/>
    <cellStyle name="Comma 2" xfId="267"/>
    <cellStyle name="Comma 2 2" xfId="268"/>
    <cellStyle name="Comma 2 3" xfId="269"/>
    <cellStyle name="Comma 2 4" xfId="270"/>
    <cellStyle name="Comma 2 5" xfId="271"/>
    <cellStyle name="Comma 2 6" xfId="272"/>
    <cellStyle name="Comma 2 7" xfId="273"/>
    <cellStyle name="Comma 2 8" xfId="274"/>
    <cellStyle name="Comma 2 9" xfId="275"/>
    <cellStyle name="Comma 2_03 DAILY FINISH GOOD STOCK MARCH  2009" xfId="276"/>
    <cellStyle name="Comma 20" xfId="277"/>
    <cellStyle name="Comma 3" xfId="278"/>
    <cellStyle name="Comma 4" xfId="279"/>
    <cellStyle name="Comma 4 2" xfId="280"/>
    <cellStyle name="Comma 4_Finishgoods  inventory 2009" xfId="281"/>
    <cellStyle name="Comma 5" xfId="282"/>
    <cellStyle name="Comma 6" xfId="283"/>
    <cellStyle name="Comma 7" xfId="284"/>
    <cellStyle name="Comma 8" xfId="285"/>
    <cellStyle name="Comma 9" xfId="286"/>
    <cellStyle name="comma zerodec" xfId="287"/>
    <cellStyle name="Curren - Style3" xfId="288"/>
    <cellStyle name="Curren - Style4" xfId="289"/>
    <cellStyle name="Currency1" xfId="290"/>
    <cellStyle name="Dollar (zero dec)" xfId="291"/>
    <cellStyle name="Explanatory Text 2" xfId="292"/>
    <cellStyle name="Explanatory Text 3" xfId="293"/>
    <cellStyle name="Explanatory Text 4" xfId="294"/>
    <cellStyle name="Explanatory Text 5" xfId="295"/>
    <cellStyle name="Explanatory Text 6" xfId="296"/>
    <cellStyle name="Explanatory Text 7" xfId="297"/>
    <cellStyle name="Explanatory Text 8" xfId="298"/>
    <cellStyle name="Explanatory Text 9" xfId="299"/>
    <cellStyle name="Good 2" xfId="300"/>
    <cellStyle name="Good 3" xfId="301"/>
    <cellStyle name="Good 4" xfId="302"/>
    <cellStyle name="Good 5" xfId="303"/>
    <cellStyle name="Good 6" xfId="304"/>
    <cellStyle name="Good 7" xfId="305"/>
    <cellStyle name="Good 8" xfId="306"/>
    <cellStyle name="Good 9" xfId="307"/>
    <cellStyle name="Grey" xfId="308"/>
    <cellStyle name="Header1" xfId="309"/>
    <cellStyle name="Header2" xfId="310"/>
    <cellStyle name="Heading" xfId="311"/>
    <cellStyle name="Heading 1 2" xfId="312"/>
    <cellStyle name="Heading 1 3" xfId="313"/>
    <cellStyle name="Heading 1 4" xfId="314"/>
    <cellStyle name="Heading 1 5" xfId="315"/>
    <cellStyle name="Heading 1 6" xfId="316"/>
    <cellStyle name="Heading 1 7" xfId="317"/>
    <cellStyle name="Heading 1 8" xfId="318"/>
    <cellStyle name="Heading 1 9" xfId="319"/>
    <cellStyle name="Heading 2 2" xfId="320"/>
    <cellStyle name="Heading 2 3" xfId="321"/>
    <cellStyle name="Heading 2 4" xfId="322"/>
    <cellStyle name="Heading 2 5" xfId="323"/>
    <cellStyle name="Heading 2 6" xfId="324"/>
    <cellStyle name="Heading 2 7" xfId="325"/>
    <cellStyle name="Heading 2 8" xfId="326"/>
    <cellStyle name="Heading 2 9" xfId="327"/>
    <cellStyle name="Heading 3 2" xfId="328"/>
    <cellStyle name="Heading 3 3" xfId="329"/>
    <cellStyle name="Heading 3 4" xfId="330"/>
    <cellStyle name="Heading 3 5" xfId="331"/>
    <cellStyle name="Heading 3 6" xfId="332"/>
    <cellStyle name="Heading 3 7" xfId="333"/>
    <cellStyle name="Heading 3 8" xfId="334"/>
    <cellStyle name="Heading 3 9" xfId="335"/>
    <cellStyle name="Heading 4 2" xfId="336"/>
    <cellStyle name="Heading 4 3" xfId="337"/>
    <cellStyle name="Heading 4 4" xfId="338"/>
    <cellStyle name="Heading 4 5" xfId="339"/>
    <cellStyle name="Heading 4 6" xfId="340"/>
    <cellStyle name="Heading 4 7" xfId="341"/>
    <cellStyle name="Heading 4 8" xfId="342"/>
    <cellStyle name="Heading 4 9" xfId="343"/>
    <cellStyle name="Hyperlink 2" xfId="344"/>
    <cellStyle name="Input [yellow]" xfId="345"/>
    <cellStyle name="Input 10" xfId="346"/>
    <cellStyle name="Input 2" xfId="347"/>
    <cellStyle name="Input 3" xfId="348"/>
    <cellStyle name="Input 4" xfId="349"/>
    <cellStyle name="Input 5" xfId="350"/>
    <cellStyle name="Input 6" xfId="351"/>
    <cellStyle name="Input 7" xfId="352"/>
    <cellStyle name="Input 8" xfId="353"/>
    <cellStyle name="Input 9" xfId="354"/>
    <cellStyle name="KWE標準" xfId="355"/>
    <cellStyle name="Linked Cell 2" xfId="356"/>
    <cellStyle name="Linked Cell 3" xfId="357"/>
    <cellStyle name="Linked Cell 4" xfId="358"/>
    <cellStyle name="Linked Cell 5" xfId="359"/>
    <cellStyle name="Linked Cell 6" xfId="360"/>
    <cellStyle name="Linked Cell 7" xfId="361"/>
    <cellStyle name="Linked Cell 8" xfId="362"/>
    <cellStyle name="Linked Cell 9" xfId="363"/>
    <cellStyle name="Milliers [0]_AR1194" xfId="364"/>
    <cellStyle name="Milliers_AR1194" xfId="365"/>
    <cellStyle name="Mon?aire [0]_AR1194" xfId="366"/>
    <cellStyle name="Mon?aire_AR1194" xfId="367"/>
    <cellStyle name="Mon?taire [0]_AR1194" xfId="368"/>
    <cellStyle name="Mon?taire_AR1194" xfId="369"/>
    <cellStyle name="Monétaire [0]_AR1194" xfId="370"/>
    <cellStyle name="Monétaire_AR1194" xfId="371"/>
    <cellStyle name="Mon้taire [0]_AR1194" xfId="372"/>
    <cellStyle name="Mon้taire_AR1194" xfId="373"/>
    <cellStyle name="Mon騁aire [0]_AR1194" xfId="374"/>
    <cellStyle name="Mon騁aire_AR1194" xfId="375"/>
    <cellStyle name="Neutral 2" xfId="376"/>
    <cellStyle name="Neutral 3" xfId="377"/>
    <cellStyle name="Neutral 4" xfId="378"/>
    <cellStyle name="Neutral 5" xfId="379"/>
    <cellStyle name="Neutral 6" xfId="380"/>
    <cellStyle name="Neutral 7" xfId="381"/>
    <cellStyle name="Neutral 8" xfId="382"/>
    <cellStyle name="Neutral 9" xfId="383"/>
    <cellStyle name="no dec" xfId="384"/>
    <cellStyle name="norm" xfId="385"/>
    <cellStyle name="Normal" xfId="0" builtinId="0"/>
    <cellStyle name="Normal - Style1" xfId="386"/>
    <cellStyle name="Normal - Style5" xfId="387"/>
    <cellStyle name="Normal 2" xfId="388"/>
    <cellStyle name="Normal 2 2" xfId="389"/>
    <cellStyle name="Normal 2 3" xfId="390"/>
    <cellStyle name="Normal 2 4" xfId="391"/>
    <cellStyle name="Normal 2 5" xfId="392"/>
    <cellStyle name="Normal 2 6" xfId="393"/>
    <cellStyle name="Normal 2 7" xfId="394"/>
    <cellStyle name="Normal 2 8" xfId="395"/>
    <cellStyle name="Normal 2 9" xfId="396"/>
    <cellStyle name="Normal 2_03 DAILY FINISH GOOD STOCK MARCH  2009" xfId="397"/>
    <cellStyle name="Normal 25" xfId="398"/>
    <cellStyle name="Normal 25 10" xfId="399"/>
    <cellStyle name="Normal 25 2 2 2 2 2 18" xfId="400"/>
    <cellStyle name="Normal 25 7" xfId="401"/>
    <cellStyle name="Normal 3" xfId="402"/>
    <cellStyle name="Normal 3 2" xfId="403"/>
    <cellStyle name="Normal 3_08'05 MRP Plant A Brake 2" xfId="404"/>
    <cellStyle name="Normal 4" xfId="405"/>
    <cellStyle name="Normal 4 2" xfId="406"/>
    <cellStyle name="Normal 4_0901-CPF Report of Jan'09(Revise1)" xfId="407"/>
    <cellStyle name="Normal 5" xfId="408"/>
    <cellStyle name="Normal 6" xfId="409"/>
    <cellStyle name="Normal 7" xfId="410"/>
    <cellStyle name="Normal 8" xfId="411"/>
    <cellStyle name="Normal 9" xfId="412"/>
    <cellStyle name="Normal_578W_RRAxle Making New SMS_CrossTab" xfId="413"/>
    <cellStyle name="Normal_669L All Group Part list (10-Dec-07)_195A All Group Part list (Mar-10)" xfId="414"/>
    <cellStyle name="Normal_669L All Group Part list (10-Dec-07)_669L RR Axle part list (7-Jan-08) finish" xfId="415"/>
    <cellStyle name="Normal_669L All Group Part list (10-Dec-07)_Part list Diff All  (update)" xfId="416"/>
    <cellStyle name="Normal_669L FR Axle Part List (24-Sep-07)" xfId="417"/>
    <cellStyle name="Normal_669L FR Axle Part List (24-Sep-07)_669L All Group Part list (16-Feb-10)" xfId="418"/>
    <cellStyle name="Normal_format SPN" xfId="419"/>
    <cellStyle name="Normal_IMV New Part for issue SPN" xfId="420"/>
    <cellStyle name="Normal_IMV New Part for issue SPN_692N Service Part List Rev.49(model I-IV) summary" xfId="421"/>
    <cellStyle name="Normal_Sheet3" xfId="422"/>
    <cellStyle name="Note 2" xfId="423"/>
    <cellStyle name="Note 3" xfId="424"/>
    <cellStyle name="Note 4" xfId="425"/>
    <cellStyle name="Note 5" xfId="426"/>
    <cellStyle name="Note 6" xfId="427"/>
    <cellStyle name="Note 7" xfId="428"/>
    <cellStyle name="Note 8" xfId="429"/>
    <cellStyle name="Note 9" xfId="430"/>
    <cellStyle name="Output 2" xfId="431"/>
    <cellStyle name="Output 3" xfId="432"/>
    <cellStyle name="Output 4" xfId="433"/>
    <cellStyle name="Output 5" xfId="434"/>
    <cellStyle name="Output 6" xfId="435"/>
    <cellStyle name="Output 7" xfId="436"/>
    <cellStyle name="Output 8" xfId="437"/>
    <cellStyle name="Output 9" xfId="438"/>
    <cellStyle name="Percent (0)" xfId="439"/>
    <cellStyle name="Percent [2]" xfId="440"/>
    <cellStyle name="Percent 2" xfId="441"/>
    <cellStyle name="Percent 3" xfId="442"/>
    <cellStyle name="Percent 4" xfId="443"/>
    <cellStyle name="PERCENTAGE" xfId="444"/>
    <cellStyle name="Quantity" xfId="445"/>
    <cellStyle name="revisi" xfId="446"/>
    <cellStyle name="Shade" xfId="447"/>
    <cellStyle name="Style 1" xfId="448"/>
    <cellStyle name="Tickmark" xfId="449"/>
    <cellStyle name="Title 2" xfId="450"/>
    <cellStyle name="Title 3" xfId="451"/>
    <cellStyle name="Title 4" xfId="452"/>
    <cellStyle name="Title 5" xfId="453"/>
    <cellStyle name="Title 6" xfId="454"/>
    <cellStyle name="Title 7" xfId="455"/>
    <cellStyle name="Title 8" xfId="456"/>
    <cellStyle name="Title 9" xfId="457"/>
    <cellStyle name="Total 2" xfId="458"/>
    <cellStyle name="Total 3" xfId="459"/>
    <cellStyle name="Total 4" xfId="460"/>
    <cellStyle name="Total 5" xfId="461"/>
    <cellStyle name="Total 6" xfId="462"/>
    <cellStyle name="Total 7" xfId="463"/>
    <cellStyle name="Total 8" xfId="464"/>
    <cellStyle name="Total 9" xfId="465"/>
    <cellStyle name="Warning Text 2" xfId="466"/>
    <cellStyle name="Warning Text 3" xfId="467"/>
    <cellStyle name="Warning Text 4" xfId="468"/>
    <cellStyle name="Warning Text 5" xfId="469"/>
    <cellStyle name="Warning Text 6" xfId="470"/>
    <cellStyle name="Warning Text 7" xfId="471"/>
    <cellStyle name="Warning Text 8" xfId="472"/>
    <cellStyle name="Warning Text 9" xfId="473"/>
    <cellStyle name="アクセント 1" xfId="474"/>
    <cellStyle name="アクセント 2" xfId="475"/>
    <cellStyle name="アクセント 3" xfId="476"/>
    <cellStyle name="アクセント 4" xfId="477"/>
    <cellStyle name="アクセント 5" xfId="478"/>
    <cellStyle name="アクセント 6" xfId="479"/>
    <cellStyle name="ｺﾞｼｯｸ" xfId="480"/>
    <cellStyle name="タイトル" xfId="481"/>
    <cellStyle name="チェック セル" xfId="482"/>
    <cellStyle name="どちらでもない" xfId="483"/>
    <cellStyle name="ハイパーリンク" xfId="484"/>
    <cellStyle name="ハイパーリンクSheet1H" xfId="485"/>
    <cellStyle name="ハイパーリンクSheet1HECK FS " xfId="486"/>
    <cellStyle name="メモ" xfId="487"/>
    <cellStyle name="リンク セル" xfId="488"/>
    <cellStyle name="เครื่องหมายจุลภาค [0]_#3 PL 25.Oct.'01approved-P" xfId="489"/>
    <cellStyle name="เครื่องหมายจุลภาค_1-lspv feb forecast FOR PRINT" xfId="490"/>
    <cellStyle name="เครื่องหมายสกุลเงิน [0]_Excel_MD97DL" xfId="491"/>
    <cellStyle name="เครื่องหมายสกุลเงิน_Excel_MD97DL" xfId="492"/>
    <cellStyle name="ปกติ_#3 PL 25.Oct.'01approved-P" xfId="493"/>
    <cellStyle name="ปกติ_Distributor,Dealer,T1,T2 &amp; Sublet type Code" xfId="494"/>
    <cellStyle name="一般_186W見積書_Quotation of AISIN ASTRALIA 042L Door Frame--050721" xfId="495"/>
    <cellStyle name="入力" xfId="496"/>
    <cellStyle name="出力" xfId="497"/>
    <cellStyle name="悪い" xfId="498"/>
    <cellStyle name="未定義" xfId="499"/>
    <cellStyle name="桁区切り [0.00]_050608 Long sales plan" xfId="500"/>
    <cellStyle name="桁区切り_050608 Long sales plan" xfId="501"/>
    <cellStyle name="標準_03年当初年計(見本）" xfId="502"/>
    <cellStyle name="爨ﾃﾗ靉ｧﾋﾁﾒﾂｨﾘﾅﾀﾒ､ [0]_Excel_MD97DL" xfId="503"/>
    <cellStyle name="爨ﾃﾗ靉ｧﾋﾁﾒﾂｨﾘﾅﾀﾒ､_Excel_MD97DL" xfId="504"/>
    <cellStyle name="爨ﾃﾗ靉ｧﾋﾁﾒﾂﾊ｡ﾘﾅ爰ﾔｹ [0]_Excel_MD97DL" xfId="505"/>
    <cellStyle name="爨ﾃﾗ靉ｧﾋﾁﾒﾂﾊ｡ﾘﾅ爰ﾔｹ_Excel_MD97DL" xfId="506"/>
    <cellStyle name="良い" xfId="507"/>
    <cellStyle name="表示済みのハイパーリンク" xfId="508"/>
    <cellStyle name="表示済みのハイパーリンク1HECK FS DWG" xfId="509"/>
    <cellStyle name="見出し 1" xfId="510"/>
    <cellStyle name="見出し 2" xfId="511"/>
    <cellStyle name="見出し 3" xfId="512"/>
    <cellStyle name="見出し 4" xfId="513"/>
    <cellStyle name="計算" xfId="514"/>
    <cellStyle name="説明文" xfId="515"/>
    <cellStyle name="警告文" xfId="516"/>
    <cellStyle name="通貨 [0.00]_2nd Nenkei 2003-06 10 mail TMC" xfId="517"/>
    <cellStyle name="通貨_2nd Nenkei 2003-06 10 mail TMC" xfId="518"/>
    <cellStyle name="集計" xfId="5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514350</xdr:colOff>
      <xdr:row>345</xdr:row>
      <xdr:rowOff>19050</xdr:rowOff>
    </xdr:from>
    <xdr:to>
      <xdr:col>6</xdr:col>
      <xdr:colOff>1047750</xdr:colOff>
      <xdr:row>346</xdr:row>
      <xdr:rowOff>200025</xdr:rowOff>
    </xdr:to>
    <xdr:pic>
      <xdr:nvPicPr>
        <xdr:cNvPr id="62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44550" y="95316675"/>
          <a:ext cx="1143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790939</xdr:colOff>
      <xdr:row>2</xdr:row>
      <xdr:rowOff>0</xdr:rowOff>
    </xdr:to>
    <xdr:sp macro="" textlink="">
      <xdr:nvSpPr>
        <xdr:cNvPr id="60206" name="Text Box 814"/>
        <xdr:cNvSpPr txBox="1">
          <a:spLocks noChangeArrowheads="1"/>
        </xdr:cNvSpPr>
      </xdr:nvSpPr>
      <xdr:spPr bwMode="auto">
        <a:xfrm>
          <a:off x="0" y="194729100"/>
          <a:ext cx="3390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Update : 21-Dec-12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1</xdr:row>
      <xdr:rowOff>9525</xdr:rowOff>
    </xdr:from>
    <xdr:to>
      <xdr:col>12</xdr:col>
      <xdr:colOff>142875</xdr:colOff>
      <xdr:row>2</xdr:row>
      <xdr:rowOff>228600</xdr:rowOff>
    </xdr:to>
    <xdr:sp macro="" textlink="">
      <xdr:nvSpPr>
        <xdr:cNvPr id="2" name="TextBox 1"/>
        <xdr:cNvSpPr txBox="1"/>
      </xdr:nvSpPr>
      <xdr:spPr>
        <a:xfrm>
          <a:off x="5238750" y="285750"/>
          <a:ext cx="2219325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100"/>
            <a:t>หลังจาก</a:t>
          </a:r>
          <a:r>
            <a:rPr lang="th-TH" sz="1100" baseline="0"/>
            <a:t> สงกรานต์ </a:t>
          </a:r>
          <a:r>
            <a:rPr lang="en-US" sz="1100" baseline="0"/>
            <a:t>Diffcase</a:t>
          </a:r>
          <a:r>
            <a:rPr lang="th-TH" sz="1100" baseline="0"/>
            <a:t> ต้องเปลี่ยนไปเคลม </a:t>
          </a:r>
          <a:r>
            <a:rPr lang="en-US" sz="1100" baseline="0"/>
            <a:t>SATI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-10\d\Sopon\TOYOTA%20warranty\Code%20&amp;%20Meaning%20in%20Warranty%20(In%20TWC%20program)\Distributor,Dealer,T1,T2%20&amp;%20Sublet%20type%20Cod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tor &amp; Dealer code"/>
      <sheetName val="Distributor &amp; Dealer code (2)"/>
      <sheetName val="T1 &amp; T2 Code"/>
      <sheetName val="Sublet Type Code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"/>
  <sheetViews>
    <sheetView topLeftCell="A91" workbookViewId="0">
      <selection activeCell="B9" sqref="B9"/>
    </sheetView>
  </sheetViews>
  <sheetFormatPr defaultRowHeight="21.75"/>
  <cols>
    <col min="1" max="1" width="10.140625" style="230" customWidth="1"/>
    <col min="2" max="2" width="39.140625" bestFit="1" customWidth="1"/>
  </cols>
  <sheetData>
    <row r="1" spans="1:2">
      <c r="A1" s="228" t="s">
        <v>1843</v>
      </c>
      <c r="B1" s="229" t="s">
        <v>4932</v>
      </c>
    </row>
    <row r="2" spans="1:2">
      <c r="A2" s="230">
        <v>1</v>
      </c>
      <c r="B2" t="s">
        <v>4933</v>
      </c>
    </row>
    <row r="3" spans="1:2">
      <c r="A3" s="230">
        <v>2</v>
      </c>
      <c r="B3" t="s">
        <v>4934</v>
      </c>
    </row>
    <row r="4" spans="1:2">
      <c r="A4" s="230">
        <v>3</v>
      </c>
      <c r="B4" t="s">
        <v>4935</v>
      </c>
    </row>
    <row r="5" spans="1:2">
      <c r="A5" s="230">
        <v>4</v>
      </c>
      <c r="B5" t="s">
        <v>4936</v>
      </c>
    </row>
    <row r="6" spans="1:2">
      <c r="A6" s="230">
        <v>5</v>
      </c>
      <c r="B6" t="s">
        <v>4937</v>
      </c>
    </row>
    <row r="7" spans="1:2">
      <c r="A7" s="230">
        <v>6</v>
      </c>
      <c r="B7" t="s">
        <v>4938</v>
      </c>
    </row>
    <row r="8" spans="1:2">
      <c r="A8" s="230">
        <v>7</v>
      </c>
      <c r="B8" t="s">
        <v>4939</v>
      </c>
    </row>
    <row r="9" spans="1:2">
      <c r="A9" s="230">
        <v>8</v>
      </c>
      <c r="B9" t="s">
        <v>4940</v>
      </c>
    </row>
    <row r="10" spans="1:2">
      <c r="A10" s="230">
        <v>9</v>
      </c>
      <c r="B10" t="s">
        <v>4941</v>
      </c>
    </row>
    <row r="11" spans="1:2">
      <c r="A11" s="230">
        <v>10</v>
      </c>
      <c r="B11" t="s">
        <v>4942</v>
      </c>
    </row>
    <row r="12" spans="1:2">
      <c r="A12" s="230">
        <v>11</v>
      </c>
      <c r="B12" t="s">
        <v>4943</v>
      </c>
    </row>
    <row r="13" spans="1:2">
      <c r="A13" s="230">
        <v>12</v>
      </c>
      <c r="B13" t="s">
        <v>4944</v>
      </c>
    </row>
    <row r="14" spans="1:2">
      <c r="A14" s="230">
        <v>13</v>
      </c>
      <c r="B14" t="s">
        <v>4945</v>
      </c>
    </row>
    <row r="15" spans="1:2">
      <c r="A15" s="230">
        <v>14</v>
      </c>
      <c r="B15" t="s">
        <v>4946</v>
      </c>
    </row>
    <row r="16" spans="1:2">
      <c r="A16" s="230">
        <v>15</v>
      </c>
      <c r="B16" t="s">
        <v>4947</v>
      </c>
    </row>
    <row r="17" spans="1:2">
      <c r="A17" s="230">
        <v>16</v>
      </c>
      <c r="B17" t="s">
        <v>4948</v>
      </c>
    </row>
    <row r="18" spans="1:2">
      <c r="A18" s="230">
        <v>17</v>
      </c>
      <c r="B18" t="s">
        <v>4949</v>
      </c>
    </row>
    <row r="19" spans="1:2">
      <c r="A19" s="230">
        <v>18</v>
      </c>
      <c r="B19" t="s">
        <v>4950</v>
      </c>
    </row>
    <row r="20" spans="1:2">
      <c r="A20" s="230">
        <v>19</v>
      </c>
      <c r="B20" t="s">
        <v>4951</v>
      </c>
    </row>
    <row r="21" spans="1:2">
      <c r="A21" s="230">
        <v>20</v>
      </c>
      <c r="B21" t="s">
        <v>4952</v>
      </c>
    </row>
    <row r="22" spans="1:2">
      <c r="A22" s="230">
        <v>21</v>
      </c>
      <c r="B22" t="s">
        <v>4953</v>
      </c>
    </row>
    <row r="23" spans="1:2">
      <c r="A23" s="230">
        <v>22</v>
      </c>
      <c r="B23" t="s">
        <v>4954</v>
      </c>
    </row>
    <row r="24" spans="1:2">
      <c r="A24" s="230">
        <v>23</v>
      </c>
      <c r="B24" t="s">
        <v>1382</v>
      </c>
    </row>
    <row r="25" spans="1:2">
      <c r="A25" s="230">
        <v>24</v>
      </c>
      <c r="B25" t="s">
        <v>4955</v>
      </c>
    </row>
    <row r="26" spans="1:2">
      <c r="A26" s="230">
        <v>25</v>
      </c>
      <c r="B26" t="s">
        <v>4956</v>
      </c>
    </row>
    <row r="27" spans="1:2">
      <c r="A27" s="230">
        <v>26</v>
      </c>
      <c r="B27" t="s">
        <v>4957</v>
      </c>
    </row>
    <row r="28" spans="1:2">
      <c r="A28" s="230">
        <v>27</v>
      </c>
      <c r="B28" t="s">
        <v>4958</v>
      </c>
    </row>
    <row r="29" spans="1:2">
      <c r="A29" s="230">
        <v>28</v>
      </c>
      <c r="B29" t="s">
        <v>4959</v>
      </c>
    </row>
    <row r="30" spans="1:2">
      <c r="A30" s="230">
        <v>29</v>
      </c>
      <c r="B30" t="s">
        <v>4960</v>
      </c>
    </row>
    <row r="31" spans="1:2">
      <c r="A31" s="230">
        <v>30</v>
      </c>
      <c r="B31" t="s">
        <v>4961</v>
      </c>
    </row>
    <row r="32" spans="1:2">
      <c r="A32" s="230">
        <v>31</v>
      </c>
      <c r="B32" t="s">
        <v>4962</v>
      </c>
    </row>
    <row r="33" spans="1:2">
      <c r="A33" s="230">
        <v>32</v>
      </c>
      <c r="B33" t="s">
        <v>4963</v>
      </c>
    </row>
    <row r="34" spans="1:2">
      <c r="A34" s="230">
        <v>33</v>
      </c>
      <c r="B34" t="s">
        <v>4964</v>
      </c>
    </row>
    <row r="35" spans="1:2">
      <c r="A35" s="230">
        <v>34</v>
      </c>
      <c r="B35" t="s">
        <v>4965</v>
      </c>
    </row>
    <row r="36" spans="1:2">
      <c r="A36" s="230">
        <v>35</v>
      </c>
      <c r="B36" t="s">
        <v>4966</v>
      </c>
    </row>
    <row r="37" spans="1:2">
      <c r="A37" s="230">
        <v>36</v>
      </c>
      <c r="B37" t="s">
        <v>4967</v>
      </c>
    </row>
    <row r="38" spans="1:2">
      <c r="A38" s="230">
        <v>37</v>
      </c>
      <c r="B38" t="s">
        <v>4968</v>
      </c>
    </row>
    <row r="39" spans="1:2">
      <c r="A39" s="230">
        <v>38</v>
      </c>
      <c r="B39" t="s">
        <v>4969</v>
      </c>
    </row>
    <row r="40" spans="1:2">
      <c r="A40" s="230">
        <v>39</v>
      </c>
      <c r="B40" t="s">
        <v>4970</v>
      </c>
    </row>
    <row r="41" spans="1:2">
      <c r="A41" s="230">
        <v>40</v>
      </c>
      <c r="B41" t="s">
        <v>4971</v>
      </c>
    </row>
    <row r="42" spans="1:2">
      <c r="A42" s="230">
        <v>41</v>
      </c>
      <c r="B42" t="s">
        <v>4972</v>
      </c>
    </row>
    <row r="43" spans="1:2">
      <c r="A43" s="230">
        <v>42</v>
      </c>
      <c r="B43" t="s">
        <v>4973</v>
      </c>
    </row>
    <row r="44" spans="1:2">
      <c r="A44" s="230">
        <v>43</v>
      </c>
      <c r="B44" t="s">
        <v>4974</v>
      </c>
    </row>
    <row r="45" spans="1:2">
      <c r="A45" s="230">
        <v>44</v>
      </c>
      <c r="B45" t="s">
        <v>4975</v>
      </c>
    </row>
    <row r="46" spans="1:2">
      <c r="A46" s="230">
        <v>45</v>
      </c>
      <c r="B46" t="s">
        <v>4976</v>
      </c>
    </row>
    <row r="47" spans="1:2">
      <c r="A47" s="230">
        <v>46</v>
      </c>
      <c r="B47" t="s">
        <v>4977</v>
      </c>
    </row>
    <row r="48" spans="1:2">
      <c r="A48" s="230">
        <v>47</v>
      </c>
      <c r="B48" t="s">
        <v>4978</v>
      </c>
    </row>
    <row r="49" spans="1:2">
      <c r="A49" s="230">
        <v>48</v>
      </c>
      <c r="B49" t="s">
        <v>4979</v>
      </c>
    </row>
    <row r="50" spans="1:2">
      <c r="A50" s="230">
        <v>49</v>
      </c>
      <c r="B50" t="s">
        <v>4980</v>
      </c>
    </row>
    <row r="51" spans="1:2">
      <c r="A51" s="230">
        <v>50</v>
      </c>
      <c r="B51" t="s">
        <v>4359</v>
      </c>
    </row>
    <row r="52" spans="1:2">
      <c r="A52" s="230">
        <v>51</v>
      </c>
      <c r="B52" t="s">
        <v>4981</v>
      </c>
    </row>
    <row r="53" spans="1:2">
      <c r="A53" s="230">
        <v>52</v>
      </c>
      <c r="B53" t="s">
        <v>4982</v>
      </c>
    </row>
    <row r="54" spans="1:2">
      <c r="A54" s="230">
        <v>53</v>
      </c>
      <c r="B54" t="s">
        <v>4983</v>
      </c>
    </row>
    <row r="55" spans="1:2">
      <c r="A55" s="230">
        <v>54</v>
      </c>
      <c r="B55" t="s">
        <v>4984</v>
      </c>
    </row>
    <row r="56" spans="1:2">
      <c r="A56" s="230">
        <v>55</v>
      </c>
      <c r="B56" t="s">
        <v>4985</v>
      </c>
    </row>
    <row r="57" spans="1:2">
      <c r="A57" s="230">
        <v>56</v>
      </c>
      <c r="B57" t="s">
        <v>4986</v>
      </c>
    </row>
    <row r="58" spans="1:2">
      <c r="A58" s="230">
        <v>57</v>
      </c>
      <c r="B58" t="s">
        <v>4987</v>
      </c>
    </row>
    <row r="59" spans="1:2">
      <c r="A59" s="230">
        <v>58</v>
      </c>
      <c r="B59" t="s">
        <v>4988</v>
      </c>
    </row>
    <row r="60" spans="1:2">
      <c r="A60" s="230">
        <v>59</v>
      </c>
      <c r="B60" t="s">
        <v>4989</v>
      </c>
    </row>
    <row r="61" spans="1:2">
      <c r="A61" s="230">
        <v>60</v>
      </c>
      <c r="B61" t="s">
        <v>4990</v>
      </c>
    </row>
    <row r="62" spans="1:2">
      <c r="A62" s="230">
        <v>61</v>
      </c>
      <c r="B62" t="s">
        <v>4991</v>
      </c>
    </row>
    <row r="63" spans="1:2">
      <c r="A63" s="230">
        <v>62</v>
      </c>
      <c r="B63" t="s">
        <v>4992</v>
      </c>
    </row>
    <row r="64" spans="1:2">
      <c r="A64" s="230">
        <v>63</v>
      </c>
      <c r="B64" t="s">
        <v>4993</v>
      </c>
    </row>
    <row r="65" spans="1:2">
      <c r="A65" s="230">
        <v>64</v>
      </c>
      <c r="B65" t="s">
        <v>4994</v>
      </c>
    </row>
    <row r="66" spans="1:2">
      <c r="A66" s="230">
        <v>65</v>
      </c>
      <c r="B66" t="s">
        <v>4995</v>
      </c>
    </row>
    <row r="67" spans="1:2">
      <c r="A67" s="230">
        <v>66</v>
      </c>
      <c r="B67" t="s">
        <v>4996</v>
      </c>
    </row>
    <row r="68" spans="1:2">
      <c r="A68" s="230">
        <v>67</v>
      </c>
      <c r="B68" t="s">
        <v>4997</v>
      </c>
    </row>
    <row r="69" spans="1:2">
      <c r="A69" s="230">
        <v>68</v>
      </c>
      <c r="B69" t="s">
        <v>4998</v>
      </c>
    </row>
    <row r="70" spans="1:2">
      <c r="A70" s="230">
        <v>69</v>
      </c>
      <c r="B70" t="s">
        <v>4999</v>
      </c>
    </row>
    <row r="71" spans="1:2">
      <c r="A71" s="230">
        <v>70</v>
      </c>
      <c r="B71" t="s">
        <v>5000</v>
      </c>
    </row>
    <row r="72" spans="1:2">
      <c r="A72" s="230">
        <v>71</v>
      </c>
      <c r="B72" t="s">
        <v>1384</v>
      </c>
    </row>
    <row r="73" spans="1:2">
      <c r="A73" s="230">
        <v>72</v>
      </c>
      <c r="B73" t="s">
        <v>5001</v>
      </c>
    </row>
    <row r="74" spans="1:2">
      <c r="A74" s="230">
        <v>73</v>
      </c>
      <c r="B74" t="s">
        <v>5002</v>
      </c>
    </row>
    <row r="75" spans="1:2">
      <c r="A75" s="230">
        <v>74</v>
      </c>
      <c r="B75" t="s">
        <v>5003</v>
      </c>
    </row>
    <row r="76" spans="1:2">
      <c r="A76" s="230">
        <v>75</v>
      </c>
      <c r="B76" t="s">
        <v>5004</v>
      </c>
    </row>
    <row r="77" spans="1:2">
      <c r="A77" s="230">
        <v>76</v>
      </c>
      <c r="B77" t="s">
        <v>5005</v>
      </c>
    </row>
    <row r="78" spans="1:2">
      <c r="A78" s="230">
        <v>77</v>
      </c>
      <c r="B78" t="s">
        <v>5006</v>
      </c>
    </row>
    <row r="79" spans="1:2">
      <c r="A79" s="230">
        <v>78</v>
      </c>
      <c r="B79" t="s">
        <v>5007</v>
      </c>
    </row>
    <row r="80" spans="1:2">
      <c r="A80" s="230">
        <v>79</v>
      </c>
      <c r="B80" t="s">
        <v>5008</v>
      </c>
    </row>
    <row r="81" spans="1:2">
      <c r="A81" s="230">
        <v>80</v>
      </c>
      <c r="B81" t="s">
        <v>5009</v>
      </c>
    </row>
    <row r="82" spans="1:2">
      <c r="A82" s="230">
        <v>81</v>
      </c>
      <c r="B82" t="s">
        <v>5010</v>
      </c>
    </row>
    <row r="83" spans="1:2">
      <c r="A83" s="230">
        <v>82</v>
      </c>
      <c r="B83" t="s">
        <v>5011</v>
      </c>
    </row>
    <row r="84" spans="1:2">
      <c r="A84" s="230">
        <v>83</v>
      </c>
      <c r="B84" t="s">
        <v>5012</v>
      </c>
    </row>
    <row r="85" spans="1:2">
      <c r="A85" s="230">
        <v>84</v>
      </c>
      <c r="B85" t="s">
        <v>4360</v>
      </c>
    </row>
    <row r="86" spans="1:2">
      <c r="A86" s="230">
        <v>85</v>
      </c>
      <c r="B86" t="s">
        <v>5013</v>
      </c>
    </row>
    <row r="87" spans="1:2">
      <c r="A87" s="230">
        <v>86</v>
      </c>
      <c r="B87" t="s">
        <v>5014</v>
      </c>
    </row>
    <row r="88" spans="1:2">
      <c r="A88" s="230">
        <v>87</v>
      </c>
      <c r="B88" t="s">
        <v>5015</v>
      </c>
    </row>
    <row r="89" spans="1:2">
      <c r="A89" s="230">
        <v>88</v>
      </c>
      <c r="B89" t="s">
        <v>5016</v>
      </c>
    </row>
    <row r="90" spans="1:2">
      <c r="A90" s="230">
        <v>89</v>
      </c>
      <c r="B90" t="s">
        <v>5017</v>
      </c>
    </row>
    <row r="91" spans="1:2">
      <c r="A91" s="230">
        <v>90</v>
      </c>
      <c r="B91" t="s">
        <v>5018</v>
      </c>
    </row>
    <row r="92" spans="1:2">
      <c r="A92" s="230">
        <v>91</v>
      </c>
      <c r="B92" t="s">
        <v>5019</v>
      </c>
    </row>
    <row r="93" spans="1:2">
      <c r="A93" s="230">
        <v>92</v>
      </c>
      <c r="B93" t="s">
        <v>5020</v>
      </c>
    </row>
    <row r="94" spans="1:2">
      <c r="A94" s="230">
        <v>93</v>
      </c>
      <c r="B94" t="s">
        <v>5021</v>
      </c>
    </row>
    <row r="95" spans="1:2">
      <c r="A95" s="230">
        <v>94</v>
      </c>
      <c r="B95" t="s">
        <v>5022</v>
      </c>
    </row>
    <row r="96" spans="1:2">
      <c r="A96" s="230">
        <v>95</v>
      </c>
      <c r="B96" t="s">
        <v>5023</v>
      </c>
    </row>
    <row r="97" spans="1:2">
      <c r="A97" s="230">
        <v>96</v>
      </c>
      <c r="B97" t="s">
        <v>5024</v>
      </c>
    </row>
    <row r="98" spans="1:2">
      <c r="A98" s="230">
        <v>97</v>
      </c>
      <c r="B98" t="s">
        <v>5025</v>
      </c>
    </row>
    <row r="99" spans="1:2">
      <c r="A99" s="230">
        <v>98</v>
      </c>
      <c r="B99" t="s">
        <v>5026</v>
      </c>
    </row>
    <row r="100" spans="1:2">
      <c r="A100" s="230">
        <v>99</v>
      </c>
      <c r="B100" t="s">
        <v>5027</v>
      </c>
    </row>
    <row r="101" spans="1:2">
      <c r="A101" s="230">
        <v>100</v>
      </c>
      <c r="B101" t="s">
        <v>5028</v>
      </c>
    </row>
    <row r="102" spans="1:2">
      <c r="A102" s="230">
        <v>101</v>
      </c>
      <c r="B102" t="s">
        <v>5029</v>
      </c>
    </row>
    <row r="103" spans="1:2">
      <c r="A103" s="230">
        <v>102</v>
      </c>
      <c r="B103" t="s">
        <v>5030</v>
      </c>
    </row>
    <row r="104" spans="1:2">
      <c r="A104" s="230">
        <v>103</v>
      </c>
      <c r="B104" t="s">
        <v>5031</v>
      </c>
    </row>
    <row r="105" spans="1:2">
      <c r="A105" s="230">
        <v>104</v>
      </c>
      <c r="B105" t="s">
        <v>5032</v>
      </c>
    </row>
    <row r="106" spans="1:2">
      <c r="A106" s="230">
        <v>105</v>
      </c>
      <c r="B106" t="s">
        <v>5033</v>
      </c>
    </row>
    <row r="107" spans="1:2">
      <c r="A107" s="230">
        <v>106</v>
      </c>
      <c r="B107" t="s">
        <v>5034</v>
      </c>
    </row>
    <row r="108" spans="1:2">
      <c r="A108" s="230">
        <v>107</v>
      </c>
      <c r="B108" t="s">
        <v>4362</v>
      </c>
    </row>
    <row r="109" spans="1:2">
      <c r="A109" s="230">
        <v>108</v>
      </c>
      <c r="B109" t="s">
        <v>5035</v>
      </c>
    </row>
    <row r="110" spans="1:2">
      <c r="A110" s="230">
        <v>109</v>
      </c>
      <c r="B110" t="s">
        <v>5036</v>
      </c>
    </row>
    <row r="111" spans="1:2">
      <c r="A111" s="230">
        <v>110</v>
      </c>
      <c r="B111" t="s">
        <v>5037</v>
      </c>
    </row>
    <row r="112" spans="1:2">
      <c r="A112" s="230">
        <v>111</v>
      </c>
      <c r="B112" t="s">
        <v>5038</v>
      </c>
    </row>
    <row r="113" spans="1:2">
      <c r="A113" s="230">
        <v>112</v>
      </c>
      <c r="B113" t="s">
        <v>5039</v>
      </c>
    </row>
    <row r="114" spans="1:2">
      <c r="A114" s="230">
        <v>113</v>
      </c>
      <c r="B114" t="s">
        <v>5040</v>
      </c>
    </row>
    <row r="115" spans="1:2">
      <c r="A115" s="230">
        <v>114</v>
      </c>
      <c r="B115" t="s">
        <v>5041</v>
      </c>
    </row>
    <row r="116" spans="1:2">
      <c r="A116" s="230">
        <v>115</v>
      </c>
      <c r="B116" t="s">
        <v>5042</v>
      </c>
    </row>
    <row r="117" spans="1:2">
      <c r="A117" s="230">
        <v>116</v>
      </c>
      <c r="B117" t="s">
        <v>5043</v>
      </c>
    </row>
    <row r="118" spans="1:2">
      <c r="A118" s="230">
        <v>117</v>
      </c>
      <c r="B118" t="s">
        <v>4361</v>
      </c>
    </row>
    <row r="119" spans="1:2">
      <c r="A119" s="230">
        <v>118</v>
      </c>
      <c r="B119" t="s">
        <v>5044</v>
      </c>
    </row>
    <row r="120" spans="1:2">
      <c r="A120" s="230">
        <v>119</v>
      </c>
      <c r="B120" t="s">
        <v>5045</v>
      </c>
    </row>
    <row r="121" spans="1:2">
      <c r="A121" s="230">
        <v>120</v>
      </c>
      <c r="B121" t="s">
        <v>5046</v>
      </c>
    </row>
    <row r="122" spans="1:2">
      <c r="A122" s="230">
        <v>121</v>
      </c>
      <c r="B122" t="s">
        <v>5047</v>
      </c>
    </row>
    <row r="123" spans="1:2">
      <c r="A123" s="230">
        <v>122</v>
      </c>
      <c r="B123" t="s">
        <v>5048</v>
      </c>
    </row>
    <row r="124" spans="1:2">
      <c r="A124" s="230">
        <v>123</v>
      </c>
      <c r="B124" t="s">
        <v>5049</v>
      </c>
    </row>
    <row r="125" spans="1:2">
      <c r="A125" s="230">
        <v>124</v>
      </c>
      <c r="B125" t="s">
        <v>5050</v>
      </c>
    </row>
    <row r="126" spans="1:2">
      <c r="A126" s="230">
        <v>125</v>
      </c>
      <c r="B126" t="s">
        <v>5051</v>
      </c>
    </row>
    <row r="127" spans="1:2">
      <c r="A127" s="230">
        <v>126</v>
      </c>
      <c r="B127" t="s">
        <v>5052</v>
      </c>
    </row>
    <row r="128" spans="1:2">
      <c r="A128" s="230">
        <v>127</v>
      </c>
      <c r="B128" t="s">
        <v>5053</v>
      </c>
    </row>
    <row r="129" spans="1:2">
      <c r="A129" s="230">
        <v>128</v>
      </c>
      <c r="B129" t="s">
        <v>5054</v>
      </c>
    </row>
    <row r="130" spans="1:2">
      <c r="A130" s="230">
        <v>129</v>
      </c>
      <c r="B130" t="s">
        <v>5055</v>
      </c>
    </row>
    <row r="131" spans="1:2">
      <c r="A131" s="230">
        <v>130</v>
      </c>
      <c r="B131" t="s">
        <v>5056</v>
      </c>
    </row>
    <row r="132" spans="1:2">
      <c r="A132" s="230">
        <v>131</v>
      </c>
      <c r="B132" t="s">
        <v>5057</v>
      </c>
    </row>
    <row r="133" spans="1:2">
      <c r="A133" s="230">
        <v>132</v>
      </c>
      <c r="B133" t="s">
        <v>5058</v>
      </c>
    </row>
    <row r="134" spans="1:2">
      <c r="A134" s="230">
        <v>133</v>
      </c>
      <c r="B134" t="s">
        <v>5059</v>
      </c>
    </row>
    <row r="135" spans="1:2">
      <c r="A135" s="230">
        <v>134</v>
      </c>
      <c r="B135" t="s">
        <v>5060</v>
      </c>
    </row>
    <row r="136" spans="1:2">
      <c r="A136" s="230">
        <v>135</v>
      </c>
      <c r="B136" t="s">
        <v>5061</v>
      </c>
    </row>
    <row r="137" spans="1:2">
      <c r="A137" s="230">
        <v>136</v>
      </c>
      <c r="B137" t="s">
        <v>5062</v>
      </c>
    </row>
    <row r="138" spans="1:2">
      <c r="A138" s="230">
        <v>137</v>
      </c>
      <c r="B138" t="s">
        <v>5063</v>
      </c>
    </row>
    <row r="139" spans="1:2">
      <c r="A139" s="230">
        <v>138</v>
      </c>
      <c r="B139" t="s">
        <v>5064</v>
      </c>
    </row>
    <row r="140" spans="1:2">
      <c r="A140" s="230">
        <v>139</v>
      </c>
      <c r="B140" t="s">
        <v>5065</v>
      </c>
    </row>
    <row r="141" spans="1:2">
      <c r="A141" s="230">
        <v>140</v>
      </c>
      <c r="B141" t="s">
        <v>5066</v>
      </c>
    </row>
    <row r="142" spans="1:2">
      <c r="A142" s="230">
        <v>141</v>
      </c>
      <c r="B142" t="s">
        <v>5067</v>
      </c>
    </row>
    <row r="143" spans="1:2">
      <c r="A143" s="230">
        <v>142</v>
      </c>
      <c r="B143" t="s">
        <v>5068</v>
      </c>
    </row>
    <row r="144" spans="1:2">
      <c r="A144" s="230">
        <v>143</v>
      </c>
      <c r="B144" t="s">
        <v>5069</v>
      </c>
    </row>
    <row r="145" spans="1:2">
      <c r="A145" s="230">
        <v>144</v>
      </c>
      <c r="B145" t="s">
        <v>5070</v>
      </c>
    </row>
    <row r="146" spans="1:2">
      <c r="A146" s="230">
        <v>145</v>
      </c>
      <c r="B146" t="s">
        <v>5071</v>
      </c>
    </row>
    <row r="147" spans="1:2">
      <c r="A147" s="230">
        <v>146</v>
      </c>
      <c r="B147" t="s">
        <v>5072</v>
      </c>
    </row>
    <row r="148" spans="1:2">
      <c r="A148" s="230">
        <v>147</v>
      </c>
      <c r="B148" t="s">
        <v>5073</v>
      </c>
    </row>
    <row r="149" spans="1:2">
      <c r="A149" s="230">
        <v>148</v>
      </c>
      <c r="B149" t="s">
        <v>5074</v>
      </c>
    </row>
    <row r="150" spans="1:2">
      <c r="A150" s="230">
        <v>149</v>
      </c>
      <c r="B150" t="s">
        <v>5075</v>
      </c>
    </row>
    <row r="151" spans="1:2">
      <c r="A151" s="230">
        <v>150</v>
      </c>
      <c r="B151" t="s">
        <v>5076</v>
      </c>
    </row>
    <row r="152" spans="1:2">
      <c r="A152" s="230">
        <v>151</v>
      </c>
      <c r="B152" t="s">
        <v>5077</v>
      </c>
    </row>
    <row r="153" spans="1:2">
      <c r="A153" s="230">
        <v>152</v>
      </c>
      <c r="B153" t="s">
        <v>5078</v>
      </c>
    </row>
    <row r="154" spans="1:2">
      <c r="A154" s="230">
        <v>153</v>
      </c>
      <c r="B154" t="s">
        <v>5079</v>
      </c>
    </row>
    <row r="155" spans="1:2">
      <c r="A155" s="230">
        <v>154</v>
      </c>
      <c r="B155" t="s">
        <v>5080</v>
      </c>
    </row>
    <row r="156" spans="1:2">
      <c r="A156" s="230">
        <v>155</v>
      </c>
      <c r="B156" t="s">
        <v>5081</v>
      </c>
    </row>
    <row r="157" spans="1:2">
      <c r="A157" s="230">
        <v>156</v>
      </c>
      <c r="B157" t="s">
        <v>5082</v>
      </c>
    </row>
    <row r="158" spans="1:2">
      <c r="A158" s="230">
        <v>157</v>
      </c>
      <c r="B158" t="s">
        <v>5083</v>
      </c>
    </row>
    <row r="159" spans="1:2">
      <c r="A159" s="230">
        <v>158</v>
      </c>
      <c r="B159" t="s">
        <v>5084</v>
      </c>
    </row>
    <row r="160" spans="1:2">
      <c r="A160" s="230">
        <v>159</v>
      </c>
      <c r="B160" t="s">
        <v>5085</v>
      </c>
    </row>
    <row r="161" spans="1:2">
      <c r="A161" s="230">
        <v>160</v>
      </c>
      <c r="B161" t="s">
        <v>5086</v>
      </c>
    </row>
    <row r="162" spans="1:2">
      <c r="A162" s="230">
        <v>161</v>
      </c>
      <c r="B162" t="s">
        <v>272</v>
      </c>
    </row>
    <row r="163" spans="1:2">
      <c r="A163" s="230">
        <v>162</v>
      </c>
      <c r="B163" t="s">
        <v>5087</v>
      </c>
    </row>
    <row r="164" spans="1:2">
      <c r="A164" s="230">
        <v>163</v>
      </c>
      <c r="B164" t="s">
        <v>1388</v>
      </c>
    </row>
    <row r="165" spans="1:2">
      <c r="A165" s="230">
        <v>164</v>
      </c>
      <c r="B165" t="s">
        <v>5088</v>
      </c>
    </row>
    <row r="166" spans="1:2">
      <c r="A166" s="230">
        <v>165</v>
      </c>
      <c r="B166" t="s">
        <v>5089</v>
      </c>
    </row>
    <row r="167" spans="1:2">
      <c r="A167" s="230">
        <v>166</v>
      </c>
      <c r="B167" t="s">
        <v>5090</v>
      </c>
    </row>
    <row r="168" spans="1:2">
      <c r="A168" s="230">
        <v>167</v>
      </c>
      <c r="B168" t="s">
        <v>5091</v>
      </c>
    </row>
    <row r="169" spans="1:2">
      <c r="A169" s="230">
        <v>168</v>
      </c>
      <c r="B169" t="s">
        <v>5092</v>
      </c>
    </row>
    <row r="170" spans="1:2">
      <c r="A170" s="230">
        <v>169</v>
      </c>
      <c r="B170" t="s">
        <v>5093</v>
      </c>
    </row>
    <row r="171" spans="1:2">
      <c r="A171" s="230">
        <v>170</v>
      </c>
      <c r="B171" t="s">
        <v>5094</v>
      </c>
    </row>
    <row r="172" spans="1:2">
      <c r="A172" s="230">
        <v>171</v>
      </c>
      <c r="B172" t="s">
        <v>5095</v>
      </c>
    </row>
    <row r="173" spans="1:2">
      <c r="A173" s="230">
        <v>172</v>
      </c>
      <c r="B173" t="s">
        <v>5096</v>
      </c>
    </row>
    <row r="174" spans="1:2">
      <c r="A174" s="230">
        <v>173</v>
      </c>
      <c r="B174" t="s">
        <v>5097</v>
      </c>
    </row>
    <row r="175" spans="1:2">
      <c r="A175" s="230">
        <v>174</v>
      </c>
      <c r="B175" t="s">
        <v>5098</v>
      </c>
    </row>
    <row r="176" spans="1:2">
      <c r="A176" s="230">
        <v>175</v>
      </c>
      <c r="B176" t="s">
        <v>5099</v>
      </c>
    </row>
    <row r="177" spans="1:2">
      <c r="A177" s="230">
        <v>176</v>
      </c>
      <c r="B177" t="s">
        <v>5100</v>
      </c>
    </row>
    <row r="178" spans="1:2">
      <c r="A178" s="230">
        <v>177</v>
      </c>
      <c r="B178" t="s">
        <v>5101</v>
      </c>
    </row>
    <row r="179" spans="1:2">
      <c r="A179" s="230">
        <v>178</v>
      </c>
      <c r="B179" t="s">
        <v>5102</v>
      </c>
    </row>
    <row r="180" spans="1:2">
      <c r="A180" s="230">
        <v>179</v>
      </c>
      <c r="B180" t="s">
        <v>5103</v>
      </c>
    </row>
    <row r="181" spans="1:2">
      <c r="A181" s="230">
        <v>180</v>
      </c>
      <c r="B181" t="s">
        <v>5104</v>
      </c>
    </row>
    <row r="182" spans="1:2">
      <c r="A182" s="230">
        <v>181</v>
      </c>
      <c r="B182" t="s">
        <v>5105</v>
      </c>
    </row>
    <row r="183" spans="1:2">
      <c r="A183" s="230">
        <v>182</v>
      </c>
      <c r="B183" t="s">
        <v>5106</v>
      </c>
    </row>
    <row r="184" spans="1:2">
      <c r="A184" s="230">
        <v>183</v>
      </c>
      <c r="B184" t="s">
        <v>5107</v>
      </c>
    </row>
    <row r="185" spans="1:2">
      <c r="A185" s="230">
        <v>184</v>
      </c>
      <c r="B185" t="s">
        <v>5108</v>
      </c>
    </row>
    <row r="186" spans="1:2">
      <c r="A186" s="230">
        <v>185</v>
      </c>
      <c r="B186" t="s">
        <v>5109</v>
      </c>
    </row>
    <row r="187" spans="1:2">
      <c r="A187" s="230">
        <v>186</v>
      </c>
      <c r="B187" t="s">
        <v>5110</v>
      </c>
    </row>
    <row r="188" spans="1:2">
      <c r="A188" s="230">
        <v>187</v>
      </c>
      <c r="B188" t="s">
        <v>5111</v>
      </c>
    </row>
    <row r="189" spans="1:2">
      <c r="A189" s="230">
        <v>188</v>
      </c>
      <c r="B189" t="s">
        <v>5112</v>
      </c>
    </row>
    <row r="190" spans="1:2">
      <c r="A190" s="230">
        <v>189</v>
      </c>
      <c r="B190" t="s">
        <v>5113</v>
      </c>
    </row>
    <row r="191" spans="1:2">
      <c r="A191" s="230">
        <v>190</v>
      </c>
      <c r="B191" t="s">
        <v>5114</v>
      </c>
    </row>
    <row r="192" spans="1:2">
      <c r="A192" s="230">
        <v>191</v>
      </c>
      <c r="B192" t="s">
        <v>5115</v>
      </c>
    </row>
    <row r="193" spans="1:2">
      <c r="A193" s="230">
        <v>192</v>
      </c>
      <c r="B193" t="s">
        <v>5116</v>
      </c>
    </row>
    <row r="194" spans="1:2">
      <c r="A194" s="230">
        <v>193</v>
      </c>
      <c r="B194" t="s">
        <v>5117</v>
      </c>
    </row>
    <row r="195" spans="1:2">
      <c r="A195" s="230">
        <v>194</v>
      </c>
      <c r="B195" t="s">
        <v>5118</v>
      </c>
    </row>
    <row r="196" spans="1:2">
      <c r="A196" s="230">
        <v>195</v>
      </c>
      <c r="B196" t="s">
        <v>5119</v>
      </c>
    </row>
    <row r="197" spans="1:2">
      <c r="A197" s="230">
        <v>196</v>
      </c>
      <c r="B197" t="s">
        <v>5120</v>
      </c>
    </row>
    <row r="198" spans="1:2">
      <c r="A198" s="230">
        <v>197</v>
      </c>
      <c r="B198" t="s">
        <v>5121</v>
      </c>
    </row>
    <row r="199" spans="1:2">
      <c r="A199" s="230">
        <v>198</v>
      </c>
      <c r="B199" t="s">
        <v>5122</v>
      </c>
    </row>
    <row r="200" spans="1:2">
      <c r="A200" s="230">
        <v>199</v>
      </c>
      <c r="B200" t="s">
        <v>5123</v>
      </c>
    </row>
    <row r="201" spans="1:2">
      <c r="A201" s="230">
        <v>200</v>
      </c>
      <c r="B201" t="s">
        <v>5124</v>
      </c>
    </row>
    <row r="202" spans="1:2">
      <c r="A202" s="230">
        <v>201</v>
      </c>
      <c r="B202" t="s">
        <v>5125</v>
      </c>
    </row>
    <row r="203" spans="1:2">
      <c r="A203" s="230">
        <v>202</v>
      </c>
      <c r="B203" t="s">
        <v>5126</v>
      </c>
    </row>
    <row r="204" spans="1:2">
      <c r="A204" s="230">
        <v>203</v>
      </c>
      <c r="B204" t="s">
        <v>5127</v>
      </c>
    </row>
    <row r="205" spans="1:2">
      <c r="A205" s="230">
        <v>204</v>
      </c>
      <c r="B205" t="s">
        <v>5128</v>
      </c>
    </row>
    <row r="206" spans="1:2">
      <c r="A206" s="230">
        <v>205</v>
      </c>
      <c r="B206" t="s">
        <v>5129</v>
      </c>
    </row>
    <row r="207" spans="1:2">
      <c r="A207" s="230">
        <v>206</v>
      </c>
      <c r="B207" t="s">
        <v>5130</v>
      </c>
    </row>
    <row r="208" spans="1:2">
      <c r="A208" s="230">
        <v>207</v>
      </c>
      <c r="B208" t="s">
        <v>1387</v>
      </c>
    </row>
    <row r="209" spans="1:2">
      <c r="A209" s="230">
        <v>208</v>
      </c>
      <c r="B209" t="s">
        <v>5131</v>
      </c>
    </row>
    <row r="210" spans="1:2">
      <c r="A210" s="230">
        <v>209</v>
      </c>
      <c r="B210" t="s">
        <v>5132</v>
      </c>
    </row>
    <row r="211" spans="1:2">
      <c r="A211" s="230">
        <v>210</v>
      </c>
      <c r="B211" t="s">
        <v>5133</v>
      </c>
    </row>
    <row r="212" spans="1:2">
      <c r="A212" s="230">
        <v>211</v>
      </c>
      <c r="B212" t="s">
        <v>5134</v>
      </c>
    </row>
    <row r="213" spans="1:2">
      <c r="A213" s="230">
        <v>212</v>
      </c>
      <c r="B213" t="s">
        <v>5135</v>
      </c>
    </row>
    <row r="214" spans="1:2">
      <c r="A214" s="230">
        <v>213</v>
      </c>
      <c r="B214" t="s">
        <v>5136</v>
      </c>
    </row>
    <row r="215" spans="1:2">
      <c r="A215" s="230">
        <v>214</v>
      </c>
      <c r="B215" t="s">
        <v>5137</v>
      </c>
    </row>
    <row r="216" spans="1:2">
      <c r="A216" s="230">
        <v>215</v>
      </c>
      <c r="B216" t="s">
        <v>5138</v>
      </c>
    </row>
    <row r="217" spans="1:2">
      <c r="A217" s="230">
        <v>216</v>
      </c>
      <c r="B217" t="s">
        <v>5139</v>
      </c>
    </row>
    <row r="218" spans="1:2">
      <c r="A218" s="230">
        <v>217</v>
      </c>
      <c r="B218" t="s">
        <v>5140</v>
      </c>
    </row>
    <row r="219" spans="1:2">
      <c r="A219" s="230">
        <v>218</v>
      </c>
      <c r="B219" t="s">
        <v>5141</v>
      </c>
    </row>
    <row r="220" spans="1:2">
      <c r="A220" s="230">
        <v>219</v>
      </c>
      <c r="B220" t="s">
        <v>5142</v>
      </c>
    </row>
    <row r="221" spans="1:2">
      <c r="A221" s="230">
        <v>220</v>
      </c>
      <c r="B221" t="s">
        <v>5143</v>
      </c>
    </row>
    <row r="222" spans="1:2">
      <c r="A222" s="230">
        <v>221</v>
      </c>
      <c r="B222" t="s">
        <v>5144</v>
      </c>
    </row>
    <row r="223" spans="1:2">
      <c r="A223" s="230">
        <v>222</v>
      </c>
      <c r="B223" t="s">
        <v>5145</v>
      </c>
    </row>
    <row r="224" spans="1:2">
      <c r="A224" s="230">
        <v>223</v>
      </c>
      <c r="B224" t="s">
        <v>5146</v>
      </c>
    </row>
    <row r="225" spans="1:2">
      <c r="A225" s="230">
        <v>224</v>
      </c>
      <c r="B225" t="s">
        <v>5147</v>
      </c>
    </row>
    <row r="226" spans="1:2">
      <c r="A226" s="230">
        <v>225</v>
      </c>
      <c r="B226" t="s">
        <v>5148</v>
      </c>
    </row>
    <row r="227" spans="1:2">
      <c r="A227" s="230">
        <v>226</v>
      </c>
      <c r="B227" t="s">
        <v>5149</v>
      </c>
    </row>
    <row r="228" spans="1:2">
      <c r="A228" s="230">
        <v>227</v>
      </c>
      <c r="B228" t="s">
        <v>5150</v>
      </c>
    </row>
    <row r="229" spans="1:2">
      <c r="A229" s="230">
        <v>228</v>
      </c>
      <c r="B229" t="s">
        <v>5151</v>
      </c>
    </row>
    <row r="230" spans="1:2">
      <c r="A230" s="230">
        <v>229</v>
      </c>
      <c r="B230" t="s">
        <v>5152</v>
      </c>
    </row>
    <row r="231" spans="1:2">
      <c r="A231" s="230">
        <v>230</v>
      </c>
      <c r="B231" t="s">
        <v>5153</v>
      </c>
    </row>
    <row r="232" spans="1:2">
      <c r="A232" s="230">
        <v>231</v>
      </c>
      <c r="B232" t="s">
        <v>5154</v>
      </c>
    </row>
    <row r="233" spans="1:2">
      <c r="A233" s="230">
        <v>232</v>
      </c>
      <c r="B233" t="s">
        <v>5155</v>
      </c>
    </row>
    <row r="234" spans="1:2">
      <c r="A234" s="230">
        <v>233</v>
      </c>
      <c r="B234" t="s">
        <v>5156</v>
      </c>
    </row>
    <row r="235" spans="1:2">
      <c r="A235" s="230">
        <v>234</v>
      </c>
      <c r="B235" t="s">
        <v>5157</v>
      </c>
    </row>
    <row r="236" spans="1:2">
      <c r="A236" s="230">
        <v>235</v>
      </c>
      <c r="B236" t="s">
        <v>5158</v>
      </c>
    </row>
    <row r="237" spans="1:2">
      <c r="A237" s="230">
        <v>236</v>
      </c>
      <c r="B237" t="s">
        <v>5159</v>
      </c>
    </row>
    <row r="238" spans="1:2">
      <c r="A238" s="230">
        <v>237</v>
      </c>
      <c r="B238" t="s">
        <v>5160</v>
      </c>
    </row>
    <row r="239" spans="1:2">
      <c r="A239" s="230">
        <v>238</v>
      </c>
      <c r="B239" t="s">
        <v>5161</v>
      </c>
    </row>
    <row r="240" spans="1:2">
      <c r="A240" s="230">
        <v>239</v>
      </c>
      <c r="B240" t="s">
        <v>1385</v>
      </c>
    </row>
    <row r="241" spans="1:2">
      <c r="A241" s="230">
        <v>240</v>
      </c>
      <c r="B241" t="s">
        <v>5162</v>
      </c>
    </row>
    <row r="242" spans="1:2">
      <c r="A242" s="230">
        <v>241</v>
      </c>
      <c r="B242" t="s">
        <v>5163</v>
      </c>
    </row>
    <row r="243" spans="1:2">
      <c r="A243" s="230">
        <v>242</v>
      </c>
      <c r="B243" t="s">
        <v>5164</v>
      </c>
    </row>
    <row r="244" spans="1:2">
      <c r="A244" s="230">
        <v>243</v>
      </c>
      <c r="B244" t="s">
        <v>5165</v>
      </c>
    </row>
    <row r="245" spans="1:2">
      <c r="A245" s="230">
        <v>244</v>
      </c>
      <c r="B245" t="s">
        <v>5166</v>
      </c>
    </row>
    <row r="246" spans="1:2">
      <c r="A246" s="230">
        <v>245</v>
      </c>
      <c r="B246" t="s">
        <v>5167</v>
      </c>
    </row>
    <row r="247" spans="1:2">
      <c r="A247" s="230">
        <v>246</v>
      </c>
      <c r="B247" t="s">
        <v>5168</v>
      </c>
    </row>
    <row r="248" spans="1:2">
      <c r="A248" s="230">
        <v>247</v>
      </c>
      <c r="B248" t="s">
        <v>5169</v>
      </c>
    </row>
    <row r="249" spans="1:2">
      <c r="A249" s="230">
        <v>248</v>
      </c>
      <c r="B249" t="s">
        <v>5170</v>
      </c>
    </row>
    <row r="250" spans="1:2">
      <c r="A250" s="230">
        <v>249</v>
      </c>
      <c r="B250" t="s">
        <v>5171</v>
      </c>
    </row>
    <row r="251" spans="1:2">
      <c r="A251" s="230">
        <v>250</v>
      </c>
      <c r="B251" t="s">
        <v>5172</v>
      </c>
    </row>
    <row r="252" spans="1:2">
      <c r="A252" s="230">
        <v>251</v>
      </c>
      <c r="B252" t="s">
        <v>5173</v>
      </c>
    </row>
    <row r="253" spans="1:2">
      <c r="A253" s="230">
        <v>252</v>
      </c>
      <c r="B253" t="s">
        <v>5174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0"/>
  <sheetViews>
    <sheetView zoomScale="85" zoomScaleNormal="85" workbookViewId="0">
      <pane ySplit="1" topLeftCell="A247" activePane="bottomLeft" state="frozen"/>
      <selection pane="bottomLeft" activeCell="D258" sqref="D258"/>
    </sheetView>
  </sheetViews>
  <sheetFormatPr defaultRowHeight="21.75"/>
  <cols>
    <col min="1" max="1" width="6.28515625" style="234" bestFit="1" customWidth="1"/>
    <col min="2" max="3" width="32.7109375" style="234" bestFit="1" customWidth="1"/>
    <col min="4" max="4" width="36.5703125" style="234" bestFit="1" customWidth="1"/>
    <col min="5" max="5" width="87.140625" style="234" bestFit="1" customWidth="1"/>
    <col min="6" max="6" width="9.140625" style="234"/>
    <col min="7" max="7" width="16.85546875" style="234" bestFit="1" customWidth="1"/>
    <col min="8" max="16384" width="9.140625" style="234"/>
  </cols>
  <sheetData>
    <row r="1" spans="1:9">
      <c r="A1" s="231" t="s">
        <v>883</v>
      </c>
      <c r="B1" s="232" t="s">
        <v>884</v>
      </c>
      <c r="C1" s="232" t="s">
        <v>5176</v>
      </c>
      <c r="D1" s="233" t="s">
        <v>5175</v>
      </c>
    </row>
    <row r="2" spans="1:9">
      <c r="A2" s="235" t="str">
        <f>"98151"</f>
        <v>98151</v>
      </c>
      <c r="B2" s="236" t="s">
        <v>4937</v>
      </c>
      <c r="C2" s="236" t="s">
        <v>1027</v>
      </c>
      <c r="D2" s="237"/>
    </row>
    <row r="3" spans="1:9">
      <c r="A3" s="235" t="str">
        <f>"97011"</f>
        <v>97011</v>
      </c>
      <c r="B3" s="236" t="s">
        <v>4933</v>
      </c>
      <c r="C3" s="236" t="s">
        <v>1240</v>
      </c>
      <c r="D3" s="237" t="s">
        <v>4934</v>
      </c>
    </row>
    <row r="4" spans="1:9">
      <c r="A4" s="235" t="str">
        <f>"95011"</f>
        <v>95011</v>
      </c>
      <c r="B4" s="236" t="s">
        <v>4936</v>
      </c>
      <c r="C4" s="236" t="s">
        <v>1166</v>
      </c>
      <c r="D4" s="237" t="s">
        <v>4935</v>
      </c>
    </row>
    <row r="5" spans="1:9">
      <c r="A5" s="235" t="str">
        <f>"95012"</f>
        <v>95012</v>
      </c>
      <c r="B5" s="236" t="s">
        <v>4936</v>
      </c>
      <c r="C5" s="236" t="s">
        <v>1167</v>
      </c>
      <c r="D5" s="237"/>
    </row>
    <row r="6" spans="1:9">
      <c r="A6" s="235" t="str">
        <f>"95026"</f>
        <v>95026</v>
      </c>
      <c r="B6" s="236" t="s">
        <v>4939</v>
      </c>
      <c r="C6" s="236" t="s">
        <v>1168</v>
      </c>
      <c r="D6" s="237" t="s">
        <v>4938</v>
      </c>
    </row>
    <row r="7" spans="1:9">
      <c r="A7" s="235" t="str">
        <f>"95029"</f>
        <v>95029</v>
      </c>
      <c r="B7" s="236" t="s">
        <v>4939</v>
      </c>
      <c r="C7" s="236" t="s">
        <v>1169</v>
      </c>
      <c r="D7" s="237" t="s">
        <v>4940</v>
      </c>
    </row>
    <row r="8" spans="1:9">
      <c r="A8" s="235" t="str">
        <f>"92301"</f>
        <v>92301</v>
      </c>
      <c r="B8" s="236" t="s">
        <v>2406</v>
      </c>
      <c r="C8" s="236" t="s">
        <v>2406</v>
      </c>
      <c r="D8" s="237" t="s">
        <v>4941</v>
      </c>
    </row>
    <row r="9" spans="1:9">
      <c r="A9" s="235" t="str">
        <f>"93011"</f>
        <v>93011</v>
      </c>
      <c r="B9" s="236" t="s">
        <v>4943</v>
      </c>
      <c r="C9" s="236" t="s">
        <v>1148</v>
      </c>
      <c r="D9" s="237" t="s">
        <v>4942</v>
      </c>
      <c r="E9" s="238" t="s">
        <v>885</v>
      </c>
    </row>
    <row r="10" spans="1:9">
      <c r="A10" s="235" t="str">
        <f>"93101"</f>
        <v>93101</v>
      </c>
      <c r="B10" s="236" t="s">
        <v>4945</v>
      </c>
      <c r="C10" s="236" t="s">
        <v>1157</v>
      </c>
      <c r="D10" s="237" t="s">
        <v>4944</v>
      </c>
    </row>
    <row r="11" spans="1:9">
      <c r="A11" s="235" t="str">
        <f>"94291"</f>
        <v>94291</v>
      </c>
      <c r="B11" s="236" t="s">
        <v>4947</v>
      </c>
      <c r="C11" s="236" t="s">
        <v>1134</v>
      </c>
      <c r="D11" s="237" t="s">
        <v>4948</v>
      </c>
    </row>
    <row r="12" spans="1:9">
      <c r="A12" s="235" t="str">
        <f>"98011"</f>
        <v>98011</v>
      </c>
      <c r="B12" s="236" t="s">
        <v>4946</v>
      </c>
      <c r="C12" s="236" t="s">
        <v>42</v>
      </c>
      <c r="D12" s="237"/>
    </row>
    <row r="13" spans="1:9">
      <c r="A13" s="235" t="str">
        <f>"98012"</f>
        <v>98012</v>
      </c>
      <c r="B13" s="236" t="s">
        <v>4946</v>
      </c>
      <c r="C13" s="236" t="s">
        <v>43</v>
      </c>
    </row>
    <row r="14" spans="1:9">
      <c r="A14" s="235" t="str">
        <f>"92157"</f>
        <v>92157</v>
      </c>
      <c r="B14" s="236" t="s">
        <v>4949</v>
      </c>
      <c r="C14" s="236" t="s">
        <v>1255</v>
      </c>
      <c r="D14" s="237"/>
    </row>
    <row r="15" spans="1:9">
      <c r="A15" s="235" t="str">
        <f>"96111"</f>
        <v>96111</v>
      </c>
      <c r="B15" s="236" t="s">
        <v>4950</v>
      </c>
      <c r="C15" s="236" t="s">
        <v>1227</v>
      </c>
      <c r="D15" s="237"/>
    </row>
    <row r="16" spans="1:9">
      <c r="A16" s="235" t="str">
        <f>"96196"</f>
        <v>96196</v>
      </c>
      <c r="B16" s="236" t="s">
        <v>4951</v>
      </c>
      <c r="C16" s="236" t="s">
        <v>1238</v>
      </c>
      <c r="D16" s="237"/>
      <c r="I16" s="239"/>
    </row>
    <row r="17" spans="1:9">
      <c r="A17" s="235" t="str">
        <f>"92186"</f>
        <v>92186</v>
      </c>
      <c r="B17" s="236" t="s">
        <v>4952</v>
      </c>
      <c r="C17" s="236" t="s">
        <v>1257</v>
      </c>
      <c r="I17" s="239"/>
    </row>
    <row r="18" spans="1:9">
      <c r="A18" s="235" t="str">
        <f>"94031"</f>
        <v>94031</v>
      </c>
      <c r="B18" s="236" t="s">
        <v>4954</v>
      </c>
      <c r="C18" s="236" t="s">
        <v>1036</v>
      </c>
      <c r="D18" s="237" t="s">
        <v>4953</v>
      </c>
      <c r="I18" s="239"/>
    </row>
    <row r="19" spans="1:9">
      <c r="A19" s="235" t="str">
        <f>"9403T"</f>
        <v>9403T</v>
      </c>
      <c r="B19" s="236" t="s">
        <v>4954</v>
      </c>
      <c r="C19" s="236" t="s">
        <v>1036</v>
      </c>
      <c r="D19" s="237"/>
      <c r="I19" s="239"/>
    </row>
    <row r="20" spans="1:9">
      <c r="A20" s="235" t="str">
        <f>"94034"</f>
        <v>94034</v>
      </c>
      <c r="B20" s="236" t="s">
        <v>4954</v>
      </c>
      <c r="C20" s="236" t="s">
        <v>1037</v>
      </c>
      <c r="D20" s="237"/>
    </row>
    <row r="21" spans="1:9">
      <c r="A21" s="235" t="str">
        <f>"92016"</f>
        <v>92016</v>
      </c>
      <c r="B21" s="236" t="s">
        <v>1382</v>
      </c>
      <c r="C21" s="236" t="s">
        <v>1382</v>
      </c>
      <c r="D21" s="237"/>
    </row>
    <row r="22" spans="1:9">
      <c r="A22" s="235" t="str">
        <f>"95091"</f>
        <v>95091</v>
      </c>
      <c r="B22" s="236" t="s">
        <v>4955</v>
      </c>
      <c r="C22" s="236" t="s">
        <v>1174</v>
      </c>
    </row>
    <row r="23" spans="1:9">
      <c r="A23" s="235" t="str">
        <f>"92246"</f>
        <v>92246</v>
      </c>
      <c r="B23" s="236" t="s">
        <v>4956</v>
      </c>
      <c r="C23" s="236" t="s">
        <v>2400</v>
      </c>
      <c r="D23" s="237"/>
    </row>
    <row r="24" spans="1:9">
      <c r="A24" s="235" t="str">
        <f>"97021"</f>
        <v>97021</v>
      </c>
      <c r="B24" s="236" t="s">
        <v>4957</v>
      </c>
      <c r="C24" s="236" t="s">
        <v>1241</v>
      </c>
      <c r="D24" s="237"/>
    </row>
    <row r="25" spans="1:9">
      <c r="A25" s="235" t="str">
        <f>"93025"</f>
        <v>93025</v>
      </c>
      <c r="B25" s="236" t="s">
        <v>4958</v>
      </c>
      <c r="C25" s="236" t="s">
        <v>1150</v>
      </c>
      <c r="D25" s="237" t="s">
        <v>4959</v>
      </c>
    </row>
    <row r="26" spans="1:9">
      <c r="A26" s="235" t="str">
        <f>"93021"</f>
        <v>93021</v>
      </c>
      <c r="B26" s="236" t="s">
        <v>4958</v>
      </c>
      <c r="C26" s="236" t="s">
        <v>1149</v>
      </c>
      <c r="D26" s="237" t="s">
        <v>4960</v>
      </c>
    </row>
    <row r="27" spans="1:9">
      <c r="A27" s="235" t="str">
        <f>"93031"</f>
        <v>93031</v>
      </c>
      <c r="B27" s="236" t="s">
        <v>4963</v>
      </c>
      <c r="C27" s="236" t="s">
        <v>1151</v>
      </c>
      <c r="D27" s="237" t="s">
        <v>4961</v>
      </c>
      <c r="I27" s="239"/>
    </row>
    <row r="28" spans="1:9">
      <c r="A28" s="235" t="str">
        <f>"97038"</f>
        <v>97038</v>
      </c>
      <c r="B28" s="236" t="s">
        <v>4966</v>
      </c>
      <c r="C28" s="236" t="s">
        <v>27</v>
      </c>
      <c r="D28" s="237" t="s">
        <v>4962</v>
      </c>
      <c r="I28" s="239"/>
    </row>
    <row r="29" spans="1:9">
      <c r="A29" s="235" t="str">
        <f>"94041"</f>
        <v>94041</v>
      </c>
      <c r="B29" s="236" t="s">
        <v>4967</v>
      </c>
      <c r="C29" s="236" t="s">
        <v>4742</v>
      </c>
      <c r="D29" s="237" t="s">
        <v>4964</v>
      </c>
      <c r="I29" s="239"/>
    </row>
    <row r="30" spans="1:9">
      <c r="A30" s="235" t="str">
        <f>"95481"</f>
        <v>95481</v>
      </c>
      <c r="B30" s="236" t="s">
        <v>4968</v>
      </c>
      <c r="C30" s="236" t="s">
        <v>1216</v>
      </c>
      <c r="D30" s="237" t="s">
        <v>4965</v>
      </c>
      <c r="I30" s="239"/>
    </row>
    <row r="31" spans="1:9">
      <c r="A31" s="235" t="str">
        <f>"95541"</f>
        <v>95541</v>
      </c>
      <c r="B31" s="236" t="s">
        <v>4969</v>
      </c>
      <c r="C31" s="236" t="s">
        <v>1219</v>
      </c>
      <c r="I31" s="239"/>
    </row>
    <row r="32" spans="1:9">
      <c r="A32" s="235" t="str">
        <f>"95361"</f>
        <v>95361</v>
      </c>
      <c r="B32" s="236" t="s">
        <v>1211</v>
      </c>
      <c r="C32" s="236" t="s">
        <v>1211</v>
      </c>
      <c r="I32" s="239"/>
    </row>
    <row r="33" spans="1:9">
      <c r="A33" s="235" t="str">
        <f>"95511"</f>
        <v>95511</v>
      </c>
      <c r="B33" s="236" t="s">
        <v>4970</v>
      </c>
      <c r="C33" s="236" t="s">
        <v>1217</v>
      </c>
      <c r="D33" s="237"/>
      <c r="I33" s="239"/>
    </row>
    <row r="34" spans="1:9">
      <c r="A34" s="235" t="str">
        <f>"97051"</f>
        <v>97051</v>
      </c>
      <c r="B34" s="236" t="s">
        <v>4971</v>
      </c>
      <c r="C34" s="236" t="s">
        <v>29</v>
      </c>
      <c r="D34" s="237" t="s">
        <v>4975</v>
      </c>
      <c r="I34" s="239"/>
    </row>
    <row r="35" spans="1:9">
      <c r="A35" s="235" t="str">
        <f>"95051"</f>
        <v>95051</v>
      </c>
      <c r="B35" s="236" t="s">
        <v>4972</v>
      </c>
      <c r="C35" s="236" t="s">
        <v>1170</v>
      </c>
      <c r="D35" s="237" t="s">
        <v>4976</v>
      </c>
    </row>
    <row r="36" spans="1:9">
      <c r="A36" s="235" t="str">
        <f>"91025"</f>
        <v>91025</v>
      </c>
      <c r="B36" s="236" t="s">
        <v>4973</v>
      </c>
      <c r="C36" s="236" t="s">
        <v>1023</v>
      </c>
      <c r="D36" s="237"/>
    </row>
    <row r="37" spans="1:9">
      <c r="A37" s="236" t="str">
        <f>"94323"</f>
        <v>94323</v>
      </c>
      <c r="B37" s="236" t="s">
        <v>4732</v>
      </c>
      <c r="C37" s="236" t="s">
        <v>4732</v>
      </c>
      <c r="D37" s="237" t="s">
        <v>4978</v>
      </c>
    </row>
    <row r="38" spans="1:9">
      <c r="A38" s="235" t="str">
        <f>"94321"</f>
        <v>94321</v>
      </c>
      <c r="B38" s="236" t="s">
        <v>1165</v>
      </c>
      <c r="C38" s="236" t="s">
        <v>1165</v>
      </c>
      <c r="D38" s="237" t="s">
        <v>4979</v>
      </c>
    </row>
    <row r="39" spans="1:9">
      <c r="A39" s="235" t="str">
        <f>"93056"</f>
        <v>93056</v>
      </c>
      <c r="B39" s="236" t="s">
        <v>4977</v>
      </c>
      <c r="C39" s="236" t="s">
        <v>1153</v>
      </c>
      <c r="D39" s="237" t="s">
        <v>4980</v>
      </c>
    </row>
    <row r="40" spans="1:9">
      <c r="A40" s="235" t="str">
        <f>"94305"</f>
        <v>94305</v>
      </c>
      <c r="B40" s="236" t="s">
        <v>1033</v>
      </c>
      <c r="C40" s="236" t="s">
        <v>1033</v>
      </c>
      <c r="D40" s="237"/>
    </row>
    <row r="41" spans="1:9">
      <c r="A41" s="235" t="str">
        <f>"94303"</f>
        <v>94303</v>
      </c>
      <c r="B41" s="236" t="s">
        <v>1032</v>
      </c>
      <c r="C41" s="236" t="s">
        <v>1032</v>
      </c>
      <c r="D41" s="237"/>
    </row>
    <row r="42" spans="1:9">
      <c r="A42" s="235" t="str">
        <f>"94302"</f>
        <v>94302</v>
      </c>
      <c r="B42" s="236" t="s">
        <v>1031</v>
      </c>
      <c r="C42" s="236" t="s">
        <v>1031</v>
      </c>
      <c r="D42" s="237"/>
    </row>
    <row r="43" spans="1:9">
      <c r="A43" s="235" t="str">
        <f>"94301"</f>
        <v>94301</v>
      </c>
      <c r="B43" s="236" t="s">
        <v>1030</v>
      </c>
      <c r="C43" s="236" t="s">
        <v>1030</v>
      </c>
      <c r="D43" s="237"/>
    </row>
    <row r="44" spans="1:9">
      <c r="A44" s="235" t="str">
        <f>"93063"</f>
        <v>93063</v>
      </c>
      <c r="B44" s="236" t="s">
        <v>4359</v>
      </c>
      <c r="C44" s="236" t="s">
        <v>4359</v>
      </c>
      <c r="D44" s="237" t="s">
        <v>4981</v>
      </c>
    </row>
    <row r="45" spans="1:9">
      <c r="A45" s="235" t="str">
        <f>"93065"</f>
        <v>93065</v>
      </c>
      <c r="B45" s="236" t="s">
        <v>4359</v>
      </c>
      <c r="C45" s="236" t="s">
        <v>1154</v>
      </c>
      <c r="D45" s="237" t="s">
        <v>4983</v>
      </c>
    </row>
    <row r="46" spans="1:9">
      <c r="A46" s="235" t="str">
        <f>"93066"</f>
        <v>93066</v>
      </c>
      <c r="B46" s="236" t="s">
        <v>4359</v>
      </c>
      <c r="C46" s="236" t="s">
        <v>1154</v>
      </c>
      <c r="D46" s="237" t="s">
        <v>4984</v>
      </c>
    </row>
    <row r="47" spans="1:9">
      <c r="A47" s="235" t="str">
        <f>"95081"</f>
        <v>95081</v>
      </c>
      <c r="B47" s="236" t="s">
        <v>4982</v>
      </c>
      <c r="C47" s="236" t="s">
        <v>1173</v>
      </c>
      <c r="D47" s="237" t="s">
        <v>4986</v>
      </c>
    </row>
    <row r="48" spans="1:9">
      <c r="A48" s="235" t="str">
        <f>"92025"</f>
        <v>92025</v>
      </c>
      <c r="B48" s="236" t="s">
        <v>4985</v>
      </c>
      <c r="C48" s="236" t="s">
        <v>1246</v>
      </c>
      <c r="D48" s="237" t="s">
        <v>4987</v>
      </c>
    </row>
    <row r="49" spans="1:4">
      <c r="A49" s="235" t="str">
        <f>"95181"</f>
        <v>95181</v>
      </c>
      <c r="B49" s="236" t="s">
        <v>1182</v>
      </c>
      <c r="C49" s="236" t="s">
        <v>1182</v>
      </c>
      <c r="D49" s="237" t="s">
        <v>4988</v>
      </c>
    </row>
    <row r="50" spans="1:4">
      <c r="A50" s="235" t="str">
        <f>"95182"</f>
        <v>95182</v>
      </c>
      <c r="B50" s="236" t="s">
        <v>1183</v>
      </c>
      <c r="C50" s="236" t="s">
        <v>1183</v>
      </c>
      <c r="D50" s="237"/>
    </row>
    <row r="51" spans="1:4">
      <c r="A51" s="235" t="str">
        <f>"93111"</f>
        <v>93111</v>
      </c>
      <c r="B51" s="236" t="s">
        <v>4989</v>
      </c>
      <c r="C51" s="236" t="s">
        <v>1158</v>
      </c>
      <c r="D51" s="237"/>
    </row>
    <row r="52" spans="1:4">
      <c r="A52" s="235" t="str">
        <f>"96031"</f>
        <v>96031</v>
      </c>
      <c r="B52" s="236" t="s">
        <v>4990</v>
      </c>
      <c r="C52" s="236" t="s">
        <v>1137</v>
      </c>
      <c r="D52" s="237"/>
    </row>
    <row r="53" spans="1:4">
      <c r="A53" s="235" t="str">
        <f>"94051"</f>
        <v>94051</v>
      </c>
      <c r="B53" s="236" t="s">
        <v>4991</v>
      </c>
      <c r="C53" s="236" t="s">
        <v>1145</v>
      </c>
    </row>
    <row r="54" spans="1:4">
      <c r="A54" s="235" t="str">
        <f>"94065"</f>
        <v>94065</v>
      </c>
      <c r="B54" s="236" t="s">
        <v>4992</v>
      </c>
      <c r="C54" s="236" t="s">
        <v>1038</v>
      </c>
      <c r="D54" s="237"/>
    </row>
    <row r="55" spans="1:4">
      <c r="A55" s="235" t="str">
        <f>"95106"</f>
        <v>95106</v>
      </c>
      <c r="B55" s="236" t="s">
        <v>4993</v>
      </c>
      <c r="C55" s="236" t="s">
        <v>1175</v>
      </c>
      <c r="D55" s="237"/>
    </row>
    <row r="56" spans="1:4">
      <c r="A56" s="235" t="str">
        <f>"92036"</f>
        <v>92036</v>
      </c>
      <c r="B56" s="236" t="s">
        <v>4994</v>
      </c>
      <c r="C56" s="236" t="s">
        <v>1247</v>
      </c>
      <c r="D56" s="237" t="s">
        <v>4995</v>
      </c>
    </row>
    <row r="57" spans="1:4">
      <c r="A57" s="235" t="str">
        <f>"92352"</f>
        <v>92352</v>
      </c>
      <c r="B57" s="236" t="s">
        <v>4994</v>
      </c>
      <c r="C57" s="236" t="s">
        <v>1247</v>
      </c>
    </row>
    <row r="58" spans="1:4">
      <c r="A58" s="235" t="str">
        <f>"93074"</f>
        <v>93074</v>
      </c>
      <c r="B58" s="236" t="s">
        <v>4996</v>
      </c>
      <c r="C58" s="236" t="s">
        <v>1155</v>
      </c>
    </row>
    <row r="59" spans="1:4">
      <c r="A59" s="235" t="str">
        <f>"93076"</f>
        <v>93076</v>
      </c>
      <c r="B59" s="236" t="s">
        <v>4996</v>
      </c>
      <c r="C59" s="236" t="s">
        <v>1155</v>
      </c>
      <c r="D59" s="237" t="s">
        <v>4999</v>
      </c>
    </row>
    <row r="60" spans="1:4">
      <c r="A60" s="235" t="str">
        <f>"93077"</f>
        <v>93077</v>
      </c>
      <c r="B60" s="236" t="s">
        <v>4996</v>
      </c>
      <c r="C60" s="236" t="s">
        <v>1155</v>
      </c>
      <c r="D60" s="237" t="s">
        <v>5001</v>
      </c>
    </row>
    <row r="61" spans="1:4">
      <c r="A61" s="235" t="str">
        <f>"93078"</f>
        <v>93078</v>
      </c>
      <c r="B61" s="236" t="s">
        <v>4996</v>
      </c>
      <c r="C61" s="236" t="s">
        <v>1155</v>
      </c>
    </row>
    <row r="62" spans="1:4">
      <c r="A62" s="235" t="str">
        <f>"95471"</f>
        <v>95471</v>
      </c>
      <c r="B62" s="236" t="s">
        <v>4997</v>
      </c>
      <c r="C62" s="236" t="s">
        <v>1215</v>
      </c>
    </row>
    <row r="63" spans="1:4">
      <c r="A63" s="235" t="str">
        <f>"92145"</f>
        <v>92145</v>
      </c>
      <c r="B63" s="236" t="s">
        <v>4998</v>
      </c>
      <c r="C63" s="236" t="s">
        <v>1254</v>
      </c>
      <c r="D63" s="237"/>
    </row>
    <row r="64" spans="1:4">
      <c r="A64" s="235" t="str">
        <f>"95066"</f>
        <v>95066</v>
      </c>
      <c r="B64" s="236" t="s">
        <v>5000</v>
      </c>
      <c r="C64" s="236" t="s">
        <v>1171</v>
      </c>
    </row>
    <row r="65" spans="1:4">
      <c r="A65" s="235" t="str">
        <f>"94401"</f>
        <v>94401</v>
      </c>
      <c r="B65" s="236" t="s">
        <v>1384</v>
      </c>
      <c r="C65" s="236" t="s">
        <v>1384</v>
      </c>
    </row>
    <row r="66" spans="1:4">
      <c r="A66" s="235" t="str">
        <f>"95116"</f>
        <v>95116</v>
      </c>
      <c r="B66" s="236" t="s">
        <v>5002</v>
      </c>
      <c r="C66" s="236" t="s">
        <v>1176</v>
      </c>
    </row>
    <row r="67" spans="1:4">
      <c r="A67" s="235" t="str">
        <f>"93092"</f>
        <v>93092</v>
      </c>
      <c r="B67" s="236" t="s">
        <v>26</v>
      </c>
      <c r="C67" s="236" t="s">
        <v>26</v>
      </c>
      <c r="D67" s="237"/>
    </row>
    <row r="68" spans="1:4">
      <c r="A68" s="235" t="str">
        <f>"39092"</f>
        <v>39092</v>
      </c>
      <c r="B68" s="236" t="s">
        <v>1156</v>
      </c>
      <c r="C68" s="236" t="s">
        <v>1156</v>
      </c>
      <c r="D68" s="237" t="s">
        <v>5003</v>
      </c>
    </row>
    <row r="69" spans="1:4">
      <c r="A69" s="235" t="str">
        <f>"98041"</f>
        <v>98041</v>
      </c>
      <c r="B69" s="236" t="s">
        <v>5005</v>
      </c>
      <c r="C69" s="236" t="s">
        <v>44</v>
      </c>
      <c r="D69" s="237" t="s">
        <v>5004</v>
      </c>
    </row>
    <row r="70" spans="1:4">
      <c r="A70" s="235" t="str">
        <f>"94091"</f>
        <v>94091</v>
      </c>
      <c r="B70" s="236" t="s">
        <v>5006</v>
      </c>
      <c r="C70" s="236" t="s">
        <v>1040</v>
      </c>
      <c r="D70" s="237" t="s">
        <v>5008</v>
      </c>
    </row>
    <row r="71" spans="1:4">
      <c r="A71" s="235" t="str">
        <f>"94102"</f>
        <v>94102</v>
      </c>
      <c r="B71" s="236" t="s">
        <v>5007</v>
      </c>
      <c r="C71" s="236" t="s">
        <v>1041</v>
      </c>
      <c r="D71" s="237" t="s">
        <v>5009</v>
      </c>
    </row>
    <row r="72" spans="1:4">
      <c r="A72" s="235" t="str">
        <f>"92296"</f>
        <v>92296</v>
      </c>
      <c r="B72" s="236" t="s">
        <v>4974</v>
      </c>
      <c r="C72" s="236" t="s">
        <v>2405</v>
      </c>
      <c r="D72" s="237" t="s">
        <v>5010</v>
      </c>
    </row>
    <row r="73" spans="1:4">
      <c r="A73" s="235" t="str">
        <f>"95141"</f>
        <v>95141</v>
      </c>
      <c r="B73" s="236" t="s">
        <v>5011</v>
      </c>
      <c r="C73" s="236" t="s">
        <v>1178</v>
      </c>
    </row>
    <row r="74" spans="1:4">
      <c r="A74" s="235" t="str">
        <f>"94481"</f>
        <v>94481</v>
      </c>
      <c r="B74" s="236" t="s">
        <v>4360</v>
      </c>
      <c r="C74" s="236" t="s">
        <v>4360</v>
      </c>
      <c r="D74" s="237"/>
    </row>
    <row r="75" spans="1:4">
      <c r="A75" s="235" t="str">
        <f>"94272"</f>
        <v>94272</v>
      </c>
      <c r="B75" s="236" t="s">
        <v>5013</v>
      </c>
      <c r="C75" s="236" t="s">
        <v>1133</v>
      </c>
      <c r="D75" s="237" t="s">
        <v>5012</v>
      </c>
    </row>
    <row r="76" spans="1:4">
      <c r="A76" s="235" t="str">
        <f>"95166"</f>
        <v>95166</v>
      </c>
      <c r="B76" s="236" t="s">
        <v>5014</v>
      </c>
      <c r="C76" s="236" t="s">
        <v>1180</v>
      </c>
      <c r="D76" s="237"/>
    </row>
    <row r="77" spans="1:4">
      <c r="A77" s="235" t="str">
        <f>"94331"</f>
        <v>94331</v>
      </c>
      <c r="B77" s="236" t="s">
        <v>5015</v>
      </c>
      <c r="C77" s="236" t="s">
        <v>1136</v>
      </c>
      <c r="D77" s="237"/>
    </row>
    <row r="78" spans="1:4">
      <c r="A78" s="235" t="str">
        <f>"92311"</f>
        <v>92311</v>
      </c>
      <c r="B78" s="236" t="s">
        <v>5018</v>
      </c>
      <c r="C78" s="236" t="s">
        <v>2407</v>
      </c>
      <c r="D78" s="237" t="s">
        <v>5017</v>
      </c>
    </row>
    <row r="79" spans="1:4">
      <c r="A79" s="235" t="str">
        <f>"96042"</f>
        <v>96042</v>
      </c>
      <c r="B79" s="236" t="s">
        <v>5016</v>
      </c>
      <c r="C79" s="236" t="s">
        <v>1138</v>
      </c>
      <c r="D79" s="237"/>
    </row>
    <row r="80" spans="1:4">
      <c r="A80" s="235" t="str">
        <f>"92271"</f>
        <v>92271</v>
      </c>
      <c r="B80" s="236" t="s">
        <v>5019</v>
      </c>
      <c r="C80" s="236" t="s">
        <v>2401</v>
      </c>
      <c r="D80" s="237"/>
    </row>
    <row r="81" spans="1:4">
      <c r="A81" s="235" t="str">
        <f>"98062"</f>
        <v>98062</v>
      </c>
      <c r="B81" s="236" t="s">
        <v>5020</v>
      </c>
      <c r="C81" s="236" t="s">
        <v>1026</v>
      </c>
      <c r="D81" s="237"/>
    </row>
    <row r="82" spans="1:4">
      <c r="A82" s="235" t="str">
        <f>"92045"</f>
        <v>92045</v>
      </c>
      <c r="B82" s="236" t="s">
        <v>5021</v>
      </c>
      <c r="C82" s="236" t="s">
        <v>1248</v>
      </c>
      <c r="D82" s="237" t="s">
        <v>5022</v>
      </c>
    </row>
    <row r="83" spans="1:4">
      <c r="A83" s="235" t="str">
        <f>"95171"</f>
        <v>95171</v>
      </c>
      <c r="B83" s="236" t="s">
        <v>5023</v>
      </c>
      <c r="C83" s="236" t="s">
        <v>1181</v>
      </c>
      <c r="D83" s="237"/>
    </row>
    <row r="84" spans="1:4">
      <c r="A84" s="235" t="str">
        <f>"93041"</f>
        <v>93041</v>
      </c>
      <c r="B84" s="236" t="s">
        <v>5025</v>
      </c>
      <c r="C84" s="236" t="s">
        <v>1152</v>
      </c>
      <c r="D84" s="237" t="s">
        <v>5024</v>
      </c>
    </row>
    <row r="85" spans="1:4">
      <c r="A85" s="235" t="str">
        <f>"91031"</f>
        <v>91031</v>
      </c>
      <c r="B85" s="236" t="s">
        <v>4729</v>
      </c>
      <c r="C85" s="236" t="s">
        <v>4729</v>
      </c>
      <c r="D85" s="237" t="s">
        <v>5027</v>
      </c>
    </row>
    <row r="86" spans="1:4">
      <c r="A86" s="235" t="str">
        <f>"92056"</f>
        <v>92056</v>
      </c>
      <c r="B86" s="236" t="s">
        <v>5026</v>
      </c>
      <c r="C86" s="236" t="s">
        <v>1249</v>
      </c>
      <c r="D86" s="237"/>
    </row>
    <row r="87" spans="1:4">
      <c r="A87" s="235" t="str">
        <f>"94192"</f>
        <v>94192</v>
      </c>
      <c r="B87" s="236" t="s">
        <v>1128</v>
      </c>
      <c r="C87" s="236" t="s">
        <v>1128</v>
      </c>
      <c r="D87" s="237"/>
    </row>
    <row r="88" spans="1:4">
      <c r="A88" s="235" t="str">
        <f>"92065"</f>
        <v>92065</v>
      </c>
      <c r="B88" s="236" t="s">
        <v>5028</v>
      </c>
      <c r="C88" s="236" t="s">
        <v>1250</v>
      </c>
      <c r="D88" s="237"/>
    </row>
    <row r="89" spans="1:4">
      <c r="A89" s="235" t="str">
        <f>"97086"</f>
        <v>97086</v>
      </c>
      <c r="B89" s="236" t="s">
        <v>5029</v>
      </c>
      <c r="C89" s="236" t="s">
        <v>32</v>
      </c>
    </row>
    <row r="90" spans="1:4">
      <c r="A90" s="235" t="str">
        <f>"94131"</f>
        <v>94131</v>
      </c>
      <c r="B90" s="236" t="s">
        <v>5030</v>
      </c>
      <c r="C90" s="236" t="s">
        <v>1146</v>
      </c>
      <c r="D90" s="237"/>
    </row>
    <row r="91" spans="1:4">
      <c r="A91" s="235" t="str">
        <f>"94318"</f>
        <v>94318</v>
      </c>
      <c r="B91" s="236" t="s">
        <v>5031</v>
      </c>
      <c r="C91" s="236" t="s">
        <v>1135</v>
      </c>
      <c r="D91" s="237"/>
    </row>
    <row r="92" spans="1:4">
      <c r="A92" s="235" t="str">
        <f>"97093"</f>
        <v>97093</v>
      </c>
      <c r="B92" s="236" t="s">
        <v>5032</v>
      </c>
      <c r="C92" s="236" t="s">
        <v>1243</v>
      </c>
      <c r="D92" s="237"/>
    </row>
    <row r="93" spans="1:4">
      <c r="A93" s="235" t="str">
        <f>"97095"</f>
        <v>97095</v>
      </c>
      <c r="B93" s="236" t="s">
        <v>5032</v>
      </c>
      <c r="C93" s="236" t="s">
        <v>108</v>
      </c>
      <c r="D93" s="237"/>
    </row>
    <row r="94" spans="1:4">
      <c r="A94" s="235" t="str">
        <f>"98073"</f>
        <v>98073</v>
      </c>
      <c r="B94" s="236" t="s">
        <v>5033</v>
      </c>
      <c r="C94" s="236" t="s">
        <v>39</v>
      </c>
      <c r="D94" s="237"/>
    </row>
    <row r="95" spans="1:4">
      <c r="A95" s="235" t="str">
        <f>"98072"</f>
        <v>98072</v>
      </c>
      <c r="B95" s="236" t="s">
        <v>5033</v>
      </c>
      <c r="C95" s="236" t="s">
        <v>38</v>
      </c>
    </row>
    <row r="96" spans="1:4">
      <c r="A96" s="235" t="str">
        <f>"96052"</f>
        <v>96052</v>
      </c>
      <c r="B96" s="236" t="s">
        <v>5034</v>
      </c>
      <c r="C96" s="236" t="s">
        <v>1223</v>
      </c>
      <c r="D96" s="237"/>
    </row>
    <row r="97" spans="1:4">
      <c r="A97" s="235" t="str">
        <f>"96065"</f>
        <v>96065</v>
      </c>
      <c r="B97" s="236" t="s">
        <v>4362</v>
      </c>
      <c r="C97" s="236" t="s">
        <v>4362</v>
      </c>
      <c r="D97" s="237"/>
    </row>
    <row r="98" spans="1:4">
      <c r="A98" s="235" t="str">
        <f>"94111"</f>
        <v>94111</v>
      </c>
      <c r="B98" s="236" t="s">
        <v>5035</v>
      </c>
      <c r="C98" s="236" t="s">
        <v>1042</v>
      </c>
    </row>
    <row r="99" spans="1:4">
      <c r="A99" s="235" t="str">
        <f>"96071"</f>
        <v>96071</v>
      </c>
      <c r="B99" s="236" t="s">
        <v>5037</v>
      </c>
      <c r="C99" s="236" t="s">
        <v>1224</v>
      </c>
      <c r="D99" s="237" t="s">
        <v>5036</v>
      </c>
    </row>
    <row r="100" spans="1:4">
      <c r="A100" s="235" t="str">
        <f>"94901"</f>
        <v>94901</v>
      </c>
      <c r="B100" s="236" t="s">
        <v>5038</v>
      </c>
      <c r="C100" s="236" t="s">
        <v>1043</v>
      </c>
    </row>
    <row r="101" spans="1:4">
      <c r="A101" s="235" t="str">
        <f>"92171"</f>
        <v>92171</v>
      </c>
      <c r="B101" s="236" t="s">
        <v>5039</v>
      </c>
      <c r="C101" s="236" t="s">
        <v>1256</v>
      </c>
    </row>
    <row r="102" spans="1:4">
      <c r="A102" s="235" t="str">
        <f>"96081"</f>
        <v>96081</v>
      </c>
      <c r="B102" s="236" t="s">
        <v>5043</v>
      </c>
      <c r="C102" s="236" t="s">
        <v>1225</v>
      </c>
      <c r="D102" s="237" t="s">
        <v>5040</v>
      </c>
    </row>
    <row r="103" spans="1:4">
      <c r="A103" s="240" t="str">
        <f>"96082"</f>
        <v>96082</v>
      </c>
      <c r="B103" s="236" t="s">
        <v>5043</v>
      </c>
      <c r="C103" s="236" t="s">
        <v>1225</v>
      </c>
      <c r="D103" s="237" t="s">
        <v>5041</v>
      </c>
    </row>
    <row r="104" spans="1:4">
      <c r="A104" s="235" t="str">
        <f>"94612"</f>
        <v>94612</v>
      </c>
      <c r="B104" s="236" t="s">
        <v>4361</v>
      </c>
      <c r="C104" s="236" t="s">
        <v>4361</v>
      </c>
      <c r="D104" s="237" t="s">
        <v>5042</v>
      </c>
    </row>
    <row r="105" spans="1:4">
      <c r="A105" s="235" t="str">
        <f>"95196"</f>
        <v>95196</v>
      </c>
      <c r="B105" s="236" t="s">
        <v>5044</v>
      </c>
      <c r="C105" s="236" t="s">
        <v>1184</v>
      </c>
      <c r="D105" s="237"/>
    </row>
    <row r="106" spans="1:4">
      <c r="A106" s="240" t="str">
        <f>"98281"</f>
        <v>98281</v>
      </c>
      <c r="B106" s="236" t="s">
        <v>5045</v>
      </c>
      <c r="C106" s="236" t="s">
        <v>57</v>
      </c>
      <c r="D106" s="237"/>
    </row>
    <row r="107" spans="1:4">
      <c r="A107" s="235" t="str">
        <f>"97190"</f>
        <v>97190</v>
      </c>
      <c r="B107" s="236" t="s">
        <v>5046</v>
      </c>
      <c r="C107" s="236" t="s">
        <v>35</v>
      </c>
      <c r="D107" s="237" t="s">
        <v>5047</v>
      </c>
    </row>
    <row r="108" spans="1:4">
      <c r="A108" s="235" t="str">
        <f>"97199"</f>
        <v>97199</v>
      </c>
      <c r="B108" s="236" t="s">
        <v>5046</v>
      </c>
      <c r="C108" s="236" t="s">
        <v>36</v>
      </c>
      <c r="D108" s="237"/>
    </row>
    <row r="109" spans="1:4">
      <c r="A109" s="235" t="str">
        <f>"96131"</f>
        <v>96131</v>
      </c>
      <c r="B109" s="236" t="s">
        <v>5048</v>
      </c>
      <c r="C109" s="236" t="s">
        <v>1229</v>
      </c>
      <c r="D109" s="237" t="s">
        <v>5049</v>
      </c>
    </row>
    <row r="110" spans="1:4">
      <c r="A110" s="235" t="str">
        <f>"97111"</f>
        <v>97111</v>
      </c>
      <c r="B110" s="236" t="s">
        <v>5050</v>
      </c>
      <c r="C110" s="236" t="s">
        <v>33</v>
      </c>
      <c r="D110" s="237"/>
    </row>
    <row r="111" spans="1:4">
      <c r="A111" s="235" t="str">
        <f>"97113"</f>
        <v>97113</v>
      </c>
      <c r="B111" s="236" t="s">
        <v>5050</v>
      </c>
      <c r="C111" s="236" t="s">
        <v>33</v>
      </c>
      <c r="D111" s="237" t="s">
        <v>5051</v>
      </c>
    </row>
    <row r="112" spans="1:4">
      <c r="A112" s="235" t="str">
        <f>"97114"</f>
        <v>97114</v>
      </c>
      <c r="B112" s="236" t="s">
        <v>5050</v>
      </c>
      <c r="C112" s="236" t="s">
        <v>33</v>
      </c>
      <c r="D112" s="237"/>
    </row>
    <row r="113" spans="1:4">
      <c r="A113" s="235" t="str">
        <f>"97116"</f>
        <v>97116</v>
      </c>
      <c r="B113" s="236" t="s">
        <v>5050</v>
      </c>
      <c r="C113" s="236" t="s">
        <v>33</v>
      </c>
      <c r="D113" s="237" t="s">
        <v>5053</v>
      </c>
    </row>
    <row r="114" spans="1:4">
      <c r="A114" s="235" t="str">
        <f>"97119"</f>
        <v>97119</v>
      </c>
      <c r="B114" s="236" t="s">
        <v>5050</v>
      </c>
      <c r="C114" s="236" t="s">
        <v>33</v>
      </c>
      <c r="D114" s="237"/>
    </row>
    <row r="115" spans="1:4">
      <c r="A115" s="235" t="str">
        <f>"96092"</f>
        <v>96092</v>
      </c>
      <c r="B115" s="236" t="s">
        <v>5052</v>
      </c>
      <c r="C115" s="236" t="s">
        <v>4363</v>
      </c>
      <c r="D115" s="237"/>
    </row>
    <row r="116" spans="1:4">
      <c r="A116" s="235" t="str">
        <f>"96091"</f>
        <v>96091</v>
      </c>
      <c r="B116" s="236" t="s">
        <v>5052</v>
      </c>
      <c r="C116" s="236" t="s">
        <v>1226</v>
      </c>
      <c r="D116" s="237" t="s">
        <v>5056</v>
      </c>
    </row>
    <row r="117" spans="1:4">
      <c r="A117" s="235" t="str">
        <f>"95201"</f>
        <v>95201</v>
      </c>
      <c r="B117" s="236" t="s">
        <v>5054</v>
      </c>
      <c r="C117" s="236" t="s">
        <v>1191</v>
      </c>
      <c r="D117" s="237" t="s">
        <v>5057</v>
      </c>
    </row>
    <row r="118" spans="1:4">
      <c r="A118" s="235" t="str">
        <f>"95219"</f>
        <v>95219</v>
      </c>
      <c r="B118" s="236" t="s">
        <v>5055</v>
      </c>
      <c r="C118" s="236" t="s">
        <v>1192</v>
      </c>
      <c r="D118" s="237" t="s">
        <v>5058</v>
      </c>
    </row>
    <row r="119" spans="1:4">
      <c r="A119" s="235" t="str">
        <f>"95222"</f>
        <v>95222</v>
      </c>
      <c r="B119" s="236" t="s">
        <v>5060</v>
      </c>
      <c r="C119" s="236" t="s">
        <v>1194</v>
      </c>
      <c r="D119" s="237" t="s">
        <v>5059</v>
      </c>
    </row>
    <row r="120" spans="1:4">
      <c r="A120" s="235" t="str">
        <f>"95221"</f>
        <v>95221</v>
      </c>
      <c r="B120" s="236" t="s">
        <v>5060</v>
      </c>
      <c r="C120" s="236" t="s">
        <v>1193</v>
      </c>
      <c r="D120" s="237"/>
    </row>
    <row r="121" spans="1:4">
      <c r="A121" s="235" t="str">
        <f>"95241"</f>
        <v>95241</v>
      </c>
      <c r="B121" s="236" t="s">
        <v>5061</v>
      </c>
      <c r="C121" s="236" t="s">
        <v>1196</v>
      </c>
      <c r="D121" s="237"/>
    </row>
    <row r="122" spans="1:4">
      <c r="A122" s="235" t="str">
        <f>"98121"</f>
        <v>98121</v>
      </c>
      <c r="B122" s="236" t="s">
        <v>5062</v>
      </c>
      <c r="C122" s="236" t="s">
        <v>41</v>
      </c>
      <c r="D122" s="237" t="s">
        <v>5063</v>
      </c>
    </row>
    <row r="123" spans="1:4">
      <c r="A123" s="235" t="str">
        <f>"95231"</f>
        <v>95231</v>
      </c>
      <c r="B123" s="236" t="s">
        <v>5064</v>
      </c>
      <c r="C123" s="236" t="s">
        <v>1195</v>
      </c>
      <c r="D123" s="237" t="s">
        <v>5066</v>
      </c>
    </row>
    <row r="124" spans="1:4">
      <c r="A124" s="235" t="str">
        <f>"96101"</f>
        <v>96101</v>
      </c>
      <c r="B124" s="236" t="s">
        <v>5065</v>
      </c>
      <c r="C124" s="236" t="s">
        <v>1139</v>
      </c>
      <c r="D124" s="237"/>
    </row>
    <row r="125" spans="1:4">
      <c r="A125" s="235" t="str">
        <f>"92286"</f>
        <v>92286</v>
      </c>
      <c r="B125" s="236" t="s">
        <v>5067</v>
      </c>
      <c r="C125" s="236" t="s">
        <v>2402</v>
      </c>
      <c r="D125" s="237" t="s">
        <v>5070</v>
      </c>
    </row>
    <row r="126" spans="1:4">
      <c r="A126" s="235" t="str">
        <f>"95532"</f>
        <v>95532</v>
      </c>
      <c r="B126" s="236" t="s">
        <v>5068</v>
      </c>
      <c r="C126" s="236" t="s">
        <v>1218</v>
      </c>
      <c r="D126" s="237" t="s">
        <v>5071</v>
      </c>
    </row>
    <row r="127" spans="1:4">
      <c r="A127" s="235" t="str">
        <f>"95251"</f>
        <v>95251</v>
      </c>
      <c r="B127" s="236" t="s">
        <v>5069</v>
      </c>
      <c r="C127" s="236" t="s">
        <v>1197</v>
      </c>
      <c r="D127" s="237" t="s">
        <v>5073</v>
      </c>
    </row>
    <row r="128" spans="1:4">
      <c r="A128" s="235" t="str">
        <f>"92092"</f>
        <v>92092</v>
      </c>
      <c r="B128" s="236" t="s">
        <v>4358</v>
      </c>
      <c r="C128" s="236" t="s">
        <v>4358</v>
      </c>
      <c r="D128" s="237" t="s">
        <v>5074</v>
      </c>
    </row>
    <row r="129" spans="1:4">
      <c r="A129" s="235" t="str">
        <f>"98182"</f>
        <v>98182</v>
      </c>
      <c r="B129" s="236" t="s">
        <v>5072</v>
      </c>
      <c r="C129" s="236" t="s">
        <v>54</v>
      </c>
      <c r="D129" s="237" t="s">
        <v>5075</v>
      </c>
    </row>
    <row r="130" spans="1:4">
      <c r="A130" s="235" t="str">
        <f>"92322"</f>
        <v>92322</v>
      </c>
      <c r="B130" s="236" t="s">
        <v>5077</v>
      </c>
      <c r="C130" s="236" t="s">
        <v>2408</v>
      </c>
      <c r="D130" s="237" t="s">
        <v>5076</v>
      </c>
    </row>
    <row r="131" spans="1:4">
      <c r="A131" s="235" t="str">
        <f>"95291"</f>
        <v>95291</v>
      </c>
      <c r="B131" s="236" t="s">
        <v>5078</v>
      </c>
      <c r="C131" s="236" t="s">
        <v>1206</v>
      </c>
      <c r="D131" s="237"/>
    </row>
    <row r="132" spans="1:4">
      <c r="A132" s="235" t="str">
        <f>"95292"</f>
        <v>95292</v>
      </c>
      <c r="B132" s="236" t="s">
        <v>5078</v>
      </c>
      <c r="C132" s="236" t="s">
        <v>1207</v>
      </c>
      <c r="D132" s="237"/>
    </row>
    <row r="133" spans="1:4">
      <c r="A133" s="235" t="str">
        <f>"95272"</f>
        <v>95272</v>
      </c>
      <c r="B133" s="236" t="s">
        <v>5079</v>
      </c>
      <c r="C133" s="236" t="s">
        <v>1203</v>
      </c>
    </row>
    <row r="134" spans="1:4">
      <c r="A134" s="235" t="str">
        <f>"97042"</f>
        <v>97042</v>
      </c>
      <c r="B134" s="236" t="s">
        <v>5080</v>
      </c>
      <c r="C134" s="236" t="s">
        <v>28</v>
      </c>
    </row>
    <row r="135" spans="1:4">
      <c r="A135" s="235" t="str">
        <f>"98176"</f>
        <v>98176</v>
      </c>
      <c r="B135" s="236" t="s">
        <v>5085</v>
      </c>
      <c r="C135" s="236" t="s">
        <v>53</v>
      </c>
    </row>
    <row r="136" spans="1:4">
      <c r="A136" s="235" t="str">
        <f>"97141"</f>
        <v>97141</v>
      </c>
      <c r="B136" s="236" t="s">
        <v>5083</v>
      </c>
      <c r="C136" s="236" t="s">
        <v>1244</v>
      </c>
    </row>
    <row r="137" spans="1:4">
      <c r="A137" s="235" t="str">
        <f>"98091"</f>
        <v>98091</v>
      </c>
      <c r="B137" s="236" t="s">
        <v>5086</v>
      </c>
      <c r="C137" s="236" t="s">
        <v>47</v>
      </c>
      <c r="D137" s="237" t="s">
        <v>5081</v>
      </c>
    </row>
    <row r="138" spans="1:4">
      <c r="A138" s="235" t="str">
        <f>"92106"</f>
        <v>92106</v>
      </c>
      <c r="B138" s="236" t="s">
        <v>272</v>
      </c>
      <c r="C138" s="236" t="s">
        <v>272</v>
      </c>
      <c r="D138" s="237" t="s">
        <v>5082</v>
      </c>
    </row>
    <row r="139" spans="1:4">
      <c r="A139" s="235" t="str">
        <f>"92105"</f>
        <v>92105</v>
      </c>
      <c r="B139" s="236" t="s">
        <v>1251</v>
      </c>
      <c r="C139" s="236" t="s">
        <v>1251</v>
      </c>
      <c r="D139" s="237"/>
    </row>
    <row r="140" spans="1:4">
      <c r="A140" s="235" t="str">
        <f>"95106"</f>
        <v>95106</v>
      </c>
      <c r="B140" s="236" t="s">
        <v>1251</v>
      </c>
      <c r="C140" s="236" t="s">
        <v>1251</v>
      </c>
      <c r="D140" s="237" t="s">
        <v>5084</v>
      </c>
    </row>
    <row r="141" spans="1:4">
      <c r="A141" s="235" t="str">
        <f>"95551"</f>
        <v>95551</v>
      </c>
      <c r="B141" s="236" t="s">
        <v>5087</v>
      </c>
      <c r="C141" s="236" t="s">
        <v>1220</v>
      </c>
      <c r="D141" s="237"/>
    </row>
    <row r="142" spans="1:4">
      <c r="A142" s="235" t="str">
        <f>"95282"</f>
        <v>95282</v>
      </c>
      <c r="B142" s="236" t="s">
        <v>1388</v>
      </c>
      <c r="C142" s="236" t="s">
        <v>1388</v>
      </c>
      <c r="D142" s="237" t="s">
        <v>5088</v>
      </c>
    </row>
    <row r="143" spans="1:4">
      <c r="A143" s="235" t="str">
        <f>"95283"</f>
        <v>95283</v>
      </c>
      <c r="B143" s="236" t="s">
        <v>1388</v>
      </c>
      <c r="C143" s="236" t="s">
        <v>1388</v>
      </c>
      <c r="D143" s="237"/>
    </row>
    <row r="144" spans="1:4">
      <c r="A144" s="235" t="str">
        <f>"95281"</f>
        <v>95281</v>
      </c>
      <c r="B144" s="236" t="s">
        <v>1388</v>
      </c>
      <c r="C144" s="236" t="s">
        <v>1204</v>
      </c>
      <c r="D144" s="237" t="s">
        <v>5090</v>
      </c>
    </row>
    <row r="145" spans="1:4">
      <c r="A145" s="235" t="str">
        <f>"95288"</f>
        <v>95288</v>
      </c>
      <c r="B145" s="236" t="s">
        <v>1388</v>
      </c>
      <c r="C145" s="236" t="s">
        <v>1205</v>
      </c>
      <c r="D145" s="237" t="s">
        <v>5091</v>
      </c>
    </row>
    <row r="146" spans="1:4">
      <c r="A146" s="240" t="str">
        <f>"98291"</f>
        <v>98291</v>
      </c>
      <c r="B146" s="236" t="s">
        <v>5089</v>
      </c>
      <c r="C146" s="236" t="s">
        <v>58</v>
      </c>
      <c r="D146" s="237" t="s">
        <v>5092</v>
      </c>
    </row>
    <row r="147" spans="1:4">
      <c r="A147" s="235" t="str">
        <f>"94202"</f>
        <v>94202</v>
      </c>
      <c r="B147" s="236" t="s">
        <v>5093</v>
      </c>
      <c r="C147" s="236" t="s">
        <v>1129</v>
      </c>
      <c r="D147" s="237"/>
    </row>
    <row r="148" spans="1:4">
      <c r="A148" s="235" t="str">
        <f>"96201"</f>
        <v>96201</v>
      </c>
      <c r="B148" s="236" t="s">
        <v>5094</v>
      </c>
      <c r="C148" s="236" t="s">
        <v>1239</v>
      </c>
      <c r="D148" s="237"/>
    </row>
    <row r="149" spans="1:4">
      <c r="A149" s="235" t="str">
        <f>"98082"</f>
        <v>98082</v>
      </c>
      <c r="B149" s="236" t="s">
        <v>46</v>
      </c>
      <c r="C149" s="236" t="s">
        <v>46</v>
      </c>
      <c r="D149" s="237"/>
    </row>
    <row r="150" spans="1:4">
      <c r="A150" s="235" t="str">
        <f>"05301"</f>
        <v>05301</v>
      </c>
      <c r="B150" s="236" t="s">
        <v>4739</v>
      </c>
      <c r="C150" s="236" t="s">
        <v>4739</v>
      </c>
    </row>
    <row r="151" spans="1:4">
      <c r="A151" s="235" t="str">
        <f>"92121"</f>
        <v>92121</v>
      </c>
      <c r="B151" s="236" t="s">
        <v>1025</v>
      </c>
      <c r="C151" s="236" t="s">
        <v>1025</v>
      </c>
      <c r="D151" s="237"/>
    </row>
    <row r="152" spans="1:4">
      <c r="A152" s="235" t="str">
        <f>"97174"</f>
        <v>97174</v>
      </c>
      <c r="B152" s="236" t="s">
        <v>5095</v>
      </c>
      <c r="C152" s="236" t="s">
        <v>1245</v>
      </c>
      <c r="D152" s="237" t="s">
        <v>5096</v>
      </c>
    </row>
    <row r="153" spans="1:4">
      <c r="A153" s="235" t="str">
        <f>"92111"</f>
        <v>92111</v>
      </c>
      <c r="B153" s="236" t="s">
        <v>1252</v>
      </c>
      <c r="C153" s="236" t="s">
        <v>1252</v>
      </c>
      <c r="D153" s="237" t="s">
        <v>5097</v>
      </c>
    </row>
    <row r="154" spans="1:4">
      <c r="A154" s="235" t="str">
        <f>"92116"</f>
        <v>92116</v>
      </c>
      <c r="B154" s="236" t="s">
        <v>5098</v>
      </c>
      <c r="C154" s="236" t="s">
        <v>1252</v>
      </c>
      <c r="D154" s="237" t="s">
        <v>5099</v>
      </c>
    </row>
    <row r="155" spans="1:4">
      <c r="A155" s="235" t="str">
        <f>"93138"</f>
        <v>93138</v>
      </c>
      <c r="B155" s="236" t="s">
        <v>5100</v>
      </c>
      <c r="C155" s="236" t="s">
        <v>1160</v>
      </c>
      <c r="D155" s="237" t="s">
        <v>5103</v>
      </c>
    </row>
    <row r="156" spans="1:4">
      <c r="A156" s="235" t="str">
        <f>"96012"</f>
        <v>96012</v>
      </c>
      <c r="B156" s="236" t="s">
        <v>1222</v>
      </c>
      <c r="C156" s="236" t="s">
        <v>1222</v>
      </c>
      <c r="D156" s="237" t="s">
        <v>5106</v>
      </c>
    </row>
    <row r="157" spans="1:4">
      <c r="A157" s="235" t="str">
        <f>"93141"</f>
        <v>93141</v>
      </c>
      <c r="B157" s="236" t="s">
        <v>5101</v>
      </c>
      <c r="C157" s="236" t="s">
        <v>1161</v>
      </c>
      <c r="D157" s="237"/>
    </row>
    <row r="158" spans="1:4">
      <c r="A158" s="235" t="str">
        <f>"98111"</f>
        <v>98111</v>
      </c>
      <c r="B158" s="236" t="s">
        <v>5102</v>
      </c>
      <c r="C158" s="236" t="s">
        <v>40</v>
      </c>
      <c r="D158" s="237"/>
    </row>
    <row r="159" spans="1:4">
      <c r="A159" s="235" t="str">
        <f>"94171"</f>
        <v>94171</v>
      </c>
      <c r="B159" s="236" t="s">
        <v>5104</v>
      </c>
      <c r="C159" s="236" t="s">
        <v>1147</v>
      </c>
    </row>
    <row r="160" spans="1:4">
      <c r="A160" s="235" t="str">
        <f>"94181"</f>
        <v>94181</v>
      </c>
      <c r="B160" s="236" t="s">
        <v>5105</v>
      </c>
      <c r="C160" s="236" t="s">
        <v>1044</v>
      </c>
      <c r="D160" s="237"/>
    </row>
    <row r="161" spans="1:4">
      <c r="A161" s="235" t="str">
        <f>"96121"</f>
        <v>96121</v>
      </c>
      <c r="B161" s="236" t="s">
        <v>5107</v>
      </c>
      <c r="C161" s="236" t="s">
        <v>1228</v>
      </c>
      <c r="D161" s="237"/>
    </row>
    <row r="162" spans="1:4">
      <c r="A162" s="235" t="str">
        <f>"95391"</f>
        <v>95391</v>
      </c>
      <c r="B162" s="236" t="s">
        <v>5108</v>
      </c>
      <c r="C162" s="236" t="s">
        <v>1202</v>
      </c>
    </row>
    <row r="163" spans="1:4">
      <c r="A163" s="235" t="str">
        <f>"94212"</f>
        <v>94212</v>
      </c>
      <c r="B163" s="236" t="s">
        <v>1383</v>
      </c>
      <c r="C163" s="236" t="s">
        <v>1383</v>
      </c>
      <c r="D163" s="237"/>
    </row>
    <row r="164" spans="1:4">
      <c r="A164" s="235" t="str">
        <f>"94651"</f>
        <v>94651</v>
      </c>
      <c r="B164" s="236" t="s">
        <v>5110</v>
      </c>
      <c r="C164" s="236" t="s">
        <v>1386</v>
      </c>
      <c r="D164" s="237"/>
    </row>
    <row r="165" spans="1:4">
      <c r="A165" s="235" t="str">
        <f>"95346"</f>
        <v>95346</v>
      </c>
      <c r="B165" s="236" t="s">
        <v>5111</v>
      </c>
      <c r="C165" s="236" t="s">
        <v>1209</v>
      </c>
      <c r="D165" s="237" t="s">
        <v>5109</v>
      </c>
    </row>
    <row r="166" spans="1:4">
      <c r="A166" s="235" t="str">
        <f>"95371"</f>
        <v>95371</v>
      </c>
      <c r="B166" s="236" t="s">
        <v>4741</v>
      </c>
      <c r="C166" s="236" t="s">
        <v>4741</v>
      </c>
      <c r="D166" s="237"/>
    </row>
    <row r="167" spans="1:4">
      <c r="A167" s="235" t="str">
        <f>"98192"</f>
        <v>98192</v>
      </c>
      <c r="B167" s="236" t="s">
        <v>1028</v>
      </c>
      <c r="C167" s="236" t="s">
        <v>1028</v>
      </c>
      <c r="D167" s="237"/>
    </row>
    <row r="168" spans="1:4">
      <c r="A168" s="235" t="str">
        <f>"96182"</f>
        <v>96182</v>
      </c>
      <c r="B168" s="236" t="s">
        <v>5122</v>
      </c>
      <c r="C168" s="236" t="s">
        <v>1237</v>
      </c>
      <c r="D168" s="237" t="s">
        <v>5112</v>
      </c>
    </row>
    <row r="169" spans="1:4">
      <c r="A169" s="235" t="str">
        <f>"95381"</f>
        <v>95381</v>
      </c>
      <c r="B169" s="236" t="s">
        <v>5123</v>
      </c>
      <c r="C169" s="236" t="s">
        <v>1212</v>
      </c>
      <c r="D169" s="237" t="s">
        <v>5113</v>
      </c>
    </row>
    <row r="170" spans="1:4">
      <c r="A170" s="235" t="str">
        <f>"95266"</f>
        <v>95266</v>
      </c>
      <c r="B170" s="236" t="s">
        <v>5125</v>
      </c>
      <c r="C170" s="236" t="s">
        <v>1198</v>
      </c>
      <c r="D170" s="237"/>
    </row>
    <row r="171" spans="1:4">
      <c r="A171" s="235" t="str">
        <f>"95351"</f>
        <v>95351</v>
      </c>
      <c r="B171" s="236" t="s">
        <v>5126</v>
      </c>
      <c r="C171" s="236" t="s">
        <v>1210</v>
      </c>
      <c r="D171" s="237"/>
    </row>
    <row r="172" spans="1:4">
      <c r="A172" s="235" t="str">
        <f>"97181"</f>
        <v>97181</v>
      </c>
      <c r="B172" s="236" t="s">
        <v>5127</v>
      </c>
      <c r="C172" s="236" t="s">
        <v>34</v>
      </c>
      <c r="D172" s="237" t="s">
        <v>5116</v>
      </c>
    </row>
    <row r="173" spans="1:4">
      <c r="A173" s="235" t="str">
        <f>"94672"</f>
        <v>94672</v>
      </c>
      <c r="B173" s="236" t="s">
        <v>1387</v>
      </c>
      <c r="C173" s="236" t="s">
        <v>1387</v>
      </c>
      <c r="D173" s="237" t="s">
        <v>5117</v>
      </c>
    </row>
    <row r="174" spans="1:4">
      <c r="A174" s="235" t="str">
        <f>"98133"</f>
        <v>98133</v>
      </c>
      <c r="B174" s="236" t="s">
        <v>5131</v>
      </c>
      <c r="C174" s="236" t="s">
        <v>50</v>
      </c>
      <c r="D174" s="237"/>
    </row>
    <row r="175" spans="1:4">
      <c r="A175" s="235" t="str">
        <f>"95136"</f>
        <v>95136</v>
      </c>
      <c r="B175" s="236" t="s">
        <v>5132</v>
      </c>
      <c r="C175" s="236" t="s">
        <v>1177</v>
      </c>
      <c r="D175" s="237"/>
    </row>
    <row r="176" spans="1:4">
      <c r="A176" s="235" t="str">
        <f>"94244"</f>
        <v>94244</v>
      </c>
      <c r="B176" s="236" t="s">
        <v>1131</v>
      </c>
      <c r="C176" s="236" t="s">
        <v>1131</v>
      </c>
      <c r="D176" s="237" t="s">
        <v>5120</v>
      </c>
    </row>
    <row r="177" spans="1:4">
      <c r="A177" s="235" t="str">
        <f>"94362"</f>
        <v>94362</v>
      </c>
      <c r="B177" s="236" t="s">
        <v>5136</v>
      </c>
      <c r="C177" s="236" t="s">
        <v>1035</v>
      </c>
      <c r="D177" s="237" t="s">
        <v>5121</v>
      </c>
    </row>
    <row r="178" spans="1:4">
      <c r="A178" s="235" t="str">
        <f>"94361"</f>
        <v>94361</v>
      </c>
      <c r="B178" s="236" t="s">
        <v>5136</v>
      </c>
      <c r="C178" s="236" t="s">
        <v>1034</v>
      </c>
      <c r="D178" s="237" t="s">
        <v>5124</v>
      </c>
    </row>
    <row r="179" spans="1:4">
      <c r="A179" s="235" t="str">
        <f>"97062"</f>
        <v>97062</v>
      </c>
      <c r="B179" s="236" t="s">
        <v>5137</v>
      </c>
      <c r="C179" s="236" t="s">
        <v>1242</v>
      </c>
      <c r="D179" s="237"/>
    </row>
    <row r="180" spans="1:4">
      <c r="A180" s="235" t="str">
        <f>"92361"</f>
        <v>92361</v>
      </c>
      <c r="B180" s="236" t="s">
        <v>5114</v>
      </c>
      <c r="C180" s="236" t="s">
        <v>2411</v>
      </c>
      <c r="D180" s="237"/>
    </row>
    <row r="181" spans="1:4">
      <c r="A181" s="235" t="str">
        <f>"93223"</f>
        <v>93223</v>
      </c>
      <c r="B181" s="236" t="s">
        <v>5115</v>
      </c>
      <c r="C181" s="236" t="s">
        <v>2409</v>
      </c>
      <c r="D181" s="237" t="s">
        <v>5128</v>
      </c>
    </row>
    <row r="182" spans="1:4">
      <c r="A182" s="235" t="str">
        <f>"93176"</f>
        <v>93176</v>
      </c>
      <c r="B182" s="236" t="s">
        <v>5129</v>
      </c>
      <c r="C182" s="236" t="s">
        <v>1164</v>
      </c>
      <c r="D182" s="237"/>
    </row>
    <row r="183" spans="1:4">
      <c r="A183" s="235" t="str">
        <f>"92341"</f>
        <v>92341</v>
      </c>
      <c r="B183" s="236" t="s">
        <v>5118</v>
      </c>
      <c r="C183" s="236" t="s">
        <v>2410</v>
      </c>
      <c r="D183" s="237" t="s">
        <v>5130</v>
      </c>
    </row>
    <row r="184" spans="1:4">
      <c r="A184" s="235" t="str">
        <f>"92332"</f>
        <v>92332</v>
      </c>
      <c r="B184" s="236" t="s">
        <v>4669</v>
      </c>
      <c r="C184" s="236" t="s">
        <v>4669</v>
      </c>
      <c r="D184" s="237"/>
    </row>
    <row r="185" spans="1:4">
      <c r="A185" s="235" t="str">
        <f>"95406"</f>
        <v>95406</v>
      </c>
      <c r="B185" s="236" t="s">
        <v>5139</v>
      </c>
      <c r="C185" s="236" t="s">
        <v>1201</v>
      </c>
      <c r="D185" s="237"/>
    </row>
    <row r="186" spans="1:4">
      <c r="A186" s="235" t="str">
        <f>"93121"</f>
        <v>93121</v>
      </c>
      <c r="B186" s="236" t="s">
        <v>5140</v>
      </c>
      <c r="C186" s="236" t="s">
        <v>1159</v>
      </c>
      <c r="D186" s="237" t="s">
        <v>5133</v>
      </c>
    </row>
    <row r="187" spans="1:4">
      <c r="A187" s="235" t="str">
        <f>"94252"</f>
        <v>94252</v>
      </c>
      <c r="B187" s="236" t="s">
        <v>5142</v>
      </c>
      <c r="C187" s="236" t="s">
        <v>1132</v>
      </c>
      <c r="D187" s="237" t="s">
        <v>5134</v>
      </c>
    </row>
    <row r="188" spans="1:4">
      <c r="A188" s="235" t="str">
        <f>"94231"</f>
        <v>94231</v>
      </c>
      <c r="B188" s="236" t="s">
        <v>5143</v>
      </c>
      <c r="C188" s="236" t="s">
        <v>1130</v>
      </c>
      <c r="D188" s="237" t="s">
        <v>5135</v>
      </c>
    </row>
    <row r="189" spans="1:4">
      <c r="A189" s="235" t="str">
        <f>"96143"</f>
        <v>96143</v>
      </c>
      <c r="B189" s="236" t="s">
        <v>5144</v>
      </c>
      <c r="C189" s="236" t="s">
        <v>1230</v>
      </c>
      <c r="D189" s="237" t="s">
        <v>5138</v>
      </c>
    </row>
    <row r="190" spans="1:4">
      <c r="A190" s="236" t="s">
        <v>4730</v>
      </c>
      <c r="B190" s="236" t="s">
        <v>4734</v>
      </c>
      <c r="C190" s="236" t="s">
        <v>4734</v>
      </c>
      <c r="D190" s="237" t="s">
        <v>5141</v>
      </c>
    </row>
    <row r="191" spans="1:4">
      <c r="A191" s="235" t="str">
        <f>"04301"</f>
        <v>04301</v>
      </c>
      <c r="B191" s="236" t="s">
        <v>4712</v>
      </c>
      <c r="C191" s="236" t="s">
        <v>4712</v>
      </c>
    </row>
    <row r="192" spans="1:4">
      <c r="A192" s="241" t="s">
        <v>4759</v>
      </c>
      <c r="B192" s="236" t="s">
        <v>4758</v>
      </c>
      <c r="C192" s="236" t="s">
        <v>4758</v>
      </c>
      <c r="D192" s="237"/>
    </row>
    <row r="193" spans="1:4">
      <c r="A193" s="236" t="s">
        <v>4728</v>
      </c>
      <c r="B193" s="236" t="s">
        <v>4736</v>
      </c>
      <c r="C193" s="236" t="s">
        <v>4736</v>
      </c>
      <c r="D193" s="237"/>
    </row>
    <row r="194" spans="1:4">
      <c r="A194" s="235" t="str">
        <f>"08401"</f>
        <v>08401</v>
      </c>
      <c r="B194" s="236" t="s">
        <v>4664</v>
      </c>
      <c r="C194" s="236" t="s">
        <v>4664</v>
      </c>
    </row>
    <row r="195" spans="1:4">
      <c r="A195" s="236" t="s">
        <v>4638</v>
      </c>
      <c r="B195" s="236" t="s">
        <v>4733</v>
      </c>
      <c r="C195" s="236" t="s">
        <v>4733</v>
      </c>
      <c r="D195" s="237"/>
    </row>
    <row r="196" spans="1:4">
      <c r="A196" s="235" t="str">
        <f>"03801"</f>
        <v>03801</v>
      </c>
      <c r="B196" s="236" t="s">
        <v>4711</v>
      </c>
      <c r="C196" s="236" t="s">
        <v>4711</v>
      </c>
      <c r="D196" s="237"/>
    </row>
    <row r="197" spans="1:4">
      <c r="A197" s="236" t="s">
        <v>4731</v>
      </c>
      <c r="B197" s="236" t="s">
        <v>4735</v>
      </c>
      <c r="C197" s="236" t="s">
        <v>4735</v>
      </c>
      <c r="D197" s="237"/>
    </row>
    <row r="198" spans="1:4">
      <c r="A198" s="235" t="str">
        <f>"06201"</f>
        <v>06201</v>
      </c>
      <c r="B198" s="236" t="s">
        <v>4663</v>
      </c>
      <c r="C198" s="236" t="s">
        <v>4663</v>
      </c>
    </row>
    <row r="199" spans="1:4">
      <c r="A199" s="235" t="str">
        <f>"04601"</f>
        <v>04601</v>
      </c>
      <c r="B199" s="236" t="s">
        <v>4738</v>
      </c>
      <c r="C199" s="236" t="s">
        <v>4738</v>
      </c>
    </row>
    <row r="200" spans="1:4">
      <c r="A200" s="236" t="s">
        <v>4637</v>
      </c>
      <c r="B200" s="242" t="s">
        <v>4737</v>
      </c>
      <c r="C200" s="242" t="s">
        <v>4737</v>
      </c>
    </row>
    <row r="201" spans="1:4">
      <c r="A201" s="235" t="str">
        <f>"03601"</f>
        <v>03601</v>
      </c>
      <c r="B201" s="236" t="s">
        <v>4662</v>
      </c>
      <c r="C201" s="236" t="s">
        <v>4662</v>
      </c>
    </row>
    <row r="202" spans="1:4">
      <c r="A202" s="235" t="str">
        <f>"98242"</f>
        <v>98242</v>
      </c>
      <c r="B202" s="236" t="s">
        <v>56</v>
      </c>
      <c r="C202" s="236" t="s">
        <v>56</v>
      </c>
      <c r="D202" s="237"/>
    </row>
    <row r="203" spans="1:4">
      <c r="A203" s="235" t="str">
        <f>"98246"</f>
        <v>98246</v>
      </c>
      <c r="B203" s="236" t="s">
        <v>56</v>
      </c>
      <c r="C203" s="236" t="s">
        <v>56</v>
      </c>
      <c r="D203" s="237" t="s">
        <v>5146</v>
      </c>
    </row>
    <row r="204" spans="1:4">
      <c r="A204" s="235" t="str">
        <f>"95426"</f>
        <v>95426</v>
      </c>
      <c r="B204" s="236" t="s">
        <v>5147</v>
      </c>
      <c r="C204" s="236" t="s">
        <v>1200</v>
      </c>
      <c r="D204" s="237"/>
    </row>
    <row r="205" spans="1:4">
      <c r="A205" s="235" t="str">
        <f>"95071"</f>
        <v>95071</v>
      </c>
      <c r="B205" s="236" t="s">
        <v>1172</v>
      </c>
      <c r="C205" s="236" t="s">
        <v>1172</v>
      </c>
      <c r="D205" s="237"/>
    </row>
    <row r="206" spans="1:4">
      <c r="A206" s="235" t="str">
        <f>"9707M"</f>
        <v>9707M</v>
      </c>
      <c r="B206" s="236" t="s">
        <v>30</v>
      </c>
      <c r="C206" s="236" t="s">
        <v>30</v>
      </c>
      <c r="D206" s="237" t="s">
        <v>5149</v>
      </c>
    </row>
    <row r="207" spans="1:4">
      <c r="A207" s="235" t="str">
        <f>"97221"</f>
        <v>97221</v>
      </c>
      <c r="B207" s="236" t="s">
        <v>5148</v>
      </c>
      <c r="C207" s="236" t="s">
        <v>37</v>
      </c>
      <c r="D207" s="237"/>
    </row>
    <row r="208" spans="1:4">
      <c r="A208" s="235" t="str">
        <f>"97211"</f>
        <v>97211</v>
      </c>
      <c r="B208" s="236" t="s">
        <v>5145</v>
      </c>
      <c r="C208" s="236" t="s">
        <v>4740</v>
      </c>
      <c r="D208" s="234" t="s">
        <v>5151</v>
      </c>
    </row>
    <row r="209" spans="1:5">
      <c r="A209" s="235" t="str">
        <f>"97212"</f>
        <v>97212</v>
      </c>
      <c r="B209" s="236" t="s">
        <v>5145</v>
      </c>
      <c r="C209" s="236" t="s">
        <v>59</v>
      </c>
    </row>
    <row r="210" spans="1:5">
      <c r="A210" s="235" t="str">
        <f>"9707R"</f>
        <v>9707R</v>
      </c>
      <c r="B210" s="236" t="s">
        <v>31</v>
      </c>
      <c r="C210" s="236" t="s">
        <v>31</v>
      </c>
    </row>
    <row r="211" spans="1:5">
      <c r="A211" s="235" t="str">
        <f>"98111"</f>
        <v>98111</v>
      </c>
      <c r="B211" s="236" t="s">
        <v>48</v>
      </c>
      <c r="C211" s="236" t="s">
        <v>48</v>
      </c>
    </row>
    <row r="212" spans="1:5">
      <c r="A212" s="235" t="str">
        <f>"95441"</f>
        <v>95441</v>
      </c>
      <c r="B212" s="236" t="s">
        <v>5150</v>
      </c>
      <c r="C212" s="236" t="s">
        <v>1199</v>
      </c>
    </row>
    <row r="213" spans="1:5">
      <c r="A213" s="235" t="str">
        <f>"98141"</f>
        <v>98141</v>
      </c>
      <c r="B213" s="236" t="s">
        <v>5152</v>
      </c>
      <c r="C213" s="236" t="s">
        <v>51</v>
      </c>
    </row>
    <row r="214" spans="1:5">
      <c r="A214" s="235" t="str">
        <f>"92135"</f>
        <v>92135</v>
      </c>
      <c r="B214" s="236" t="s">
        <v>5153</v>
      </c>
      <c r="C214" s="236" t="s">
        <v>1253</v>
      </c>
    </row>
    <row r="215" spans="1:5">
      <c r="A215" s="235" t="str">
        <f>"95461"</f>
        <v>95461</v>
      </c>
      <c r="B215" s="236" t="s">
        <v>5154</v>
      </c>
      <c r="C215" s="236" t="s">
        <v>1214</v>
      </c>
      <c r="D215" s="234" t="s">
        <v>5156</v>
      </c>
    </row>
    <row r="216" spans="1:5">
      <c r="A216" s="235" t="str">
        <f>"96162"</f>
        <v>96162</v>
      </c>
      <c r="B216" s="236" t="s">
        <v>5155</v>
      </c>
      <c r="C216" s="236" t="s">
        <v>1232</v>
      </c>
      <c r="D216" s="234" t="s">
        <v>5157</v>
      </c>
    </row>
    <row r="217" spans="1:5">
      <c r="A217" s="235" t="str">
        <f>"96163"</f>
        <v>96163</v>
      </c>
      <c r="B217" s="236" t="s">
        <v>5155</v>
      </c>
      <c r="C217" s="236" t="s">
        <v>1232</v>
      </c>
      <c r="D217" s="234" t="s">
        <v>5158</v>
      </c>
    </row>
    <row r="218" spans="1:5">
      <c r="A218" s="236" t="str">
        <f>"96157"</f>
        <v>96157</v>
      </c>
      <c r="B218" s="236" t="s">
        <v>5162</v>
      </c>
      <c r="C218" s="236" t="s">
        <v>4364</v>
      </c>
    </row>
    <row r="219" spans="1:5">
      <c r="A219" s="235" t="str">
        <f>"94081"</f>
        <v>94081</v>
      </c>
      <c r="B219" s="236" t="s">
        <v>5163</v>
      </c>
      <c r="C219" s="236" t="s">
        <v>1039</v>
      </c>
    </row>
    <row r="220" spans="1:5">
      <c r="A220" s="235" t="str">
        <f>"96151"</f>
        <v>96151</v>
      </c>
      <c r="B220" s="236" t="s">
        <v>5162</v>
      </c>
      <c r="C220" s="236" t="s">
        <v>1231</v>
      </c>
    </row>
    <row r="221" spans="1:5">
      <c r="A221" s="235" t="str">
        <f>"95456"</f>
        <v>95456</v>
      </c>
      <c r="B221" s="236" t="s">
        <v>5161</v>
      </c>
      <c r="C221" s="236" t="s">
        <v>1213</v>
      </c>
      <c r="E221" s="238" t="s">
        <v>882</v>
      </c>
    </row>
    <row r="222" spans="1:5">
      <c r="A222" s="235" t="str">
        <f>"94432"</f>
        <v>94432</v>
      </c>
      <c r="B222" s="236" t="s">
        <v>1385</v>
      </c>
      <c r="C222" s="236" t="s">
        <v>1385</v>
      </c>
      <c r="E222" s="238"/>
    </row>
    <row r="223" spans="1:5">
      <c r="A223" s="235" t="str">
        <f>"98121"</f>
        <v>98121</v>
      </c>
      <c r="B223" s="236" t="s">
        <v>49</v>
      </c>
      <c r="C223" s="236" t="s">
        <v>49</v>
      </c>
      <c r="D223" s="234" t="s">
        <v>5159</v>
      </c>
    </row>
    <row r="224" spans="1:5">
      <c r="A224" s="235" t="str">
        <f>"93152"</f>
        <v>93152</v>
      </c>
      <c r="B224" s="236" t="s">
        <v>5165</v>
      </c>
      <c r="C224" s="236" t="s">
        <v>1162</v>
      </c>
      <c r="D224" s="234" t="s">
        <v>5160</v>
      </c>
    </row>
    <row r="225" spans="1:4">
      <c r="A225" s="235" t="str">
        <f>"91041"</f>
        <v>91041</v>
      </c>
      <c r="B225" s="236" t="s">
        <v>5164</v>
      </c>
      <c r="C225" s="236" t="s">
        <v>1024</v>
      </c>
      <c r="D225" s="234" t="s">
        <v>5166</v>
      </c>
    </row>
    <row r="226" spans="1:4">
      <c r="A226" s="235" t="str">
        <f>"98051"</f>
        <v>98051</v>
      </c>
      <c r="B226" s="236" t="s">
        <v>5167</v>
      </c>
      <c r="C226" s="236" t="s">
        <v>45</v>
      </c>
      <c r="D226" s="234" t="s">
        <v>5168</v>
      </c>
    </row>
    <row r="227" spans="1:4">
      <c r="A227" s="235" t="str">
        <f>"93165"</f>
        <v>93165</v>
      </c>
      <c r="B227" s="236" t="s">
        <v>5169</v>
      </c>
      <c r="C227" s="236" t="s">
        <v>1163</v>
      </c>
    </row>
    <row r="228" spans="1:4">
      <c r="A228" s="235" t="str">
        <f>"97152"</f>
        <v>97152</v>
      </c>
      <c r="B228" s="236" t="s">
        <v>105</v>
      </c>
      <c r="C228" s="236" t="s">
        <v>105</v>
      </c>
    </row>
    <row r="229" spans="1:4">
      <c r="A229" s="243" t="str">
        <f>"97153"</f>
        <v>97153</v>
      </c>
      <c r="B229" s="237" t="s">
        <v>5170</v>
      </c>
      <c r="C229" s="237" t="s">
        <v>107</v>
      </c>
    </row>
    <row r="230" spans="1:4">
      <c r="A230" s="243" t="str">
        <f>"97151"</f>
        <v>97151</v>
      </c>
      <c r="B230" s="237" t="s">
        <v>5170</v>
      </c>
      <c r="C230" s="237" t="s">
        <v>106</v>
      </c>
    </row>
    <row r="231" spans="1:4">
      <c r="A231" s="243" t="str">
        <f>"98161"</f>
        <v>98161</v>
      </c>
      <c r="B231" s="237" t="s">
        <v>52</v>
      </c>
      <c r="C231" s="237" t="s">
        <v>52</v>
      </c>
      <c r="D231" s="234" t="s">
        <v>5171</v>
      </c>
    </row>
    <row r="232" spans="1:4">
      <c r="A232" s="243" t="str">
        <f>"96171"</f>
        <v>96171</v>
      </c>
      <c r="B232" s="237" t="s">
        <v>5172</v>
      </c>
      <c r="C232" s="237" t="s">
        <v>1236</v>
      </c>
      <c r="D232" s="234" t="s">
        <v>5119</v>
      </c>
    </row>
    <row r="233" spans="1:4">
      <c r="A233" s="243" t="str">
        <f>"94289"</f>
        <v>94289</v>
      </c>
      <c r="B233" s="237" t="s">
        <v>1029</v>
      </c>
      <c r="C233" s="237" t="s">
        <v>1029</v>
      </c>
    </row>
    <row r="234" spans="1:4">
      <c r="A234" s="243" t="str">
        <f>"95336"</f>
        <v>95336</v>
      </c>
      <c r="B234" s="237" t="s">
        <v>1208</v>
      </c>
      <c r="C234" s="237" t="s">
        <v>1208</v>
      </c>
    </row>
    <row r="235" spans="1:4">
      <c r="A235" s="243" t="str">
        <f>"95151"</f>
        <v>95151</v>
      </c>
      <c r="B235" s="237" t="s">
        <v>5173</v>
      </c>
      <c r="C235" s="237" t="s">
        <v>1179</v>
      </c>
    </row>
    <row r="236" spans="1:4">
      <c r="A236" s="243" t="str">
        <f>"95561"</f>
        <v>95561</v>
      </c>
      <c r="B236" s="237" t="s">
        <v>5174</v>
      </c>
      <c r="C236" s="237" t="s">
        <v>1221</v>
      </c>
    </row>
    <row r="237" spans="1:4">
      <c r="A237" s="244" t="s">
        <v>5177</v>
      </c>
      <c r="B237" s="234" t="s">
        <v>5210</v>
      </c>
      <c r="C237" s="234" t="s">
        <v>5178</v>
      </c>
    </row>
    <row r="238" spans="1:4">
      <c r="A238" s="244" t="s">
        <v>5179</v>
      </c>
      <c r="B238" s="234" t="s">
        <v>5180</v>
      </c>
    </row>
    <row r="239" spans="1:4">
      <c r="A239" s="244" t="s">
        <v>5181</v>
      </c>
      <c r="B239" s="234" t="s">
        <v>5211</v>
      </c>
      <c r="C239" s="234" t="s">
        <v>5182</v>
      </c>
    </row>
    <row r="240" spans="1:4">
      <c r="A240" s="244" t="s">
        <v>5198</v>
      </c>
      <c r="B240" s="234" t="s">
        <v>5212</v>
      </c>
      <c r="C240" s="234" t="s">
        <v>5199</v>
      </c>
    </row>
    <row r="241" spans="1:3">
      <c r="A241" s="244" t="s">
        <v>5200</v>
      </c>
      <c r="B241" s="234" t="s">
        <v>5213</v>
      </c>
      <c r="C241" s="234" t="s">
        <v>5201</v>
      </c>
    </row>
    <row r="242" spans="1:3">
      <c r="A242" s="244" t="s">
        <v>5205</v>
      </c>
      <c r="B242" s="234" t="s">
        <v>5214</v>
      </c>
      <c r="C242" s="234" t="s">
        <v>5202</v>
      </c>
    </row>
    <row r="243" spans="1:3">
      <c r="A243" s="244" t="s">
        <v>5203</v>
      </c>
      <c r="B243" s="234" t="s">
        <v>5215</v>
      </c>
      <c r="C243" s="234" t="s">
        <v>5204</v>
      </c>
    </row>
    <row r="244" spans="1:3">
      <c r="A244" s="244" t="s">
        <v>5206</v>
      </c>
      <c r="B244" s="234" t="s">
        <v>5216</v>
      </c>
      <c r="C244" s="234" t="s">
        <v>5207</v>
      </c>
    </row>
    <row r="245" spans="1:3">
      <c r="A245" s="244" t="s">
        <v>5208</v>
      </c>
      <c r="B245" s="234" t="s">
        <v>5217</v>
      </c>
      <c r="C245" s="234" t="s">
        <v>5209</v>
      </c>
    </row>
    <row r="246" spans="1:3">
      <c r="A246" s="244" t="s">
        <v>5221</v>
      </c>
      <c r="B246" s="234" t="s">
        <v>5231</v>
      </c>
      <c r="C246" s="234" t="s">
        <v>5226</v>
      </c>
    </row>
    <row r="247" spans="1:3">
      <c r="A247" s="244" t="s">
        <v>5222</v>
      </c>
      <c r="B247" s="234" t="s">
        <v>5232</v>
      </c>
      <c r="C247" s="234" t="s">
        <v>5227</v>
      </c>
    </row>
    <row r="248" spans="1:3">
      <c r="A248" s="244" t="s">
        <v>5223</v>
      </c>
      <c r="B248" s="234" t="s">
        <v>5233</v>
      </c>
      <c r="C248" s="234" t="s">
        <v>5228</v>
      </c>
    </row>
    <row r="249" spans="1:3">
      <c r="A249" s="244" t="s">
        <v>5224</v>
      </c>
      <c r="B249" s="234" t="s">
        <v>5234</v>
      </c>
      <c r="C249" s="234" t="s">
        <v>5229</v>
      </c>
    </row>
    <row r="250" spans="1:3">
      <c r="A250" s="244" t="s">
        <v>5225</v>
      </c>
      <c r="B250" s="234" t="s">
        <v>5235</v>
      </c>
      <c r="C250" s="234" t="s">
        <v>5230</v>
      </c>
    </row>
    <row r="251" spans="1:3">
      <c r="A251" s="244" t="s">
        <v>5242</v>
      </c>
      <c r="B251" s="234" t="s">
        <v>5244</v>
      </c>
      <c r="C251" s="234" t="s">
        <v>5243</v>
      </c>
    </row>
    <row r="252" spans="1:3">
      <c r="A252" s="234" t="str">
        <f>"11101"</f>
        <v>11101</v>
      </c>
      <c r="B252" s="234" t="s">
        <v>5246</v>
      </c>
      <c r="C252" s="234" t="s">
        <v>5245</v>
      </c>
    </row>
    <row r="253" spans="1:3">
      <c r="A253" s="234" t="str">
        <f>"33201"</f>
        <v>33201</v>
      </c>
      <c r="B253" s="234" t="s">
        <v>5248</v>
      </c>
      <c r="C253" s="234" t="s">
        <v>5247</v>
      </c>
    </row>
    <row r="254" spans="1:3">
      <c r="A254" s="234" t="str">
        <f>"34703"</f>
        <v>34703</v>
      </c>
      <c r="B254" s="234" t="s">
        <v>5250</v>
      </c>
      <c r="C254" s="234" t="s">
        <v>5249</v>
      </c>
    </row>
    <row r="255" spans="1:3">
      <c r="A255" s="244" t="s">
        <v>5257</v>
      </c>
      <c r="B255" s="234" t="s">
        <v>5258</v>
      </c>
      <c r="C255" s="234" t="s">
        <v>5259</v>
      </c>
    </row>
    <row r="256" spans="1:3">
      <c r="A256" s="244" t="s">
        <v>5260</v>
      </c>
      <c r="B256" s="234" t="s">
        <v>5246</v>
      </c>
      <c r="C256" s="234" t="s">
        <v>5261</v>
      </c>
    </row>
    <row r="257" spans="1:3">
      <c r="A257" s="244" t="s">
        <v>5262</v>
      </c>
      <c r="B257" s="234" t="s">
        <v>5234</v>
      </c>
      <c r="C257" s="234" t="s">
        <v>5263</v>
      </c>
    </row>
    <row r="258" spans="1:3">
      <c r="A258" s="244" t="s">
        <v>5264</v>
      </c>
      <c r="B258" s="234" t="s">
        <v>5265</v>
      </c>
      <c r="C258" s="234" t="s">
        <v>5266</v>
      </c>
    </row>
    <row r="259" spans="1:3">
      <c r="A259" s="244" t="s">
        <v>5267</v>
      </c>
      <c r="B259" s="234" t="s">
        <v>5268</v>
      </c>
      <c r="C259" s="234" t="s">
        <v>5269</v>
      </c>
    </row>
    <row r="260" spans="1:3">
      <c r="A260" s="244" t="s">
        <v>5270</v>
      </c>
      <c r="B260" s="234" t="s">
        <v>5271</v>
      </c>
      <c r="C260" s="234" t="s">
        <v>5272</v>
      </c>
    </row>
    <row r="261" spans="1:3">
      <c r="A261" s="234">
        <v>34201</v>
      </c>
      <c r="B261" s="234" t="s">
        <v>5273</v>
      </c>
      <c r="C261" s="234" t="s">
        <v>5274</v>
      </c>
    </row>
    <row r="262" spans="1:3">
      <c r="A262" s="234" t="str">
        <f>"08101"</f>
        <v>08101</v>
      </c>
      <c r="B262" s="234" t="s">
        <v>5277</v>
      </c>
      <c r="C262" s="234" t="s">
        <v>5278</v>
      </c>
    </row>
    <row r="263" spans="1:3">
      <c r="A263" s="234" t="str">
        <f>"12601"</f>
        <v>12601</v>
      </c>
      <c r="B263" s="234" t="s">
        <v>5279</v>
      </c>
      <c r="C263" s="234" t="s">
        <v>5280</v>
      </c>
    </row>
    <row r="264" spans="1:3">
      <c r="A264" s="234" t="str">
        <f>"54801"</f>
        <v>54801</v>
      </c>
      <c r="B264" s="234" t="s">
        <v>5281</v>
      </c>
      <c r="C264" s="234" t="s">
        <v>5282</v>
      </c>
    </row>
    <row r="265" spans="1:3">
      <c r="A265" s="234" t="str">
        <f>"16401"</f>
        <v>16401</v>
      </c>
      <c r="B265" s="234" t="s">
        <v>5295</v>
      </c>
      <c r="C265" s="234" t="s">
        <v>5295</v>
      </c>
    </row>
    <row r="266" spans="1:3">
      <c r="A266" s="244" t="str">
        <f>"07201"</f>
        <v>07201</v>
      </c>
      <c r="B266" s="234" t="s">
        <v>5296</v>
      </c>
      <c r="C266" s="234" t="s">
        <v>5296</v>
      </c>
    </row>
    <row r="267" spans="1:3">
      <c r="A267" s="234" t="str">
        <f>"42401"</f>
        <v>42401</v>
      </c>
      <c r="B267" s="234" t="s">
        <v>5201</v>
      </c>
      <c r="C267" s="234" t="s">
        <v>5201</v>
      </c>
    </row>
    <row r="268" spans="1:3">
      <c r="A268" s="234" t="str">
        <f>"14701"</f>
        <v>14701</v>
      </c>
      <c r="B268" s="234" t="s">
        <v>5297</v>
      </c>
      <c r="C268" s="234" t="s">
        <v>5297</v>
      </c>
    </row>
    <row r="269" spans="1:3">
      <c r="A269" s="244" t="s">
        <v>5301</v>
      </c>
      <c r="B269" s="234" t="s">
        <v>5302</v>
      </c>
    </row>
    <row r="270" spans="1:3">
      <c r="A270" s="234" t="s">
        <v>5303</v>
      </c>
      <c r="B270" s="234" t="s">
        <v>5304</v>
      </c>
    </row>
  </sheetData>
  <autoFilter ref="A1:D261"/>
  <phoneticPr fontId="21" type="noConversion"/>
  <printOptions horizontalCentered="1"/>
  <pageMargins left="0.15748031496062992" right="0.15748031496062992" top="0.19685039370078741" bottom="0.19685039370078741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"/>
  <sheetViews>
    <sheetView workbookViewId="0">
      <pane ySplit="1" topLeftCell="A2" activePane="bottomLeft" state="frozen"/>
      <selection pane="bottomLeft" activeCell="I137" sqref="I137"/>
    </sheetView>
  </sheetViews>
  <sheetFormatPr defaultRowHeight="12.75"/>
  <cols>
    <col min="1" max="1" width="7" style="33" customWidth="1"/>
    <col min="2" max="2" width="36" style="33" bestFit="1" customWidth="1"/>
    <col min="3" max="3" width="10.28515625" style="33" bestFit="1" customWidth="1"/>
    <col min="4" max="4" width="9.140625" style="33"/>
    <col min="5" max="5" width="16.85546875" style="33" bestFit="1" customWidth="1"/>
    <col min="6" max="16384" width="9.140625" style="33"/>
  </cols>
  <sheetData>
    <row r="1" spans="1:3" ht="14.25">
      <c r="A1" s="184" t="s">
        <v>883</v>
      </c>
      <c r="B1" s="34" t="s">
        <v>884</v>
      </c>
    </row>
    <row r="2" spans="1:3">
      <c r="A2" s="33" t="s">
        <v>4396</v>
      </c>
      <c r="B2" s="33" t="s">
        <v>4397</v>
      </c>
    </row>
    <row r="3" spans="1:3">
      <c r="A3" s="33" t="s">
        <v>4398</v>
      </c>
      <c r="B3" s="33" t="s">
        <v>4622</v>
      </c>
    </row>
    <row r="4" spans="1:3">
      <c r="A4" s="33" t="s">
        <v>4399</v>
      </c>
      <c r="B4" s="33" t="s">
        <v>4623</v>
      </c>
    </row>
    <row r="5" spans="1:3">
      <c r="A5" s="33">
        <v>23</v>
      </c>
      <c r="B5" s="33" t="s">
        <v>4400</v>
      </c>
    </row>
    <row r="6" spans="1:3">
      <c r="A6" s="33" t="s">
        <v>4378</v>
      </c>
      <c r="B6" s="33" t="s">
        <v>4624</v>
      </c>
      <c r="C6" s="33" t="s">
        <v>4529</v>
      </c>
    </row>
    <row r="7" spans="1:3">
      <c r="A7" s="33">
        <v>12</v>
      </c>
      <c r="B7" s="33" t="s">
        <v>4401</v>
      </c>
    </row>
    <row r="8" spans="1:3">
      <c r="A8" s="33">
        <v>44</v>
      </c>
      <c r="B8" s="33" t="s">
        <v>4402</v>
      </c>
    </row>
    <row r="9" spans="1:3">
      <c r="A9" s="33">
        <v>26</v>
      </c>
      <c r="B9" s="33" t="s">
        <v>4403</v>
      </c>
    </row>
    <row r="10" spans="1:3">
      <c r="A10" s="33">
        <v>28</v>
      </c>
      <c r="B10" s="33" t="s">
        <v>4403</v>
      </c>
    </row>
    <row r="11" spans="1:3">
      <c r="A11" s="33" t="s">
        <v>4404</v>
      </c>
      <c r="B11" s="33" t="s">
        <v>4404</v>
      </c>
    </row>
    <row r="12" spans="1:3">
      <c r="A12" s="33" t="s">
        <v>4405</v>
      </c>
      <c r="B12" s="33" t="s">
        <v>4408</v>
      </c>
    </row>
    <row r="13" spans="1:3">
      <c r="A13" s="33" t="s">
        <v>4407</v>
      </c>
      <c r="B13" s="33" t="s">
        <v>4406</v>
      </c>
    </row>
    <row r="14" spans="1:3">
      <c r="A14" s="33">
        <v>11</v>
      </c>
      <c r="B14" s="33" t="s">
        <v>4409</v>
      </c>
    </row>
    <row r="15" spans="1:3">
      <c r="A15" s="33">
        <v>33</v>
      </c>
      <c r="B15" s="33" t="s">
        <v>4409</v>
      </c>
    </row>
    <row r="16" spans="1:3">
      <c r="A16" s="33" t="s">
        <v>4610</v>
      </c>
      <c r="B16" s="33" t="s">
        <v>4633</v>
      </c>
    </row>
    <row r="17" spans="1:3">
      <c r="A17" s="33" t="s">
        <v>4383</v>
      </c>
      <c r="B17" s="33" t="s">
        <v>4634</v>
      </c>
    </row>
    <row r="18" spans="1:3">
      <c r="A18" s="33">
        <v>80</v>
      </c>
      <c r="B18" s="33" t="s">
        <v>4410</v>
      </c>
    </row>
    <row r="19" spans="1:3">
      <c r="A19" s="33">
        <v>82</v>
      </c>
      <c r="B19" s="33" t="s">
        <v>4411</v>
      </c>
    </row>
    <row r="20" spans="1:3">
      <c r="A20" s="33">
        <v>84</v>
      </c>
      <c r="B20" s="33" t="s">
        <v>4412</v>
      </c>
    </row>
    <row r="21" spans="1:3">
      <c r="A21" s="33">
        <v>81</v>
      </c>
      <c r="B21" s="33" t="s">
        <v>4413</v>
      </c>
    </row>
    <row r="22" spans="1:3">
      <c r="A22" s="33" t="s">
        <v>4414</v>
      </c>
      <c r="B22" s="33" t="s">
        <v>4625</v>
      </c>
      <c r="C22" s="33" t="s">
        <v>4529</v>
      </c>
    </row>
    <row r="23" spans="1:3">
      <c r="A23" s="33" t="s">
        <v>4384</v>
      </c>
      <c r="B23" s="33" t="s">
        <v>4621</v>
      </c>
      <c r="C23" s="33" t="s">
        <v>4529</v>
      </c>
    </row>
    <row r="24" spans="1:3">
      <c r="A24" s="33">
        <v>97</v>
      </c>
      <c r="B24" s="33" t="s">
        <v>4415</v>
      </c>
    </row>
    <row r="25" spans="1:3">
      <c r="A25" s="33">
        <v>98</v>
      </c>
      <c r="B25" s="33" t="s">
        <v>4416</v>
      </c>
    </row>
    <row r="26" spans="1:3">
      <c r="A26" s="33">
        <v>91</v>
      </c>
      <c r="B26" s="33" t="s">
        <v>4417</v>
      </c>
    </row>
    <row r="27" spans="1:3">
      <c r="A27" s="33" t="s">
        <v>4385</v>
      </c>
      <c r="B27" s="33" t="s">
        <v>4418</v>
      </c>
    </row>
    <row r="28" spans="1:3">
      <c r="A28" s="33">
        <v>27</v>
      </c>
      <c r="B28" s="33" t="s">
        <v>4419</v>
      </c>
    </row>
    <row r="29" spans="1:3">
      <c r="A29" s="33" t="s">
        <v>4387</v>
      </c>
      <c r="B29" s="33" t="s">
        <v>4626</v>
      </c>
      <c r="C29" s="33" t="s">
        <v>4529</v>
      </c>
    </row>
    <row r="30" spans="1:3">
      <c r="A30" s="33" t="s">
        <v>4420</v>
      </c>
      <c r="B30" s="33" t="s">
        <v>4421</v>
      </c>
    </row>
    <row r="31" spans="1:3">
      <c r="A31" s="33">
        <v>69</v>
      </c>
      <c r="B31" s="33" t="s">
        <v>4422</v>
      </c>
    </row>
    <row r="32" spans="1:3">
      <c r="A32" s="33">
        <v>87</v>
      </c>
      <c r="B32" s="33" t="s">
        <v>4422</v>
      </c>
    </row>
    <row r="33" spans="1:3">
      <c r="A33" s="33">
        <v>92</v>
      </c>
      <c r="B33" s="33" t="s">
        <v>4422</v>
      </c>
    </row>
    <row r="34" spans="1:3">
      <c r="A34" s="33">
        <v>89</v>
      </c>
      <c r="B34" s="33" t="s">
        <v>4423</v>
      </c>
    </row>
    <row r="35" spans="1:3">
      <c r="A35" s="33">
        <v>90</v>
      </c>
      <c r="B35" s="33" t="s">
        <v>4423</v>
      </c>
    </row>
    <row r="36" spans="1:3">
      <c r="A36" s="33">
        <v>94</v>
      </c>
      <c r="B36" s="33" t="s">
        <v>4423</v>
      </c>
    </row>
    <row r="37" spans="1:3">
      <c r="A37" s="33">
        <v>93</v>
      </c>
      <c r="B37" s="33" t="s">
        <v>4422</v>
      </c>
    </row>
    <row r="38" spans="1:3">
      <c r="A38" s="33">
        <v>77</v>
      </c>
      <c r="B38" s="33" t="s">
        <v>4424</v>
      </c>
    </row>
    <row r="39" spans="1:3">
      <c r="A39" s="33">
        <v>66</v>
      </c>
      <c r="B39" s="33" t="s">
        <v>4425</v>
      </c>
    </row>
    <row r="40" spans="1:3">
      <c r="A40" s="33">
        <v>78</v>
      </c>
      <c r="B40" s="33" t="s">
        <v>4430</v>
      </c>
    </row>
    <row r="41" spans="1:3">
      <c r="A41" s="33">
        <v>96</v>
      </c>
      <c r="B41" s="33" t="s">
        <v>4430</v>
      </c>
    </row>
    <row r="42" spans="1:3">
      <c r="A42" s="33">
        <v>88</v>
      </c>
      <c r="B42" s="33" t="s">
        <v>4431</v>
      </c>
    </row>
    <row r="43" spans="1:3">
      <c r="A43" s="33" t="s">
        <v>4426</v>
      </c>
      <c r="B43" s="33" t="s">
        <v>4432</v>
      </c>
    </row>
    <row r="44" spans="1:3">
      <c r="A44" s="33" t="s">
        <v>4382</v>
      </c>
      <c r="B44" s="33" t="s">
        <v>4627</v>
      </c>
      <c r="C44" s="33" t="s">
        <v>4529</v>
      </c>
    </row>
    <row r="45" spans="1:3">
      <c r="A45" s="33" t="s">
        <v>4427</v>
      </c>
      <c r="B45" s="33" t="s">
        <v>4433</v>
      </c>
    </row>
    <row r="46" spans="1:3">
      <c r="A46" s="33" t="s">
        <v>4428</v>
      </c>
      <c r="B46" s="33" t="s">
        <v>4434</v>
      </c>
    </row>
    <row r="47" spans="1:3">
      <c r="A47" s="33" t="s">
        <v>4429</v>
      </c>
      <c r="B47" s="33" t="s">
        <v>4435</v>
      </c>
    </row>
    <row r="48" spans="1:3">
      <c r="A48" s="33" t="s">
        <v>4436</v>
      </c>
      <c r="B48" s="33" t="s">
        <v>4441</v>
      </c>
    </row>
    <row r="49" spans="1:3">
      <c r="A49" s="33" t="s">
        <v>4437</v>
      </c>
      <c r="B49" s="33" t="s">
        <v>4442</v>
      </c>
    </row>
    <row r="50" spans="1:3">
      <c r="A50" s="33" t="s">
        <v>4438</v>
      </c>
      <c r="B50" s="33" t="s">
        <v>4443</v>
      </c>
    </row>
    <row r="51" spans="1:3">
      <c r="A51" s="33" t="s">
        <v>4439</v>
      </c>
      <c r="B51" s="33" t="s">
        <v>4444</v>
      </c>
    </row>
    <row r="52" spans="1:3">
      <c r="A52" s="33" t="s">
        <v>4379</v>
      </c>
      <c r="B52" s="33" t="s">
        <v>4635</v>
      </c>
      <c r="C52" s="33" t="s">
        <v>4529</v>
      </c>
    </row>
    <row r="53" spans="1:3">
      <c r="A53" s="33" t="s">
        <v>4440</v>
      </c>
      <c r="B53" s="33" t="s">
        <v>4445</v>
      </c>
    </row>
    <row r="54" spans="1:3">
      <c r="A54" s="33">
        <v>64</v>
      </c>
      <c r="B54" s="33" t="s">
        <v>4446</v>
      </c>
    </row>
    <row r="55" spans="1:3">
      <c r="A55" s="33">
        <v>68</v>
      </c>
      <c r="B55" s="33" t="s">
        <v>4447</v>
      </c>
    </row>
    <row r="56" spans="1:3">
      <c r="A56" s="33">
        <v>83</v>
      </c>
      <c r="B56" s="33" t="s">
        <v>4448</v>
      </c>
    </row>
    <row r="57" spans="1:3">
      <c r="A57" s="33">
        <v>95</v>
      </c>
      <c r="B57" s="33" t="s">
        <v>4449</v>
      </c>
    </row>
    <row r="58" spans="1:3">
      <c r="A58" s="33">
        <v>67</v>
      </c>
      <c r="B58" s="33" t="s">
        <v>4450</v>
      </c>
    </row>
    <row r="59" spans="1:3">
      <c r="A59" s="33">
        <v>74</v>
      </c>
      <c r="B59" s="33" t="s">
        <v>4451</v>
      </c>
    </row>
    <row r="60" spans="1:3">
      <c r="A60" s="33">
        <v>76</v>
      </c>
      <c r="B60" s="33" t="s">
        <v>4452</v>
      </c>
    </row>
    <row r="61" spans="1:3">
      <c r="A61" s="33">
        <v>71</v>
      </c>
      <c r="B61" s="33" t="s">
        <v>4453</v>
      </c>
    </row>
    <row r="62" spans="1:3">
      <c r="A62" s="33">
        <v>72</v>
      </c>
      <c r="B62" s="33" t="s">
        <v>4454</v>
      </c>
    </row>
    <row r="63" spans="1:3">
      <c r="A63" s="33">
        <v>73</v>
      </c>
      <c r="B63" s="33" t="s">
        <v>4463</v>
      </c>
    </row>
    <row r="64" spans="1:3">
      <c r="A64" s="33">
        <v>79</v>
      </c>
      <c r="B64" s="33" t="s">
        <v>4464</v>
      </c>
    </row>
    <row r="65" spans="1:3">
      <c r="A65" s="33">
        <v>75</v>
      </c>
      <c r="B65" s="33" t="s">
        <v>4465</v>
      </c>
    </row>
    <row r="66" spans="1:3">
      <c r="A66" s="33" t="s">
        <v>4455</v>
      </c>
      <c r="B66" s="33" t="s">
        <v>4466</v>
      </c>
    </row>
    <row r="67" spans="1:3">
      <c r="A67" s="33" t="s">
        <v>4456</v>
      </c>
      <c r="B67" s="33" t="s">
        <v>4467</v>
      </c>
    </row>
    <row r="68" spans="1:3">
      <c r="A68" s="33" t="s">
        <v>4457</v>
      </c>
      <c r="B68" s="33" t="s">
        <v>4468</v>
      </c>
    </row>
    <row r="69" spans="1:3">
      <c r="A69" s="33" t="s">
        <v>4458</v>
      </c>
      <c r="B69" s="33" t="s">
        <v>4469</v>
      </c>
    </row>
    <row r="70" spans="1:3">
      <c r="A70" s="33" t="s">
        <v>4459</v>
      </c>
      <c r="B70" s="33" t="s">
        <v>4636</v>
      </c>
      <c r="C70" s="33" t="s">
        <v>4529</v>
      </c>
    </row>
    <row r="71" spans="1:3">
      <c r="A71" s="33" t="s">
        <v>413</v>
      </c>
      <c r="B71" s="33" t="s">
        <v>4471</v>
      </c>
    </row>
    <row r="72" spans="1:3">
      <c r="A72" s="33" t="s">
        <v>487</v>
      </c>
      <c r="B72" s="33" t="s">
        <v>4472</v>
      </c>
    </row>
    <row r="73" spans="1:3">
      <c r="A73" s="33" t="s">
        <v>4460</v>
      </c>
      <c r="B73" s="33" t="s">
        <v>4473</v>
      </c>
    </row>
    <row r="74" spans="1:3">
      <c r="A74" s="33" t="s">
        <v>2563</v>
      </c>
      <c r="B74" s="33" t="s">
        <v>4470</v>
      </c>
    </row>
    <row r="75" spans="1:3">
      <c r="A75" s="33" t="s">
        <v>4380</v>
      </c>
      <c r="B75" s="33" t="s">
        <v>4632</v>
      </c>
      <c r="C75" s="33" t="s">
        <v>4529</v>
      </c>
    </row>
    <row r="76" spans="1:3">
      <c r="A76" s="33" t="s">
        <v>4461</v>
      </c>
      <c r="B76" s="33" t="s">
        <v>4630</v>
      </c>
      <c r="C76" s="33" t="s">
        <v>4529</v>
      </c>
    </row>
    <row r="77" spans="1:3">
      <c r="A77" s="33" t="s">
        <v>4462</v>
      </c>
      <c r="B77" s="33" t="s">
        <v>4631</v>
      </c>
      <c r="C77" s="33" t="s">
        <v>4529</v>
      </c>
    </row>
    <row r="78" spans="1:3">
      <c r="A78" s="33" t="s">
        <v>4474</v>
      </c>
      <c r="B78" s="33" t="s">
        <v>4481</v>
      </c>
    </row>
    <row r="79" spans="1:3">
      <c r="A79" s="33" t="s">
        <v>4388</v>
      </c>
      <c r="B79" s="33" t="s">
        <v>4482</v>
      </c>
    </row>
    <row r="80" spans="1:3">
      <c r="A80" s="33">
        <v>21</v>
      </c>
      <c r="B80" s="33" t="s">
        <v>4483</v>
      </c>
    </row>
    <row r="81" spans="1:2">
      <c r="A81" s="33">
        <v>5</v>
      </c>
      <c r="B81" s="33" t="s">
        <v>4484</v>
      </c>
    </row>
    <row r="82" spans="1:2">
      <c r="A82" s="33">
        <v>29</v>
      </c>
      <c r="B82" s="33" t="s">
        <v>4485</v>
      </c>
    </row>
    <row r="83" spans="1:2">
      <c r="A83" s="33">
        <v>22</v>
      </c>
      <c r="B83" s="33" t="s">
        <v>4486</v>
      </c>
    </row>
    <row r="84" spans="1:2">
      <c r="A84" s="33" t="s">
        <v>4475</v>
      </c>
      <c r="B84" s="33" t="s">
        <v>4487</v>
      </c>
    </row>
    <row r="85" spans="1:2">
      <c r="A85" s="33" t="s">
        <v>4386</v>
      </c>
      <c r="B85" s="33" t="s">
        <v>4488</v>
      </c>
    </row>
    <row r="86" spans="1:2">
      <c r="A86" s="33" t="s">
        <v>4476</v>
      </c>
      <c r="B86" s="33" t="s">
        <v>4489</v>
      </c>
    </row>
    <row r="87" spans="1:2">
      <c r="A87" s="33" t="s">
        <v>4477</v>
      </c>
      <c r="B87" s="33" t="s">
        <v>4490</v>
      </c>
    </row>
    <row r="88" spans="1:2">
      <c r="A88" s="33" t="s">
        <v>4478</v>
      </c>
      <c r="B88" s="33" t="s">
        <v>4491</v>
      </c>
    </row>
    <row r="89" spans="1:2">
      <c r="A89" s="33" t="s">
        <v>4479</v>
      </c>
      <c r="B89" s="33" t="s">
        <v>4492</v>
      </c>
    </row>
    <row r="90" spans="1:2">
      <c r="A90" s="33" t="s">
        <v>4480</v>
      </c>
      <c r="B90" s="33" t="s">
        <v>4493</v>
      </c>
    </row>
    <row r="91" spans="1:2">
      <c r="A91" s="33" t="s">
        <v>4494</v>
      </c>
      <c r="B91" s="33" t="s">
        <v>4493</v>
      </c>
    </row>
    <row r="92" spans="1:2">
      <c r="A92" s="33" t="s">
        <v>4495</v>
      </c>
      <c r="B92" s="33" t="s">
        <v>4504</v>
      </c>
    </row>
    <row r="93" spans="1:2">
      <c r="A93" s="33" t="s">
        <v>4496</v>
      </c>
      <c r="B93" s="33" t="s">
        <v>4505</v>
      </c>
    </row>
    <row r="94" spans="1:2">
      <c r="A94" s="33" t="s">
        <v>4497</v>
      </c>
      <c r="B94" s="33" t="s">
        <v>4506</v>
      </c>
    </row>
    <row r="95" spans="1:2">
      <c r="A95" s="33" t="s">
        <v>4498</v>
      </c>
      <c r="B95" s="33" t="s">
        <v>4507</v>
      </c>
    </row>
    <row r="96" spans="1:2">
      <c r="A96" s="33" t="s">
        <v>4499</v>
      </c>
      <c r="B96" s="33" t="s">
        <v>4508</v>
      </c>
    </row>
    <row r="97" spans="1:2">
      <c r="A97" s="33" t="s">
        <v>4500</v>
      </c>
      <c r="B97" s="33" t="s">
        <v>4509</v>
      </c>
    </row>
    <row r="98" spans="1:2">
      <c r="A98" s="33" t="s">
        <v>4389</v>
      </c>
      <c r="B98" s="33" t="s">
        <v>4509</v>
      </c>
    </row>
    <row r="99" spans="1:2">
      <c r="A99" s="33" t="s">
        <v>4501</v>
      </c>
      <c r="B99" s="33" t="s">
        <v>4510</v>
      </c>
    </row>
    <row r="100" spans="1:2">
      <c r="A100" s="33" t="s">
        <v>4502</v>
      </c>
      <c r="B100" s="33" t="s">
        <v>4510</v>
      </c>
    </row>
    <row r="101" spans="1:2">
      <c r="A101" s="33">
        <v>24</v>
      </c>
      <c r="B101" s="33" t="s">
        <v>4511</v>
      </c>
    </row>
    <row r="102" spans="1:2">
      <c r="A102" s="33">
        <v>25</v>
      </c>
      <c r="B102" s="33" t="s">
        <v>4512</v>
      </c>
    </row>
    <row r="103" spans="1:2">
      <c r="A103" s="33">
        <v>31</v>
      </c>
      <c r="B103" s="33" t="s">
        <v>4513</v>
      </c>
    </row>
    <row r="104" spans="1:2">
      <c r="A104" s="33" t="s">
        <v>4503</v>
      </c>
      <c r="B104" s="33" t="s">
        <v>4514</v>
      </c>
    </row>
    <row r="105" spans="1:2">
      <c r="A105" s="33">
        <v>86</v>
      </c>
      <c r="B105" s="33" t="s">
        <v>4515</v>
      </c>
    </row>
    <row r="106" spans="1:2">
      <c r="A106" s="33">
        <v>61</v>
      </c>
      <c r="B106" s="33" t="s">
        <v>4519</v>
      </c>
    </row>
    <row r="107" spans="1:2">
      <c r="A107" s="33">
        <v>62</v>
      </c>
      <c r="B107" s="33" t="s">
        <v>4519</v>
      </c>
    </row>
    <row r="108" spans="1:2">
      <c r="A108" s="33">
        <v>63</v>
      </c>
      <c r="B108" s="33" t="s">
        <v>4520</v>
      </c>
    </row>
    <row r="109" spans="1:2">
      <c r="A109" s="33">
        <v>99</v>
      </c>
      <c r="B109" s="33" t="s">
        <v>4520</v>
      </c>
    </row>
    <row r="110" spans="1:2">
      <c r="A110" s="33">
        <v>65</v>
      </c>
      <c r="B110" s="33" t="s">
        <v>4523</v>
      </c>
    </row>
    <row r="111" spans="1:2">
      <c r="A111" s="33">
        <v>70</v>
      </c>
      <c r="B111" s="33" t="s">
        <v>4522</v>
      </c>
    </row>
    <row r="112" spans="1:2">
      <c r="A112" s="33" t="s">
        <v>4516</v>
      </c>
      <c r="B112" s="33" t="s">
        <v>4521</v>
      </c>
    </row>
    <row r="113" spans="1:4">
      <c r="A113" s="33">
        <v>85</v>
      </c>
      <c r="B113" s="33" t="s">
        <v>4523</v>
      </c>
    </row>
    <row r="114" spans="1:4">
      <c r="A114" s="33" t="s">
        <v>4517</v>
      </c>
      <c r="B114" s="33" t="s">
        <v>4524</v>
      </c>
    </row>
    <row r="115" spans="1:4">
      <c r="A115" s="33" t="s">
        <v>4381</v>
      </c>
      <c r="B115" s="33" t="s">
        <v>4628</v>
      </c>
    </row>
    <row r="116" spans="1:4">
      <c r="A116" s="33" t="s">
        <v>4518</v>
      </c>
      <c r="B116" s="33" t="s">
        <v>4518</v>
      </c>
    </row>
    <row r="117" spans="1:4">
      <c r="A117" s="33" t="s">
        <v>4394</v>
      </c>
      <c r="B117" s="33" t="s">
        <v>4629</v>
      </c>
      <c r="C117" s="33" t="s">
        <v>4529</v>
      </c>
      <c r="D117" s="33">
        <v>0</v>
      </c>
    </row>
    <row r="118" spans="1:4">
      <c r="A118" s="33" t="s">
        <v>4395</v>
      </c>
      <c r="B118" s="33" t="s">
        <v>2630</v>
      </c>
      <c r="C118" s="33" t="s">
        <v>4529</v>
      </c>
      <c r="D118" s="33">
        <v>0</v>
      </c>
    </row>
    <row r="119" spans="1:4">
      <c r="A119" s="33" t="s">
        <v>4526</v>
      </c>
      <c r="B119" s="33" t="s">
        <v>4527</v>
      </c>
      <c r="C119" s="33" t="s">
        <v>4529</v>
      </c>
    </row>
    <row r="120" spans="1:4">
      <c r="A120" s="33" t="s">
        <v>4482</v>
      </c>
      <c r="B120" s="33" t="s">
        <v>4528</v>
      </c>
      <c r="C120" s="33" t="s">
        <v>4529</v>
      </c>
      <c r="D120" s="33">
        <v>0</v>
      </c>
    </row>
    <row r="121" spans="1:4">
      <c r="A121" s="33" t="s">
        <v>4390</v>
      </c>
      <c r="C121" s="33" t="s">
        <v>4529</v>
      </c>
      <c r="D121" s="33">
        <v>0</v>
      </c>
    </row>
    <row r="122" spans="1:4">
      <c r="A122" s="33" t="s">
        <v>4391</v>
      </c>
      <c r="C122" s="33" t="s">
        <v>4529</v>
      </c>
      <c r="D122" s="33">
        <v>0</v>
      </c>
    </row>
    <row r="123" spans="1:4">
      <c r="A123" s="33" t="s">
        <v>4392</v>
      </c>
      <c r="B123" s="33" t="s">
        <v>4525</v>
      </c>
      <c r="C123" s="33" t="s">
        <v>4529</v>
      </c>
      <c r="D123" s="33">
        <v>0</v>
      </c>
    </row>
    <row r="124" spans="1:4">
      <c r="A124" s="33" t="s">
        <v>4393</v>
      </c>
      <c r="C124" s="33" t="s">
        <v>4529</v>
      </c>
      <c r="D124" s="33">
        <v>0</v>
      </c>
    </row>
    <row r="125" spans="1:4">
      <c r="A125" s="33" t="s">
        <v>4726</v>
      </c>
      <c r="B125" s="33" t="s">
        <v>4727</v>
      </c>
    </row>
    <row r="126" spans="1:4">
      <c r="A126" s="33" t="s">
        <v>5184</v>
      </c>
      <c r="B126" s="33" t="s">
        <v>5183</v>
      </c>
    </row>
  </sheetData>
  <autoFilter ref="A1:B132"/>
  <printOptions horizontalCentered="1"/>
  <pageMargins left="0.15748031496062992" right="0.15748031496062992" top="0.19685039370078741" bottom="0.19685039370078741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6"/>
  <sheetViews>
    <sheetView topLeftCell="B1" workbookViewId="0">
      <selection activeCell="I45" sqref="I45"/>
    </sheetView>
  </sheetViews>
  <sheetFormatPr defaultRowHeight="12.75"/>
  <cols>
    <col min="1" max="1" width="9.140625" style="16"/>
    <col min="2" max="2" width="16.42578125" style="33" bestFit="1" customWidth="1"/>
    <col min="3" max="3" width="69.42578125" style="16" bestFit="1" customWidth="1"/>
    <col min="4" max="4" width="13.5703125" style="16" customWidth="1"/>
    <col min="5" max="5" width="13.7109375" style="16" bestFit="1" customWidth="1"/>
    <col min="6" max="6" width="51.42578125" style="16" bestFit="1" customWidth="1"/>
    <col min="7" max="10" width="10.140625" style="16" customWidth="1"/>
    <col min="11" max="16384" width="9.140625" style="16"/>
  </cols>
  <sheetData>
    <row r="1" spans="2:10">
      <c r="B1" s="99" t="str">
        <f>"01"</f>
        <v>01</v>
      </c>
      <c r="C1" s="18" t="s">
        <v>4789</v>
      </c>
      <c r="D1" s="18"/>
      <c r="E1" s="48" t="str">
        <f>"01"</f>
        <v>01</v>
      </c>
      <c r="F1" s="19" t="s">
        <v>4875</v>
      </c>
      <c r="G1" s="20"/>
      <c r="H1" s="20"/>
      <c r="I1" s="20"/>
      <c r="J1" s="21"/>
    </row>
    <row r="2" spans="2:10">
      <c r="B2" s="100" t="str">
        <f>"02"</f>
        <v>02</v>
      </c>
      <c r="C2" s="22" t="s">
        <v>4790</v>
      </c>
      <c r="D2" s="22"/>
      <c r="E2" s="49" t="str">
        <f>"02"</f>
        <v>02</v>
      </c>
      <c r="F2" s="23" t="s">
        <v>4876</v>
      </c>
      <c r="G2" s="24"/>
      <c r="H2" s="24"/>
      <c r="I2" s="24"/>
      <c r="J2" s="25"/>
    </row>
    <row r="3" spans="2:10">
      <c r="B3" s="100" t="str">
        <f>"03"</f>
        <v>03</v>
      </c>
      <c r="C3" s="22" t="s">
        <v>4791</v>
      </c>
      <c r="D3" s="22"/>
      <c r="E3" s="49" t="str">
        <f>"10"</f>
        <v>10</v>
      </c>
      <c r="F3" s="23" t="s">
        <v>4877</v>
      </c>
      <c r="G3" s="24"/>
      <c r="H3" s="24"/>
      <c r="I3" s="24"/>
      <c r="J3" s="25"/>
    </row>
    <row r="4" spans="2:10">
      <c r="B4" s="100" t="str">
        <f>"04"</f>
        <v>04</v>
      </c>
      <c r="C4" s="22" t="s">
        <v>4792</v>
      </c>
      <c r="D4" s="22"/>
      <c r="E4" s="49" t="str">
        <f>"11"</f>
        <v>11</v>
      </c>
      <c r="F4" s="23" t="s">
        <v>4878</v>
      </c>
      <c r="G4" s="24"/>
      <c r="H4" s="24"/>
      <c r="I4" s="24"/>
      <c r="J4" s="25"/>
    </row>
    <row r="5" spans="2:10">
      <c r="B5" s="100" t="str">
        <f>"05"</f>
        <v>05</v>
      </c>
      <c r="C5" s="22" t="s">
        <v>4793</v>
      </c>
      <c r="D5" s="22"/>
      <c r="E5" s="49" t="str">
        <f>"12"</f>
        <v>12</v>
      </c>
      <c r="F5" s="23" t="s">
        <v>4879</v>
      </c>
      <c r="G5" s="24"/>
      <c r="H5" s="24"/>
      <c r="I5" s="24"/>
      <c r="J5" s="25"/>
    </row>
    <row r="6" spans="2:10">
      <c r="B6" s="49" t="str">
        <f>"06"</f>
        <v>06</v>
      </c>
      <c r="C6" s="22" t="s">
        <v>4794</v>
      </c>
      <c r="D6" s="25"/>
      <c r="E6" s="49" t="str">
        <f>"13"</f>
        <v>13</v>
      </c>
      <c r="F6" s="23" t="s">
        <v>4880</v>
      </c>
      <c r="G6" s="24"/>
      <c r="H6" s="24"/>
      <c r="I6" s="24"/>
      <c r="J6" s="25"/>
    </row>
    <row r="7" spans="2:10">
      <c r="B7" s="100" t="str">
        <f>"07"</f>
        <v>07</v>
      </c>
      <c r="C7" s="22" t="s">
        <v>4795</v>
      </c>
      <c r="D7" s="24"/>
      <c r="E7" s="49" t="str">
        <f>"14"</f>
        <v>14</v>
      </c>
      <c r="F7" s="23" t="s">
        <v>4881</v>
      </c>
      <c r="G7" s="24"/>
      <c r="H7" s="24"/>
      <c r="I7" s="24"/>
      <c r="J7" s="25"/>
    </row>
    <row r="8" spans="2:10">
      <c r="B8" s="100" t="str">
        <f>"08"</f>
        <v>08</v>
      </c>
      <c r="C8" s="22" t="s">
        <v>4796</v>
      </c>
      <c r="D8" s="25"/>
      <c r="E8" s="49" t="str">
        <f>"15"</f>
        <v>15</v>
      </c>
      <c r="F8" s="23" t="s">
        <v>4882</v>
      </c>
      <c r="G8" s="24"/>
      <c r="H8" s="24"/>
      <c r="I8" s="24"/>
      <c r="J8" s="25"/>
    </row>
    <row r="9" spans="2:10">
      <c r="B9" s="100" t="str">
        <f>"10"</f>
        <v>10</v>
      </c>
      <c r="C9" s="22" t="s">
        <v>4797</v>
      </c>
      <c r="D9" s="24"/>
      <c r="E9" s="49" t="str">
        <f>"16"</f>
        <v>16</v>
      </c>
      <c r="F9" s="23" t="s">
        <v>4883</v>
      </c>
      <c r="G9" s="24"/>
      <c r="H9" s="24"/>
      <c r="I9" s="24"/>
      <c r="J9" s="25"/>
    </row>
    <row r="10" spans="2:10">
      <c r="B10" s="100" t="str">
        <f>"11"</f>
        <v>11</v>
      </c>
      <c r="C10" s="22" t="s">
        <v>4798</v>
      </c>
      <c r="D10" s="24"/>
      <c r="E10" s="49" t="str">
        <f>"17"</f>
        <v>17</v>
      </c>
      <c r="F10" s="23" t="s">
        <v>4884</v>
      </c>
      <c r="G10" s="24"/>
      <c r="H10" s="24"/>
      <c r="I10" s="24"/>
      <c r="J10" s="25"/>
    </row>
    <row r="11" spans="2:10">
      <c r="B11" s="100" t="str">
        <f>"13"</f>
        <v>13</v>
      </c>
      <c r="C11" s="22" t="s">
        <v>4799</v>
      </c>
      <c r="D11" s="24"/>
      <c r="E11" s="49" t="str">
        <f>"18"</f>
        <v>18</v>
      </c>
      <c r="F11" s="23" t="s">
        <v>4885</v>
      </c>
      <c r="G11" s="24"/>
      <c r="H11" s="24"/>
      <c r="I11" s="24"/>
      <c r="J11" s="25"/>
    </row>
    <row r="12" spans="2:10">
      <c r="B12" s="100" t="str">
        <f>"14"</f>
        <v>14</v>
      </c>
      <c r="C12" s="22" t="s">
        <v>4800</v>
      </c>
      <c r="D12" s="24"/>
      <c r="E12" s="49" t="str">
        <f>"19"</f>
        <v>19</v>
      </c>
      <c r="F12" s="23" t="s">
        <v>4886</v>
      </c>
      <c r="G12" s="24"/>
      <c r="H12" s="24"/>
      <c r="I12" s="24"/>
      <c r="J12" s="25"/>
    </row>
    <row r="13" spans="2:10">
      <c r="B13" s="100" t="str">
        <f>"15"</f>
        <v>15</v>
      </c>
      <c r="C13" s="22" t="s">
        <v>4801</v>
      </c>
      <c r="D13" s="24"/>
      <c r="E13" s="102" t="str">
        <f>"31"</f>
        <v>31</v>
      </c>
      <c r="F13" s="23" t="s">
        <v>4887</v>
      </c>
      <c r="G13" s="24"/>
      <c r="H13" s="24"/>
      <c r="I13" s="24"/>
      <c r="J13" s="25"/>
    </row>
    <row r="14" spans="2:10">
      <c r="B14" s="100" t="str">
        <f>"17"</f>
        <v>17</v>
      </c>
      <c r="C14" s="22" t="s">
        <v>4802</v>
      </c>
      <c r="D14" s="24"/>
      <c r="E14" s="49" t="str">
        <f>"32"</f>
        <v>32</v>
      </c>
      <c r="F14" s="23" t="s">
        <v>4888</v>
      </c>
      <c r="G14" s="24"/>
      <c r="H14" s="24"/>
      <c r="I14" s="24"/>
      <c r="J14" s="25"/>
    </row>
    <row r="15" spans="2:10">
      <c r="B15" s="100" t="str">
        <f>"18"</f>
        <v>18</v>
      </c>
      <c r="C15" s="22" t="s">
        <v>4803</v>
      </c>
      <c r="D15" s="24"/>
      <c r="E15" s="49" t="str">
        <f>"33"</f>
        <v>33</v>
      </c>
      <c r="F15" s="23" t="s">
        <v>4889</v>
      </c>
      <c r="G15" s="24"/>
      <c r="H15" s="24"/>
      <c r="I15" s="24"/>
      <c r="J15" s="25"/>
    </row>
    <row r="16" spans="2:10">
      <c r="B16" s="100" t="str">
        <f>"19"</f>
        <v>19</v>
      </c>
      <c r="C16" s="22" t="s">
        <v>4804</v>
      </c>
      <c r="D16" s="24"/>
      <c r="E16" s="49" t="str">
        <f>"34"</f>
        <v>34</v>
      </c>
      <c r="F16" s="23" t="s">
        <v>4890</v>
      </c>
      <c r="G16" s="24"/>
      <c r="H16" s="24"/>
      <c r="I16" s="24"/>
      <c r="J16" s="25"/>
    </row>
    <row r="17" spans="2:10">
      <c r="B17" s="100" t="str">
        <f>"1A"</f>
        <v>1A</v>
      </c>
      <c r="C17" s="22" t="s">
        <v>4805</v>
      </c>
      <c r="D17" s="25"/>
      <c r="E17" s="49" t="str">
        <f>"35"</f>
        <v>35</v>
      </c>
      <c r="F17" s="23" t="s">
        <v>4891</v>
      </c>
      <c r="G17" s="24"/>
      <c r="H17" s="24"/>
      <c r="I17" s="24"/>
      <c r="J17" s="25"/>
    </row>
    <row r="18" spans="2:10">
      <c r="B18" s="100" t="str">
        <f>"1B"</f>
        <v>1B</v>
      </c>
      <c r="C18" s="22" t="s">
        <v>4806</v>
      </c>
      <c r="D18" s="25"/>
      <c r="E18" s="49" t="str">
        <f>"36"</f>
        <v>36</v>
      </c>
      <c r="F18" s="23" t="s">
        <v>4892</v>
      </c>
      <c r="G18" s="24"/>
      <c r="H18" s="24"/>
      <c r="I18" s="24"/>
      <c r="J18" s="25"/>
    </row>
    <row r="19" spans="2:10">
      <c r="B19" s="100" t="str">
        <f>"1C"</f>
        <v>1C</v>
      </c>
      <c r="C19" s="22" t="s">
        <v>4807</v>
      </c>
      <c r="D19" s="25"/>
      <c r="E19" s="49" t="str">
        <f>"37"</f>
        <v>37</v>
      </c>
      <c r="F19" s="23" t="s">
        <v>4893</v>
      </c>
      <c r="G19" s="24"/>
      <c r="H19" s="24"/>
      <c r="I19" s="24"/>
      <c r="J19" s="25"/>
    </row>
    <row r="20" spans="2:10">
      <c r="B20" s="100" t="str">
        <f>"22"</f>
        <v>22</v>
      </c>
      <c r="C20" s="22" t="s">
        <v>4808</v>
      </c>
      <c r="D20" s="22"/>
      <c r="E20" s="49" t="str">
        <f>"38"</f>
        <v>38</v>
      </c>
      <c r="F20" s="23" t="s">
        <v>4894</v>
      </c>
      <c r="G20" s="24"/>
      <c r="H20" s="24"/>
      <c r="I20" s="24"/>
      <c r="J20" s="25"/>
    </row>
    <row r="21" spans="2:10">
      <c r="B21" s="100" t="str">
        <f>"23"</f>
        <v>23</v>
      </c>
      <c r="C21" s="22" t="s">
        <v>4809</v>
      </c>
      <c r="D21" s="22"/>
      <c r="E21" s="49" t="str">
        <f>"39"</f>
        <v>39</v>
      </c>
      <c r="F21" s="23" t="s">
        <v>4895</v>
      </c>
      <c r="G21" s="24"/>
      <c r="H21" s="24"/>
      <c r="I21" s="24"/>
      <c r="J21" s="25"/>
    </row>
    <row r="22" spans="2:10">
      <c r="B22" s="100" t="str">
        <f>"24"</f>
        <v>24</v>
      </c>
      <c r="C22" s="22" t="s">
        <v>4810</v>
      </c>
      <c r="D22" s="22"/>
      <c r="E22" s="49" t="str">
        <f>"40"</f>
        <v>40</v>
      </c>
      <c r="F22" s="23" t="s">
        <v>4896</v>
      </c>
      <c r="G22" s="24"/>
      <c r="H22" s="24"/>
      <c r="I22" s="24"/>
      <c r="J22" s="25"/>
    </row>
    <row r="23" spans="2:10">
      <c r="B23" s="100" t="str">
        <f>"25"</f>
        <v>25</v>
      </c>
      <c r="C23" s="22" t="s">
        <v>4811</v>
      </c>
      <c r="D23" s="22"/>
      <c r="E23" s="49" t="str">
        <f>"41"</f>
        <v>41</v>
      </c>
      <c r="F23" s="23" t="s">
        <v>4897</v>
      </c>
      <c r="G23" s="24"/>
      <c r="H23" s="24"/>
      <c r="I23" s="24"/>
      <c r="J23" s="25"/>
    </row>
    <row r="24" spans="2:10">
      <c r="B24" s="100" t="str">
        <f>"26"</f>
        <v>26</v>
      </c>
      <c r="C24" s="22" t="s">
        <v>4812</v>
      </c>
      <c r="D24" s="22"/>
      <c r="E24" s="49" t="str">
        <f>"42"</f>
        <v>42</v>
      </c>
      <c r="F24" s="23" t="s">
        <v>4898</v>
      </c>
      <c r="G24" s="24"/>
      <c r="H24" s="24"/>
      <c r="I24" s="24"/>
      <c r="J24" s="25"/>
    </row>
    <row r="25" spans="2:10">
      <c r="B25" s="100" t="str">
        <f>"27"</f>
        <v>27</v>
      </c>
      <c r="C25" s="22" t="s">
        <v>4813</v>
      </c>
      <c r="D25" s="22"/>
      <c r="E25" s="49" t="str">
        <f>"43"</f>
        <v>43</v>
      </c>
      <c r="F25" s="23" t="s">
        <v>4899</v>
      </c>
      <c r="G25" s="24"/>
      <c r="H25" s="24"/>
      <c r="I25" s="24"/>
      <c r="J25" s="25"/>
    </row>
    <row r="26" spans="2:10">
      <c r="B26" s="100" t="str">
        <f>"28"</f>
        <v>28</v>
      </c>
      <c r="C26" s="22" t="s">
        <v>4814</v>
      </c>
      <c r="D26" s="22"/>
      <c r="E26" s="49" t="str">
        <f>"44"</f>
        <v>44</v>
      </c>
      <c r="F26" s="23" t="s">
        <v>4900</v>
      </c>
      <c r="G26" s="24"/>
      <c r="H26" s="24"/>
      <c r="I26" s="24"/>
      <c r="J26" s="25"/>
    </row>
    <row r="27" spans="2:10">
      <c r="B27" s="100" t="str">
        <f>"29"</f>
        <v>29</v>
      </c>
      <c r="C27" s="22" t="s">
        <v>4815</v>
      </c>
      <c r="D27" s="22"/>
      <c r="E27" s="49" t="str">
        <f>"48"</f>
        <v>48</v>
      </c>
      <c r="F27" s="23" t="s">
        <v>4901</v>
      </c>
      <c r="G27" s="24"/>
      <c r="H27" s="24"/>
      <c r="I27" s="24"/>
      <c r="J27" s="25"/>
    </row>
    <row r="28" spans="2:10">
      <c r="B28" s="100" t="str">
        <f>"2A"</f>
        <v>2A</v>
      </c>
      <c r="C28" s="22" t="s">
        <v>4816</v>
      </c>
      <c r="D28" s="22"/>
      <c r="E28" s="49" t="str">
        <f>"49"</f>
        <v>49</v>
      </c>
      <c r="F28" s="23" t="s">
        <v>4902</v>
      </c>
      <c r="G28" s="24"/>
      <c r="H28" s="24"/>
      <c r="I28" s="24"/>
      <c r="J28" s="25"/>
    </row>
    <row r="29" spans="2:10">
      <c r="B29" s="100" t="str">
        <f>"30"</f>
        <v>30</v>
      </c>
      <c r="C29" s="22" t="s">
        <v>4817</v>
      </c>
      <c r="D29" s="22"/>
      <c r="E29" s="49" t="str">
        <f>"50"</f>
        <v>50</v>
      </c>
      <c r="F29" s="23" t="s">
        <v>4903</v>
      </c>
      <c r="G29" s="24"/>
      <c r="H29" s="24"/>
      <c r="I29" s="24"/>
      <c r="J29" s="25"/>
    </row>
    <row r="30" spans="2:10">
      <c r="B30" s="100" t="str">
        <f>"31"</f>
        <v>31</v>
      </c>
      <c r="C30" s="22" t="s">
        <v>4818</v>
      </c>
      <c r="D30" s="22"/>
      <c r="E30" s="49" t="str">
        <f>"52"</f>
        <v>52</v>
      </c>
      <c r="F30" s="23" t="s">
        <v>4904</v>
      </c>
      <c r="G30" s="24"/>
      <c r="H30" s="24"/>
      <c r="I30" s="24"/>
      <c r="J30" s="25"/>
    </row>
    <row r="31" spans="2:10">
      <c r="B31" s="100" t="str">
        <f>"34"</f>
        <v>34</v>
      </c>
      <c r="C31" s="22" t="s">
        <v>4819</v>
      </c>
      <c r="D31" s="22"/>
      <c r="E31" s="49" t="str">
        <f>"53"</f>
        <v>53</v>
      </c>
      <c r="F31" s="23" t="s">
        <v>4905</v>
      </c>
      <c r="G31" s="24"/>
      <c r="H31" s="24"/>
      <c r="I31" s="24"/>
      <c r="J31" s="25"/>
    </row>
    <row r="32" spans="2:10">
      <c r="B32" s="100" t="str">
        <f>"36"</f>
        <v>36</v>
      </c>
      <c r="C32" s="22" t="s">
        <v>4820</v>
      </c>
      <c r="D32" s="22"/>
      <c r="E32" s="49" t="str">
        <f>"54"</f>
        <v>54</v>
      </c>
      <c r="F32" s="23" t="s">
        <v>4906</v>
      </c>
      <c r="G32" s="24"/>
      <c r="H32" s="24"/>
      <c r="I32" s="24"/>
      <c r="J32" s="25"/>
    </row>
    <row r="33" spans="2:10">
      <c r="B33" s="100" t="str">
        <f>"37"</f>
        <v>37</v>
      </c>
      <c r="C33" s="22" t="s">
        <v>4821</v>
      </c>
      <c r="D33" s="22"/>
      <c r="E33" s="49" t="str">
        <f>"55"</f>
        <v>55</v>
      </c>
      <c r="F33" s="23" t="s">
        <v>4907</v>
      </c>
      <c r="G33" s="24"/>
      <c r="H33" s="24"/>
      <c r="I33" s="24"/>
      <c r="J33" s="25"/>
    </row>
    <row r="34" spans="2:10">
      <c r="B34" s="100" t="str">
        <f>"38"</f>
        <v>38</v>
      </c>
      <c r="C34" s="22" t="s">
        <v>4822</v>
      </c>
      <c r="D34" s="22"/>
      <c r="E34" s="49" t="str">
        <f>"57"</f>
        <v>57</v>
      </c>
      <c r="F34" s="23" t="s">
        <v>4908</v>
      </c>
      <c r="G34" s="24"/>
      <c r="H34" s="24"/>
      <c r="I34" s="24"/>
      <c r="J34" s="25"/>
    </row>
    <row r="35" spans="2:10">
      <c r="B35" s="100" t="str">
        <f>"3A"</f>
        <v>3A</v>
      </c>
      <c r="C35" s="22" t="s">
        <v>4823</v>
      </c>
      <c r="D35" s="22"/>
      <c r="E35" s="49" t="str">
        <f>"58"</f>
        <v>58</v>
      </c>
      <c r="F35" s="23" t="s">
        <v>4909</v>
      </c>
      <c r="G35" s="24"/>
      <c r="H35" s="24"/>
      <c r="I35" s="24"/>
      <c r="J35" s="25"/>
    </row>
    <row r="36" spans="2:10">
      <c r="B36" s="100" t="str">
        <f>"3B"</f>
        <v>3B</v>
      </c>
      <c r="C36" s="22" t="s">
        <v>4824</v>
      </c>
      <c r="D36" s="22"/>
      <c r="E36" s="49" t="str">
        <f>"59"</f>
        <v>59</v>
      </c>
      <c r="F36" s="23" t="s">
        <v>4910</v>
      </c>
      <c r="G36" s="24"/>
      <c r="H36" s="24"/>
      <c r="I36" s="24"/>
      <c r="J36" s="25"/>
    </row>
    <row r="37" spans="2:10">
      <c r="B37" s="100" t="str">
        <f>"3C"</f>
        <v>3C</v>
      </c>
      <c r="C37" s="22" t="s">
        <v>4825</v>
      </c>
      <c r="D37" s="22"/>
      <c r="E37" s="49" t="str">
        <f>"60"</f>
        <v>60</v>
      </c>
      <c r="F37" s="23" t="s">
        <v>4911</v>
      </c>
      <c r="G37" s="24"/>
      <c r="H37" s="24"/>
      <c r="I37" s="24"/>
      <c r="J37" s="25"/>
    </row>
    <row r="38" spans="2:10">
      <c r="B38" s="100" t="str">
        <f>"41"</f>
        <v>41</v>
      </c>
      <c r="C38" s="22" t="s">
        <v>4826</v>
      </c>
      <c r="D38" s="22"/>
      <c r="E38" s="49" t="str">
        <f>"61"</f>
        <v>61</v>
      </c>
      <c r="F38" s="23" t="s">
        <v>4912</v>
      </c>
      <c r="G38" s="24"/>
      <c r="H38" s="24"/>
      <c r="I38" s="24"/>
      <c r="J38" s="25"/>
    </row>
    <row r="39" spans="2:10">
      <c r="B39" s="100" t="str">
        <f>"45"</f>
        <v>45</v>
      </c>
      <c r="C39" s="22" t="s">
        <v>4827</v>
      </c>
      <c r="D39" s="22"/>
      <c r="E39" s="49" t="str">
        <f>"62"</f>
        <v>62</v>
      </c>
      <c r="F39" s="23" t="s">
        <v>4913</v>
      </c>
      <c r="G39" s="24"/>
      <c r="H39" s="24"/>
      <c r="I39" s="24"/>
      <c r="J39" s="25"/>
    </row>
    <row r="40" spans="2:10">
      <c r="B40" s="100" t="str">
        <f>"46"</f>
        <v>46</v>
      </c>
      <c r="C40" s="22" t="s">
        <v>4828</v>
      </c>
      <c r="D40" s="22"/>
      <c r="E40" s="49" t="str">
        <f>"63"</f>
        <v>63</v>
      </c>
      <c r="F40" s="23" t="s">
        <v>4914</v>
      </c>
      <c r="G40" s="24"/>
      <c r="H40" s="24"/>
      <c r="I40" s="24"/>
      <c r="J40" s="25"/>
    </row>
    <row r="41" spans="2:10">
      <c r="B41" s="101" t="str">
        <f>"47"</f>
        <v>47</v>
      </c>
      <c r="C41" s="22" t="s">
        <v>4829</v>
      </c>
      <c r="D41" s="22"/>
      <c r="E41" s="49" t="str">
        <f>"68"</f>
        <v>68</v>
      </c>
      <c r="F41" s="23" t="s">
        <v>4915</v>
      </c>
      <c r="G41" s="24"/>
      <c r="H41" s="24"/>
      <c r="I41" s="24"/>
      <c r="J41" s="25"/>
    </row>
    <row r="42" spans="2:10">
      <c r="B42" s="100" t="str">
        <f>"48"</f>
        <v>48</v>
      </c>
      <c r="C42" s="23" t="s">
        <v>4830</v>
      </c>
      <c r="D42" s="22"/>
      <c r="E42" s="49" t="str">
        <f>"71"</f>
        <v>71</v>
      </c>
      <c r="F42" s="23" t="s">
        <v>4916</v>
      </c>
      <c r="G42" s="24"/>
      <c r="H42" s="24"/>
      <c r="I42" s="24"/>
      <c r="J42" s="25"/>
    </row>
    <row r="43" spans="2:10">
      <c r="B43" s="100" t="str">
        <f>"49"</f>
        <v>49</v>
      </c>
      <c r="C43" s="23" t="s">
        <v>4831</v>
      </c>
      <c r="D43" s="22"/>
      <c r="E43" s="49" t="str">
        <f>"73"</f>
        <v>73</v>
      </c>
      <c r="F43" s="23" t="s">
        <v>4917</v>
      </c>
      <c r="G43" s="24"/>
      <c r="H43" s="24"/>
      <c r="I43" s="24"/>
      <c r="J43" s="25"/>
    </row>
    <row r="44" spans="2:10">
      <c r="B44" s="100" t="str">
        <f>"4A"</f>
        <v>4A</v>
      </c>
      <c r="C44" s="23" t="s">
        <v>4832</v>
      </c>
      <c r="D44" s="22"/>
      <c r="E44" s="49" t="str">
        <f>"74"</f>
        <v>74</v>
      </c>
      <c r="F44" s="23" t="s">
        <v>4918</v>
      </c>
      <c r="G44" s="24"/>
      <c r="H44" s="24"/>
      <c r="I44" s="24"/>
      <c r="J44" s="25"/>
    </row>
    <row r="45" spans="2:10">
      <c r="B45" s="100" t="str">
        <f>"4B"</f>
        <v>4B</v>
      </c>
      <c r="C45" s="23" t="s">
        <v>4833</v>
      </c>
      <c r="D45" s="22"/>
      <c r="E45" s="49" t="str">
        <f>"75"</f>
        <v>75</v>
      </c>
      <c r="F45" s="23" t="s">
        <v>4919</v>
      </c>
      <c r="G45" s="24"/>
      <c r="H45" s="24"/>
      <c r="I45" s="24"/>
      <c r="J45" s="25"/>
    </row>
    <row r="46" spans="2:10">
      <c r="B46" s="100" t="str">
        <f>"4C"</f>
        <v>4C</v>
      </c>
      <c r="C46" s="23" t="s">
        <v>4834</v>
      </c>
      <c r="D46" s="22"/>
      <c r="E46" s="49" t="str">
        <f>"77"</f>
        <v>77</v>
      </c>
      <c r="F46" s="23" t="s">
        <v>4920</v>
      </c>
      <c r="G46" s="24"/>
      <c r="H46" s="24"/>
      <c r="I46" s="24"/>
      <c r="J46" s="25"/>
    </row>
    <row r="47" spans="2:10">
      <c r="B47" s="100" t="str">
        <f>"59"</f>
        <v>59</v>
      </c>
      <c r="C47" s="23" t="s">
        <v>4835</v>
      </c>
      <c r="D47" s="22"/>
      <c r="E47" s="49" t="str">
        <f>"78"</f>
        <v>78</v>
      </c>
      <c r="F47" s="23" t="s">
        <v>4921</v>
      </c>
      <c r="G47" s="24"/>
      <c r="H47" s="24"/>
      <c r="I47" s="24"/>
      <c r="J47" s="25"/>
    </row>
    <row r="48" spans="2:10">
      <c r="B48" s="100" t="str">
        <f>"5A"</f>
        <v>5A</v>
      </c>
      <c r="C48" s="23" t="s">
        <v>4836</v>
      </c>
      <c r="D48" s="22"/>
      <c r="E48" s="49" t="str">
        <f>"79"</f>
        <v>79</v>
      </c>
      <c r="F48" s="23" t="s">
        <v>4922</v>
      </c>
      <c r="G48" s="24"/>
      <c r="H48" s="24"/>
      <c r="I48" s="24"/>
      <c r="J48" s="25"/>
    </row>
    <row r="49" spans="2:10">
      <c r="B49" s="100" t="str">
        <f>"60"</f>
        <v>60</v>
      </c>
      <c r="C49" s="23" t="s">
        <v>4837</v>
      </c>
      <c r="D49" s="22"/>
      <c r="E49" s="49" t="str">
        <f>"80"</f>
        <v>80</v>
      </c>
      <c r="F49" s="23" t="s">
        <v>4923</v>
      </c>
      <c r="G49" s="24"/>
      <c r="H49" s="24"/>
      <c r="I49" s="24"/>
      <c r="J49" s="25"/>
    </row>
    <row r="50" spans="2:10">
      <c r="B50" s="100" t="str">
        <f>"62"</f>
        <v>62</v>
      </c>
      <c r="C50" s="23" t="s">
        <v>4838</v>
      </c>
      <c r="D50" s="22"/>
      <c r="E50" s="49" t="str">
        <f>"81"</f>
        <v>81</v>
      </c>
      <c r="F50" s="23" t="s">
        <v>4924</v>
      </c>
      <c r="G50" s="24"/>
      <c r="H50" s="24"/>
      <c r="I50" s="24"/>
      <c r="J50" s="25"/>
    </row>
    <row r="51" spans="2:10">
      <c r="B51" s="102" t="str">
        <f>"64"</f>
        <v>64</v>
      </c>
      <c r="C51" s="23" t="s">
        <v>4839</v>
      </c>
      <c r="D51" s="22"/>
      <c r="E51" s="49" t="str">
        <f>"82"</f>
        <v>82</v>
      </c>
      <c r="F51" s="23" t="s">
        <v>4925</v>
      </c>
      <c r="G51" s="24"/>
      <c r="H51" s="24"/>
      <c r="I51" s="24"/>
      <c r="J51" s="25"/>
    </row>
    <row r="52" spans="2:10">
      <c r="B52" s="102" t="str">
        <f>"65"</f>
        <v>65</v>
      </c>
      <c r="C52" s="23" t="s">
        <v>4840</v>
      </c>
      <c r="D52" s="22"/>
      <c r="E52" s="49" t="str">
        <f>"83"</f>
        <v>83</v>
      </c>
      <c r="F52" s="23" t="s">
        <v>4926</v>
      </c>
      <c r="G52" s="24"/>
      <c r="H52" s="24"/>
      <c r="I52" s="24"/>
      <c r="J52" s="25"/>
    </row>
    <row r="53" spans="2:10">
      <c r="B53" s="102" t="str">
        <f>"66"</f>
        <v>66</v>
      </c>
      <c r="C53" s="23" t="s">
        <v>4841</v>
      </c>
      <c r="D53" s="22"/>
      <c r="E53" s="49" t="str">
        <f>"84"</f>
        <v>84</v>
      </c>
      <c r="F53" s="23" t="s">
        <v>4927</v>
      </c>
      <c r="G53" s="24"/>
      <c r="H53" s="24"/>
      <c r="I53" s="24"/>
      <c r="J53" s="25"/>
    </row>
    <row r="54" spans="2:10">
      <c r="B54" s="100" t="str">
        <f>"67"</f>
        <v>67</v>
      </c>
      <c r="C54" s="23" t="s">
        <v>4842</v>
      </c>
      <c r="D54" s="22"/>
      <c r="E54" s="49" t="str">
        <f>"85"</f>
        <v>85</v>
      </c>
      <c r="F54" s="23" t="s">
        <v>4928</v>
      </c>
      <c r="G54" s="24"/>
      <c r="H54" s="24"/>
      <c r="I54" s="24"/>
      <c r="J54" s="25"/>
    </row>
    <row r="55" spans="2:10">
      <c r="B55" s="100" t="str">
        <f>"68"</f>
        <v>68</v>
      </c>
      <c r="C55" s="23" t="s">
        <v>4843</v>
      </c>
      <c r="D55" s="22"/>
      <c r="E55" s="49" t="str">
        <f>"86"</f>
        <v>86</v>
      </c>
      <c r="F55" s="23" t="s">
        <v>4929</v>
      </c>
      <c r="G55" s="24"/>
      <c r="H55" s="24"/>
      <c r="I55" s="24"/>
      <c r="J55" s="25"/>
    </row>
    <row r="56" spans="2:10">
      <c r="B56" s="100" t="str">
        <f>"69"</f>
        <v>69</v>
      </c>
      <c r="C56" s="23" t="s">
        <v>4844</v>
      </c>
      <c r="D56" s="22"/>
      <c r="E56" s="49" t="str">
        <f>"87"</f>
        <v>87</v>
      </c>
      <c r="F56" s="23" t="s">
        <v>4930</v>
      </c>
      <c r="G56" s="24"/>
      <c r="H56" s="24"/>
      <c r="I56" s="24"/>
      <c r="J56" s="25"/>
    </row>
    <row r="57" spans="2:10">
      <c r="B57" s="100" t="str">
        <f>"70"</f>
        <v>70</v>
      </c>
      <c r="C57" s="23" t="s">
        <v>4845</v>
      </c>
      <c r="D57" s="22"/>
      <c r="E57" s="49" t="str">
        <f>"88"</f>
        <v>88</v>
      </c>
      <c r="F57" s="23" t="s">
        <v>4931</v>
      </c>
      <c r="G57" s="24"/>
      <c r="H57" s="24"/>
      <c r="I57" s="24"/>
      <c r="J57" s="25"/>
    </row>
    <row r="58" spans="2:10">
      <c r="B58" s="100" t="str">
        <f>"71"</f>
        <v>71</v>
      </c>
      <c r="C58" s="23" t="s">
        <v>4846</v>
      </c>
      <c r="D58" s="22"/>
      <c r="E58" s="49" t="str">
        <f>"99"</f>
        <v>99</v>
      </c>
      <c r="F58" s="23" t="s">
        <v>4871</v>
      </c>
      <c r="G58" s="24"/>
      <c r="H58" s="24"/>
      <c r="I58" s="24"/>
      <c r="J58" s="25"/>
    </row>
    <row r="59" spans="2:10">
      <c r="B59" s="100" t="str">
        <f>"72"</f>
        <v>72</v>
      </c>
      <c r="C59" s="23" t="s">
        <v>4847</v>
      </c>
      <c r="D59" s="22"/>
      <c r="E59" s="50"/>
      <c r="F59" s="23"/>
      <c r="G59" s="24"/>
      <c r="H59" s="24"/>
      <c r="I59" s="24"/>
      <c r="J59" s="25"/>
    </row>
    <row r="60" spans="2:10">
      <c r="B60" s="100" t="str">
        <f>"73"</f>
        <v>73</v>
      </c>
      <c r="C60" s="23" t="s">
        <v>4848</v>
      </c>
      <c r="D60" s="22"/>
      <c r="E60" s="50"/>
      <c r="F60" s="23"/>
      <c r="G60" s="24"/>
      <c r="H60" s="24"/>
      <c r="I60" s="24"/>
      <c r="J60" s="25"/>
    </row>
    <row r="61" spans="2:10">
      <c r="B61" s="100" t="str">
        <f>"74"</f>
        <v>74</v>
      </c>
      <c r="C61" s="23" t="s">
        <v>4849</v>
      </c>
      <c r="D61" s="22"/>
      <c r="E61" s="50"/>
      <c r="F61" s="23"/>
      <c r="G61" s="24"/>
      <c r="H61" s="24"/>
      <c r="I61" s="24"/>
      <c r="J61" s="25"/>
    </row>
    <row r="62" spans="2:10">
      <c r="B62" s="100" t="str">
        <f>"75"</f>
        <v>75</v>
      </c>
      <c r="C62" s="23" t="s">
        <v>4850</v>
      </c>
      <c r="D62" s="22"/>
      <c r="E62" s="50"/>
      <c r="F62" s="23"/>
      <c r="G62" s="24"/>
      <c r="H62" s="24"/>
      <c r="I62" s="24"/>
      <c r="J62" s="25"/>
    </row>
    <row r="63" spans="2:10">
      <c r="B63" s="100" t="str">
        <f>"76"</f>
        <v>76</v>
      </c>
      <c r="C63" s="23" t="s">
        <v>4851</v>
      </c>
      <c r="D63" s="22"/>
      <c r="E63" s="50"/>
      <c r="F63" s="23"/>
      <c r="G63" s="24"/>
      <c r="H63" s="24"/>
      <c r="I63" s="24"/>
      <c r="J63" s="25"/>
    </row>
    <row r="64" spans="2:10">
      <c r="B64" s="100" t="str">
        <f>"78"</f>
        <v>78</v>
      </c>
      <c r="C64" s="23" t="s">
        <v>4852</v>
      </c>
      <c r="D64" s="22"/>
      <c r="E64" s="50"/>
      <c r="F64" s="23"/>
      <c r="G64" s="24"/>
      <c r="H64" s="24"/>
      <c r="I64" s="24"/>
      <c r="J64" s="25"/>
    </row>
    <row r="65" spans="2:10">
      <c r="B65" s="100" t="str">
        <f>"7A"</f>
        <v>7A</v>
      </c>
      <c r="C65" s="23" t="s">
        <v>4853</v>
      </c>
      <c r="D65" s="22"/>
      <c r="E65" s="50"/>
      <c r="F65" s="23"/>
      <c r="G65" s="24"/>
      <c r="H65" s="24"/>
      <c r="I65" s="24"/>
      <c r="J65" s="25"/>
    </row>
    <row r="66" spans="2:10">
      <c r="B66" s="100" t="str">
        <f>"7B"</f>
        <v>7B</v>
      </c>
      <c r="C66" s="23" t="s">
        <v>4854</v>
      </c>
      <c r="D66" s="22"/>
      <c r="E66" s="50"/>
      <c r="F66" s="23"/>
      <c r="G66" s="24"/>
      <c r="H66" s="24"/>
      <c r="I66" s="24"/>
      <c r="J66" s="25"/>
    </row>
    <row r="67" spans="2:10">
      <c r="B67" s="100" t="str">
        <f>"7C"</f>
        <v>7C</v>
      </c>
      <c r="C67" s="23" t="s">
        <v>4855</v>
      </c>
      <c r="D67" s="22"/>
      <c r="E67" s="50"/>
      <c r="F67" s="23"/>
      <c r="G67" s="24"/>
      <c r="H67" s="24"/>
      <c r="I67" s="24"/>
      <c r="J67" s="25"/>
    </row>
    <row r="68" spans="2:10">
      <c r="B68" s="100" t="str">
        <f>"81"</f>
        <v>81</v>
      </c>
      <c r="C68" s="23" t="s">
        <v>4856</v>
      </c>
      <c r="D68" s="22"/>
      <c r="E68" s="50"/>
      <c r="F68" s="23"/>
      <c r="G68" s="24"/>
      <c r="H68" s="24"/>
      <c r="I68" s="24"/>
      <c r="J68" s="25"/>
    </row>
    <row r="69" spans="2:10">
      <c r="B69" s="100" t="str">
        <f>"82"</f>
        <v>82</v>
      </c>
      <c r="C69" s="23" t="s">
        <v>4857</v>
      </c>
      <c r="D69" s="22"/>
      <c r="E69" s="50"/>
      <c r="F69" s="23"/>
      <c r="G69" s="24"/>
      <c r="H69" s="24"/>
      <c r="I69" s="24"/>
      <c r="J69" s="25"/>
    </row>
    <row r="70" spans="2:10">
      <c r="B70" s="100" t="str">
        <f>"83"</f>
        <v>83</v>
      </c>
      <c r="C70" s="23" t="s">
        <v>4858</v>
      </c>
      <c r="D70" s="22"/>
      <c r="E70" s="50"/>
      <c r="F70" s="23"/>
      <c r="G70" s="24"/>
      <c r="H70" s="24"/>
      <c r="I70" s="24"/>
      <c r="J70" s="25"/>
    </row>
    <row r="71" spans="2:10">
      <c r="B71" s="100" t="str">
        <f>"84"</f>
        <v>84</v>
      </c>
      <c r="C71" s="23" t="s">
        <v>4859</v>
      </c>
      <c r="D71" s="22"/>
      <c r="E71" s="50"/>
      <c r="F71" s="23"/>
      <c r="G71" s="24"/>
      <c r="H71" s="24"/>
      <c r="I71" s="24"/>
      <c r="J71" s="25"/>
    </row>
    <row r="72" spans="2:10">
      <c r="B72" s="100" t="str">
        <f>"85"</f>
        <v>85</v>
      </c>
      <c r="C72" s="23" t="s">
        <v>4860</v>
      </c>
      <c r="D72" s="22"/>
      <c r="E72" s="50"/>
      <c r="F72" s="23"/>
      <c r="G72" s="24"/>
      <c r="H72" s="24"/>
      <c r="I72" s="24"/>
      <c r="J72" s="25"/>
    </row>
    <row r="73" spans="2:10">
      <c r="B73" s="100" t="str">
        <f>"87"</f>
        <v>87</v>
      </c>
      <c r="C73" s="23" t="s">
        <v>4861</v>
      </c>
      <c r="D73" s="22"/>
      <c r="E73" s="50"/>
      <c r="F73" s="23"/>
      <c r="G73" s="24"/>
      <c r="H73" s="24"/>
      <c r="I73" s="24"/>
      <c r="J73" s="25"/>
    </row>
    <row r="74" spans="2:10">
      <c r="B74" s="100" t="str">
        <f>"8A"</f>
        <v>8A</v>
      </c>
      <c r="C74" s="23" t="s">
        <v>4862</v>
      </c>
      <c r="D74" s="22"/>
      <c r="E74" s="50"/>
      <c r="F74" s="23"/>
      <c r="G74" s="24"/>
      <c r="H74" s="24"/>
      <c r="I74" s="24"/>
      <c r="J74" s="25"/>
    </row>
    <row r="75" spans="2:10">
      <c r="B75" s="100" t="str">
        <f>"8B"</f>
        <v>8B</v>
      </c>
      <c r="C75" s="23" t="s">
        <v>4863</v>
      </c>
      <c r="D75" s="22"/>
      <c r="E75" s="50"/>
      <c r="F75" s="23"/>
      <c r="G75" s="24"/>
      <c r="H75" s="24"/>
      <c r="I75" s="24"/>
      <c r="J75" s="25"/>
    </row>
    <row r="76" spans="2:10">
      <c r="B76" s="100" t="str">
        <f>"8C"</f>
        <v>8C</v>
      </c>
      <c r="C76" s="23" t="s">
        <v>4864</v>
      </c>
      <c r="D76" s="22"/>
      <c r="E76" s="50"/>
      <c r="F76" s="23"/>
      <c r="G76" s="24"/>
      <c r="H76" s="24"/>
      <c r="I76" s="24"/>
      <c r="J76" s="25"/>
    </row>
    <row r="77" spans="2:10">
      <c r="B77" s="100" t="str">
        <f>"8D"</f>
        <v>8D</v>
      </c>
      <c r="C77" s="23" t="s">
        <v>4865</v>
      </c>
      <c r="D77" s="22"/>
      <c r="E77" s="50"/>
      <c r="F77" s="23"/>
      <c r="G77" s="24"/>
      <c r="H77" s="24"/>
      <c r="I77" s="24"/>
      <c r="J77" s="25"/>
    </row>
    <row r="78" spans="2:10">
      <c r="B78" s="100" t="str">
        <f>"91"</f>
        <v>91</v>
      </c>
      <c r="C78" s="23" t="s">
        <v>4866</v>
      </c>
      <c r="D78" s="22"/>
      <c r="E78" s="50"/>
      <c r="F78" s="23"/>
      <c r="G78" s="24"/>
      <c r="H78" s="24"/>
      <c r="I78" s="24"/>
      <c r="J78" s="25"/>
    </row>
    <row r="79" spans="2:10">
      <c r="B79" s="100" t="str">
        <f>"93"</f>
        <v>93</v>
      </c>
      <c r="C79" s="23" t="s">
        <v>4867</v>
      </c>
      <c r="D79" s="22"/>
      <c r="E79" s="50"/>
      <c r="F79" s="23"/>
      <c r="G79" s="24"/>
      <c r="H79" s="24"/>
      <c r="I79" s="24"/>
      <c r="J79" s="25"/>
    </row>
    <row r="80" spans="2:10">
      <c r="B80" s="100" t="str">
        <f>"94"</f>
        <v>94</v>
      </c>
      <c r="C80" s="23" t="s">
        <v>4868</v>
      </c>
      <c r="D80" s="22"/>
      <c r="E80" s="50"/>
      <c r="F80" s="23"/>
      <c r="G80" s="24"/>
      <c r="H80" s="24"/>
      <c r="I80" s="24"/>
      <c r="J80" s="25"/>
    </row>
    <row r="81" spans="2:10" ht="12.75" customHeight="1">
      <c r="B81" s="100" t="str">
        <f>"97"</f>
        <v>97</v>
      </c>
      <c r="C81" s="23" t="s">
        <v>4869</v>
      </c>
      <c r="D81" s="22"/>
      <c r="E81" s="50"/>
      <c r="F81" s="23"/>
      <c r="G81" s="24"/>
      <c r="H81" s="24"/>
      <c r="I81" s="24"/>
      <c r="J81" s="25"/>
    </row>
    <row r="82" spans="2:10" ht="12.75" customHeight="1">
      <c r="B82" s="100" t="str">
        <f>"98"</f>
        <v>98</v>
      </c>
      <c r="C82" s="23" t="s">
        <v>4870</v>
      </c>
      <c r="D82" s="22"/>
      <c r="E82" s="50"/>
      <c r="F82" s="23"/>
      <c r="G82" s="24"/>
      <c r="H82" s="24"/>
      <c r="I82" s="24"/>
      <c r="J82" s="25"/>
    </row>
    <row r="83" spans="2:10" ht="16.5" customHeight="1">
      <c r="B83" s="100" t="str">
        <f>"99"</f>
        <v>99</v>
      </c>
      <c r="C83" s="23" t="s">
        <v>4871</v>
      </c>
      <c r="D83" s="22"/>
      <c r="E83" s="50"/>
      <c r="F83" s="23"/>
      <c r="G83" s="24"/>
      <c r="H83" s="24"/>
      <c r="I83" s="24"/>
      <c r="J83" s="25"/>
    </row>
    <row r="84" spans="2:10">
      <c r="B84" s="100" t="str">
        <f>"9A"</f>
        <v>9A</v>
      </c>
      <c r="C84" s="23" t="s">
        <v>4872</v>
      </c>
      <c r="D84" s="22"/>
      <c r="E84" s="50"/>
      <c r="F84" s="23"/>
      <c r="G84" s="24"/>
      <c r="H84" s="24"/>
      <c r="I84" s="24"/>
      <c r="J84" s="25"/>
    </row>
    <row r="85" spans="2:10">
      <c r="B85" s="100" t="str">
        <f>"9B"</f>
        <v>9B</v>
      </c>
      <c r="C85" s="23" t="s">
        <v>4873</v>
      </c>
      <c r="D85" s="22"/>
      <c r="E85" s="50"/>
      <c r="F85" s="23"/>
      <c r="G85" s="24"/>
      <c r="H85" s="24"/>
      <c r="I85" s="24"/>
      <c r="J85" s="25"/>
    </row>
    <row r="86" spans="2:10">
      <c r="B86" s="103" t="str">
        <f>"9C"</f>
        <v>9C</v>
      </c>
      <c r="C86" s="26" t="s">
        <v>4874</v>
      </c>
      <c r="D86" s="227"/>
      <c r="E86" s="51"/>
      <c r="F86" s="26"/>
      <c r="G86" s="27"/>
      <c r="H86" s="27"/>
      <c r="I86" s="27"/>
      <c r="J86" s="28"/>
    </row>
    <row r="87" spans="2:10" ht="12.75" customHeight="1"/>
    <row r="88" spans="2:10" ht="12.75" customHeight="1">
      <c r="B88" s="45" t="s">
        <v>412</v>
      </c>
      <c r="C88" s="30"/>
      <c r="D88" s="30"/>
      <c r="E88" s="31" t="s">
        <v>486</v>
      </c>
      <c r="F88" s="31"/>
      <c r="G88" s="31"/>
      <c r="H88" s="31"/>
      <c r="I88" s="31"/>
      <c r="J88" s="31"/>
    </row>
    <row r="89" spans="2:10" ht="14.25">
      <c r="B89" s="45"/>
      <c r="C89" s="30"/>
      <c r="D89" s="30"/>
      <c r="E89" s="31"/>
      <c r="F89" s="31"/>
      <c r="G89" s="31"/>
      <c r="H89" s="31"/>
      <c r="I89" s="31"/>
      <c r="J89" s="31"/>
    </row>
    <row r="91" spans="2:10" ht="15" thickBot="1">
      <c r="B91" s="46" t="s">
        <v>2045</v>
      </c>
      <c r="C91" s="32"/>
      <c r="D91" s="32"/>
      <c r="E91" s="32" t="s">
        <v>2046</v>
      </c>
      <c r="F91" s="32"/>
      <c r="G91" s="32"/>
      <c r="H91" s="32"/>
      <c r="I91" s="32"/>
      <c r="J91" s="32"/>
    </row>
    <row r="92" spans="2:10">
      <c r="B92" s="47" t="s">
        <v>413</v>
      </c>
      <c r="C92" s="17" t="s">
        <v>414</v>
      </c>
      <c r="D92" s="17"/>
      <c r="E92" s="17" t="s">
        <v>487</v>
      </c>
      <c r="F92" s="17" t="s">
        <v>488</v>
      </c>
      <c r="G92" s="17"/>
      <c r="H92" s="17"/>
      <c r="I92" s="17"/>
      <c r="J92" s="29"/>
    </row>
    <row r="104" ht="15" customHeight="1"/>
    <row r="105" ht="12.75" customHeight="1"/>
    <row r="106" ht="13.5" customHeight="1"/>
  </sheetData>
  <phoneticPr fontId="21" type="noConversion"/>
  <printOptions horizontalCentered="1"/>
  <pageMargins left="0.15748031496062992" right="0.15748031496062992" top="0.19685039370078741" bottom="0.19685039370078741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6"/>
  <sheetViews>
    <sheetView workbookViewId="0">
      <selection activeCell="C14" sqref="C14"/>
    </sheetView>
  </sheetViews>
  <sheetFormatPr defaultRowHeight="12.75"/>
  <cols>
    <col min="1" max="1" width="9.140625" style="16"/>
    <col min="2" max="2" width="16.42578125" style="33" bestFit="1" customWidth="1"/>
    <col min="3" max="3" width="69.42578125" style="16" bestFit="1" customWidth="1"/>
    <col min="4" max="4" width="13.5703125" style="16" customWidth="1"/>
    <col min="5" max="5" width="13.7109375" style="16" bestFit="1" customWidth="1"/>
    <col min="6" max="6" width="51.42578125" style="16" bestFit="1" customWidth="1"/>
    <col min="7" max="10" width="10.140625" style="16" customWidth="1"/>
    <col min="11" max="16384" width="9.140625" style="16"/>
  </cols>
  <sheetData>
    <row r="1" spans="2:10">
      <c r="B1" s="99" t="str">
        <f>"01"</f>
        <v>01</v>
      </c>
      <c r="C1" s="18" t="s">
        <v>2047</v>
      </c>
      <c r="D1" s="18"/>
      <c r="E1" s="48" t="str">
        <f>"01"</f>
        <v>01</v>
      </c>
      <c r="F1" s="19" t="s">
        <v>2048</v>
      </c>
      <c r="G1" s="20"/>
      <c r="H1" s="20"/>
      <c r="I1" s="20"/>
      <c r="J1" s="21"/>
    </row>
    <row r="2" spans="2:10">
      <c r="B2" s="100" t="str">
        <f>"02"</f>
        <v>02</v>
      </c>
      <c r="C2" s="22" t="s">
        <v>1288</v>
      </c>
      <c r="D2" s="22"/>
      <c r="E2" s="48" t="str">
        <f>"02"</f>
        <v>02</v>
      </c>
      <c r="F2" s="19" t="s">
        <v>218</v>
      </c>
      <c r="G2" s="24"/>
      <c r="H2" s="24"/>
      <c r="I2" s="24"/>
      <c r="J2" s="25"/>
    </row>
    <row r="3" spans="2:10">
      <c r="B3" s="100" t="str">
        <f>"03"</f>
        <v>03</v>
      </c>
      <c r="C3" s="22" t="s">
        <v>417</v>
      </c>
      <c r="D3" s="22"/>
      <c r="E3" s="49" t="str">
        <f>"10"</f>
        <v>10</v>
      </c>
      <c r="F3" s="23" t="s">
        <v>489</v>
      </c>
      <c r="G3" s="24"/>
      <c r="H3" s="24"/>
      <c r="I3" s="24"/>
      <c r="J3" s="25"/>
    </row>
    <row r="4" spans="2:10">
      <c r="B4" s="100" t="str">
        <f>"04"</f>
        <v>04</v>
      </c>
      <c r="C4" s="22" t="s">
        <v>419</v>
      </c>
      <c r="D4" s="22"/>
      <c r="E4" s="49" t="str">
        <f>"11"</f>
        <v>11</v>
      </c>
      <c r="F4" s="23" t="s">
        <v>491</v>
      </c>
      <c r="G4" s="24"/>
      <c r="H4" s="24"/>
      <c r="I4" s="24"/>
      <c r="J4" s="25"/>
    </row>
    <row r="5" spans="2:10">
      <c r="B5" s="100" t="str">
        <f>"05"</f>
        <v>05</v>
      </c>
      <c r="C5" s="22" t="s">
        <v>421</v>
      </c>
      <c r="D5" s="22"/>
      <c r="E5" s="49" t="str">
        <f>"12"</f>
        <v>12</v>
      </c>
      <c r="F5" s="23" t="s">
        <v>493</v>
      </c>
      <c r="G5" s="24"/>
      <c r="H5" s="24"/>
      <c r="I5" s="24"/>
      <c r="J5" s="25"/>
    </row>
    <row r="6" spans="2:10">
      <c r="B6" s="49" t="str">
        <f>"06"</f>
        <v>06</v>
      </c>
      <c r="C6" s="22" t="s">
        <v>423</v>
      </c>
      <c r="D6" s="25"/>
      <c r="E6" s="49" t="str">
        <f>"13"</f>
        <v>13</v>
      </c>
      <c r="F6" s="23" t="s">
        <v>2050</v>
      </c>
      <c r="G6" s="24"/>
      <c r="H6" s="24"/>
      <c r="I6" s="24"/>
      <c r="J6" s="25"/>
    </row>
    <row r="7" spans="2:10">
      <c r="B7" s="100" t="str">
        <f>"07"</f>
        <v>07</v>
      </c>
      <c r="C7" s="22" t="s">
        <v>425</v>
      </c>
      <c r="D7" s="24"/>
      <c r="E7" s="49" t="str">
        <f>"14"</f>
        <v>14</v>
      </c>
      <c r="F7" s="23" t="s">
        <v>497</v>
      </c>
      <c r="G7" s="24"/>
      <c r="H7" s="24"/>
      <c r="I7" s="24"/>
      <c r="J7" s="25"/>
    </row>
    <row r="8" spans="2:10">
      <c r="B8" s="100" t="str">
        <f>"08"</f>
        <v>08</v>
      </c>
      <c r="C8" s="22" t="s">
        <v>427</v>
      </c>
      <c r="D8" s="25"/>
      <c r="E8" s="49" t="str">
        <f>"15"</f>
        <v>15</v>
      </c>
      <c r="F8" s="23" t="s">
        <v>499</v>
      </c>
      <c r="G8" s="24"/>
      <c r="H8" s="24"/>
      <c r="I8" s="24"/>
      <c r="J8" s="25"/>
    </row>
    <row r="9" spans="2:10">
      <c r="B9" s="100" t="str">
        <f>"10"</f>
        <v>10</v>
      </c>
      <c r="C9" s="22" t="s">
        <v>429</v>
      </c>
      <c r="D9" s="24"/>
      <c r="E9" s="49" t="str">
        <f>"16"</f>
        <v>16</v>
      </c>
      <c r="F9" s="23" t="s">
        <v>501</v>
      </c>
      <c r="G9" s="24"/>
      <c r="H9" s="24"/>
      <c r="I9" s="24"/>
      <c r="J9" s="25"/>
    </row>
    <row r="10" spans="2:10">
      <c r="B10" s="100" t="str">
        <f>"11"</f>
        <v>11</v>
      </c>
      <c r="C10" s="22" t="s">
        <v>2049</v>
      </c>
      <c r="D10" s="24"/>
      <c r="E10" s="49" t="str">
        <f>"17"</f>
        <v>17</v>
      </c>
      <c r="F10" s="23" t="s">
        <v>503</v>
      </c>
      <c r="G10" s="24"/>
      <c r="H10" s="24"/>
      <c r="I10" s="24"/>
      <c r="J10" s="25"/>
    </row>
    <row r="11" spans="2:10">
      <c r="B11" s="100" t="str">
        <f>"13"</f>
        <v>13</v>
      </c>
      <c r="C11" s="22" t="s">
        <v>432</v>
      </c>
      <c r="D11" s="24"/>
      <c r="E11" s="49" t="str">
        <f>"18"</f>
        <v>18</v>
      </c>
      <c r="F11" s="23" t="s">
        <v>505</v>
      </c>
      <c r="G11" s="24"/>
      <c r="H11" s="24"/>
      <c r="I11" s="24"/>
      <c r="J11" s="25"/>
    </row>
    <row r="12" spans="2:10">
      <c r="B12" s="100" t="str">
        <f>"14"</f>
        <v>14</v>
      </c>
      <c r="C12" s="22" t="s">
        <v>434</v>
      </c>
      <c r="D12" s="24"/>
      <c r="E12" s="49" t="str">
        <f>"19"</f>
        <v>19</v>
      </c>
      <c r="F12" s="23" t="s">
        <v>507</v>
      </c>
      <c r="G12" s="24"/>
      <c r="H12" s="24"/>
      <c r="I12" s="24"/>
      <c r="J12" s="25"/>
    </row>
    <row r="13" spans="2:10">
      <c r="B13" s="100" t="str">
        <f>"15"</f>
        <v>15</v>
      </c>
      <c r="C13" s="22" t="s">
        <v>436</v>
      </c>
      <c r="D13" s="24"/>
      <c r="E13" s="102" t="str">
        <f>"31"</f>
        <v>31</v>
      </c>
      <c r="F13" s="23" t="s">
        <v>509</v>
      </c>
      <c r="G13" s="24"/>
      <c r="H13" s="24"/>
      <c r="I13" s="24"/>
      <c r="J13" s="25"/>
    </row>
    <row r="14" spans="2:10">
      <c r="B14" s="100" t="str">
        <f>"17"</f>
        <v>17</v>
      </c>
      <c r="C14" s="22" t="s">
        <v>438</v>
      </c>
      <c r="D14" s="24"/>
      <c r="E14" s="49" t="str">
        <f>"32"</f>
        <v>32</v>
      </c>
      <c r="F14" s="23" t="s">
        <v>511</v>
      </c>
      <c r="G14" s="24"/>
      <c r="H14" s="24"/>
      <c r="I14" s="24"/>
      <c r="J14" s="25"/>
    </row>
    <row r="15" spans="2:10">
      <c r="B15" s="100" t="str">
        <f>"18"</f>
        <v>18</v>
      </c>
      <c r="C15" s="22" t="s">
        <v>440</v>
      </c>
      <c r="D15" s="24"/>
      <c r="E15" s="49" t="str">
        <f>"03"</f>
        <v>03</v>
      </c>
      <c r="F15" s="23" t="s">
        <v>513</v>
      </c>
      <c r="G15" s="24"/>
      <c r="H15" s="24"/>
      <c r="I15" s="24"/>
      <c r="J15" s="25"/>
    </row>
    <row r="16" spans="2:10">
      <c r="B16" s="100" t="str">
        <f>"19"</f>
        <v>19</v>
      </c>
      <c r="C16" s="22" t="s">
        <v>2067</v>
      </c>
      <c r="D16" s="24"/>
      <c r="E16" s="49" t="str">
        <f>"34"</f>
        <v>34</v>
      </c>
      <c r="F16" s="23" t="s">
        <v>2077</v>
      </c>
      <c r="G16" s="24"/>
      <c r="H16" s="24"/>
      <c r="I16" s="24"/>
      <c r="J16" s="25"/>
    </row>
    <row r="17" spans="2:10">
      <c r="B17" s="100" t="str">
        <f>"1A"</f>
        <v>1A</v>
      </c>
      <c r="C17" s="22" t="s">
        <v>444</v>
      </c>
      <c r="D17" s="25"/>
      <c r="E17" s="49" t="str">
        <f>"35"</f>
        <v>35</v>
      </c>
      <c r="F17" s="23" t="s">
        <v>517</v>
      </c>
      <c r="G17" s="24"/>
      <c r="H17" s="24"/>
      <c r="I17" s="24"/>
      <c r="J17" s="25"/>
    </row>
    <row r="18" spans="2:10">
      <c r="B18" s="100" t="str">
        <f>"1B"</f>
        <v>1B</v>
      </c>
      <c r="C18" s="22" t="s">
        <v>446</v>
      </c>
      <c r="D18" s="25"/>
      <c r="E18" s="49" t="str">
        <f>"36"</f>
        <v>36</v>
      </c>
      <c r="F18" s="23" t="s">
        <v>519</v>
      </c>
      <c r="G18" s="24"/>
      <c r="H18" s="24"/>
      <c r="I18" s="24"/>
      <c r="J18" s="25"/>
    </row>
    <row r="19" spans="2:10">
      <c r="B19" s="100" t="str">
        <f>"1C"</f>
        <v>1C</v>
      </c>
      <c r="C19" s="22" t="s">
        <v>448</v>
      </c>
      <c r="D19" s="25"/>
      <c r="E19" s="49" t="str">
        <f>"37"</f>
        <v>37</v>
      </c>
      <c r="F19" s="23" t="s">
        <v>521</v>
      </c>
      <c r="G19" s="24"/>
      <c r="H19" s="24"/>
      <c r="I19" s="24"/>
      <c r="J19" s="25"/>
    </row>
    <row r="20" spans="2:10">
      <c r="B20" s="100" t="str">
        <f>"22"</f>
        <v>22</v>
      </c>
      <c r="C20" s="22" t="s">
        <v>450</v>
      </c>
      <c r="D20" s="22"/>
      <c r="E20" s="49" t="str">
        <f>"38"</f>
        <v>38</v>
      </c>
      <c r="F20" s="23" t="s">
        <v>523</v>
      </c>
      <c r="G20" s="24"/>
      <c r="H20" s="24"/>
      <c r="I20" s="24"/>
      <c r="J20" s="25"/>
    </row>
    <row r="21" spans="2:10">
      <c r="B21" s="100" t="str">
        <f>"23"</f>
        <v>23</v>
      </c>
      <c r="C21" s="22" t="s">
        <v>452</v>
      </c>
      <c r="D21" s="22"/>
      <c r="E21" s="49" t="str">
        <f>"40"</f>
        <v>40</v>
      </c>
      <c r="F21" s="23" t="s">
        <v>525</v>
      </c>
      <c r="G21" s="24"/>
      <c r="H21" s="24"/>
      <c r="I21" s="24"/>
      <c r="J21" s="25"/>
    </row>
    <row r="22" spans="2:10">
      <c r="B22" s="100" t="str">
        <f>"24"</f>
        <v>24</v>
      </c>
      <c r="C22" s="22" t="s">
        <v>454</v>
      </c>
      <c r="D22" s="22"/>
      <c r="E22" s="49" t="str">
        <f>"41"</f>
        <v>41</v>
      </c>
      <c r="F22" s="23" t="s">
        <v>527</v>
      </c>
      <c r="G22" s="24"/>
      <c r="H22" s="24"/>
      <c r="I22" s="24"/>
      <c r="J22" s="25"/>
    </row>
    <row r="23" spans="2:10">
      <c r="B23" s="100" t="str">
        <f>"25"</f>
        <v>25</v>
      </c>
      <c r="C23" s="22" t="s">
        <v>455</v>
      </c>
      <c r="D23" s="22"/>
      <c r="E23" s="49" t="str">
        <f>"42"</f>
        <v>42</v>
      </c>
      <c r="F23" s="23" t="s">
        <v>529</v>
      </c>
      <c r="G23" s="24"/>
      <c r="H23" s="24"/>
      <c r="I23" s="24"/>
      <c r="J23" s="25"/>
    </row>
    <row r="24" spans="2:10">
      <c r="B24" s="100" t="str">
        <f>"26"</f>
        <v>26</v>
      </c>
      <c r="C24" s="22" t="s">
        <v>2068</v>
      </c>
      <c r="D24" s="22"/>
      <c r="E24" s="49" t="str">
        <f>"43"</f>
        <v>43</v>
      </c>
      <c r="F24" s="23" t="s">
        <v>531</v>
      </c>
      <c r="G24" s="24"/>
      <c r="H24" s="24"/>
      <c r="I24" s="24"/>
      <c r="J24" s="25"/>
    </row>
    <row r="25" spans="2:10">
      <c r="B25" s="100" t="str">
        <f>"27"</f>
        <v>27</v>
      </c>
      <c r="C25" s="22" t="s">
        <v>456</v>
      </c>
      <c r="D25" s="22"/>
      <c r="E25" s="49" t="str">
        <f>"44"</f>
        <v>44</v>
      </c>
      <c r="F25" s="23" t="s">
        <v>533</v>
      </c>
      <c r="G25" s="24"/>
      <c r="H25" s="24"/>
      <c r="I25" s="24"/>
      <c r="J25" s="25"/>
    </row>
    <row r="26" spans="2:10">
      <c r="B26" s="100" t="str">
        <f>"28"</f>
        <v>28</v>
      </c>
      <c r="C26" s="22" t="s">
        <v>458</v>
      </c>
      <c r="D26" s="22"/>
      <c r="E26" s="49" t="str">
        <f>"48"</f>
        <v>48</v>
      </c>
      <c r="F26" s="23" t="s">
        <v>535</v>
      </c>
      <c r="G26" s="24"/>
      <c r="H26" s="24"/>
      <c r="I26" s="24"/>
      <c r="J26" s="25"/>
    </row>
    <row r="27" spans="2:10">
      <c r="B27" s="100" t="str">
        <f>"29"</f>
        <v>29</v>
      </c>
      <c r="C27" s="22" t="s">
        <v>460</v>
      </c>
      <c r="D27" s="22"/>
      <c r="E27" s="49" t="str">
        <f>"49"</f>
        <v>49</v>
      </c>
      <c r="F27" s="23" t="s">
        <v>537</v>
      </c>
      <c r="G27" s="24"/>
      <c r="H27" s="24"/>
      <c r="I27" s="24"/>
      <c r="J27" s="25"/>
    </row>
    <row r="28" spans="2:10">
      <c r="B28" s="100" t="str">
        <f>"2A"</f>
        <v>2A</v>
      </c>
      <c r="C28" s="22" t="s">
        <v>2069</v>
      </c>
      <c r="D28" s="22"/>
      <c r="E28" s="49" t="str">
        <f>"50"</f>
        <v>50</v>
      </c>
      <c r="F28" s="23" t="s">
        <v>539</v>
      </c>
      <c r="G28" s="24"/>
      <c r="H28" s="24"/>
      <c r="I28" s="24"/>
      <c r="J28" s="25"/>
    </row>
    <row r="29" spans="2:10">
      <c r="B29" s="100" t="str">
        <f>"30"</f>
        <v>30</v>
      </c>
      <c r="C29" s="22" t="s">
        <v>464</v>
      </c>
      <c r="D29" s="22"/>
      <c r="E29" s="49" t="str">
        <f>"52"</f>
        <v>52</v>
      </c>
      <c r="F29" s="23" t="s">
        <v>541</v>
      </c>
      <c r="G29" s="24"/>
      <c r="H29" s="24"/>
      <c r="I29" s="24"/>
      <c r="J29" s="25"/>
    </row>
    <row r="30" spans="2:10">
      <c r="B30" s="100" t="str">
        <f>"31"</f>
        <v>31</v>
      </c>
      <c r="C30" s="22" t="s">
        <v>466</v>
      </c>
      <c r="D30" s="22"/>
      <c r="E30" s="49" t="str">
        <f>"53"</f>
        <v>53</v>
      </c>
      <c r="F30" s="23" t="s">
        <v>543</v>
      </c>
      <c r="G30" s="24"/>
      <c r="H30" s="24"/>
      <c r="I30" s="24"/>
      <c r="J30" s="25"/>
    </row>
    <row r="31" spans="2:10">
      <c r="B31" s="100" t="str">
        <f>"34"</f>
        <v>34</v>
      </c>
      <c r="C31" s="22" t="s">
        <v>468</v>
      </c>
      <c r="D31" s="22"/>
      <c r="E31" s="49" t="str">
        <f>"54"</f>
        <v>54</v>
      </c>
      <c r="F31" s="23" t="s">
        <v>545</v>
      </c>
      <c r="G31" s="24"/>
      <c r="H31" s="24"/>
      <c r="I31" s="24"/>
      <c r="J31" s="25"/>
    </row>
    <row r="32" spans="2:10">
      <c r="B32" s="100" t="str">
        <f>"36"</f>
        <v>36</v>
      </c>
      <c r="C32" s="22" t="s">
        <v>470</v>
      </c>
      <c r="D32" s="22"/>
      <c r="E32" s="49" t="str">
        <f>"55"</f>
        <v>55</v>
      </c>
      <c r="F32" s="23" t="s">
        <v>547</v>
      </c>
      <c r="G32" s="24"/>
      <c r="H32" s="24"/>
      <c r="I32" s="24"/>
      <c r="J32" s="25"/>
    </row>
    <row r="33" spans="2:10">
      <c r="B33" s="100" t="str">
        <f>"37"</f>
        <v>37</v>
      </c>
      <c r="C33" s="22" t="s">
        <v>472</v>
      </c>
      <c r="D33" s="22"/>
      <c r="E33" s="49" t="str">
        <f>"57"</f>
        <v>57</v>
      </c>
      <c r="F33" s="23" t="s">
        <v>549</v>
      </c>
      <c r="G33" s="24"/>
      <c r="H33" s="24"/>
      <c r="I33" s="24"/>
      <c r="J33" s="25"/>
    </row>
    <row r="34" spans="2:10">
      <c r="B34" s="100" t="str">
        <f>"38"</f>
        <v>38</v>
      </c>
      <c r="C34" s="22" t="s">
        <v>473</v>
      </c>
      <c r="D34" s="22"/>
      <c r="E34" s="49" t="str">
        <f>"58"</f>
        <v>58</v>
      </c>
      <c r="F34" s="23" t="s">
        <v>550</v>
      </c>
      <c r="G34" s="24"/>
      <c r="H34" s="24"/>
      <c r="I34" s="24"/>
      <c r="J34" s="25"/>
    </row>
    <row r="35" spans="2:10">
      <c r="B35" s="100" t="str">
        <f>"3A"</f>
        <v>3A</v>
      </c>
      <c r="C35" s="22" t="s">
        <v>2070</v>
      </c>
      <c r="D35" s="22"/>
      <c r="E35" s="49" t="str">
        <f>"59"</f>
        <v>59</v>
      </c>
      <c r="F35" s="23" t="s">
        <v>551</v>
      </c>
      <c r="G35" s="24"/>
      <c r="H35" s="24"/>
      <c r="I35" s="24"/>
      <c r="J35" s="25"/>
    </row>
    <row r="36" spans="2:10">
      <c r="B36" s="100" t="str">
        <f>"3B"</f>
        <v>3B</v>
      </c>
      <c r="C36" s="22" t="s">
        <v>2071</v>
      </c>
      <c r="D36" s="22"/>
      <c r="E36" s="49" t="str">
        <f>"60"</f>
        <v>60</v>
      </c>
      <c r="F36" s="23" t="s">
        <v>552</v>
      </c>
      <c r="G36" s="24"/>
      <c r="H36" s="24"/>
      <c r="I36" s="24"/>
      <c r="J36" s="25"/>
    </row>
    <row r="37" spans="2:10">
      <c r="B37" s="100" t="str">
        <f>"3C"</f>
        <v>3C</v>
      </c>
      <c r="C37" s="22" t="s">
        <v>478</v>
      </c>
      <c r="D37" s="22"/>
      <c r="E37" s="49" t="str">
        <f>"61"</f>
        <v>61</v>
      </c>
      <c r="F37" s="23" t="s">
        <v>553</v>
      </c>
      <c r="G37" s="24"/>
      <c r="H37" s="24"/>
      <c r="I37" s="24"/>
      <c r="J37" s="25"/>
    </row>
    <row r="38" spans="2:10">
      <c r="B38" s="100" t="str">
        <f>"41"</f>
        <v>41</v>
      </c>
      <c r="C38" s="22" t="s">
        <v>2072</v>
      </c>
      <c r="D38" s="22"/>
      <c r="E38" s="49" t="str">
        <f>"62"</f>
        <v>62</v>
      </c>
      <c r="F38" s="23" t="s">
        <v>554</v>
      </c>
      <c r="G38" s="24"/>
      <c r="H38" s="24"/>
      <c r="I38" s="24"/>
      <c r="J38" s="25"/>
    </row>
    <row r="39" spans="2:10">
      <c r="B39" s="100" t="str">
        <f>"45"</f>
        <v>45</v>
      </c>
      <c r="C39" s="22" t="s">
        <v>483</v>
      </c>
      <c r="D39" s="22"/>
      <c r="E39" s="49" t="str">
        <f>"63"</f>
        <v>63</v>
      </c>
      <c r="F39" s="23" t="s">
        <v>555</v>
      </c>
      <c r="G39" s="24"/>
      <c r="H39" s="24"/>
      <c r="I39" s="24"/>
      <c r="J39" s="25"/>
    </row>
    <row r="40" spans="2:10">
      <c r="B40" s="100" t="str">
        <f>"46"</f>
        <v>46</v>
      </c>
      <c r="C40" s="22" t="s">
        <v>484</v>
      </c>
      <c r="D40" s="22"/>
      <c r="E40" s="49" t="str">
        <f>"68"</f>
        <v>68</v>
      </c>
      <c r="F40" s="23" t="s">
        <v>556</v>
      </c>
      <c r="G40" s="24"/>
      <c r="H40" s="24"/>
      <c r="I40" s="24"/>
      <c r="J40" s="25"/>
    </row>
    <row r="41" spans="2:10">
      <c r="B41" s="101" t="str">
        <f>"47"</f>
        <v>47</v>
      </c>
      <c r="C41" s="22" t="s">
        <v>485</v>
      </c>
      <c r="D41" s="22"/>
      <c r="E41" s="49" t="str">
        <f>"71"</f>
        <v>71</v>
      </c>
      <c r="F41" s="23" t="s">
        <v>557</v>
      </c>
      <c r="G41" s="24"/>
      <c r="H41" s="24"/>
      <c r="I41" s="24"/>
      <c r="J41" s="25"/>
    </row>
    <row r="42" spans="2:10">
      <c r="B42" s="100" t="str">
        <f>"48"</f>
        <v>48</v>
      </c>
      <c r="C42" s="23" t="s">
        <v>415</v>
      </c>
      <c r="D42" s="24"/>
      <c r="E42" s="49" t="str">
        <f>"73"</f>
        <v>73</v>
      </c>
      <c r="F42" s="23" t="s">
        <v>558</v>
      </c>
      <c r="G42" s="24"/>
      <c r="H42" s="24"/>
      <c r="I42" s="24"/>
      <c r="J42" s="25"/>
    </row>
    <row r="43" spans="2:10">
      <c r="B43" s="100" t="str">
        <f>"49"</f>
        <v>49</v>
      </c>
      <c r="C43" s="23" t="s">
        <v>416</v>
      </c>
      <c r="D43" s="24"/>
      <c r="E43" s="49" t="str">
        <f>"74"</f>
        <v>74</v>
      </c>
      <c r="F43" s="23" t="s">
        <v>559</v>
      </c>
      <c r="G43" s="24"/>
      <c r="H43" s="24"/>
      <c r="I43" s="24"/>
      <c r="J43" s="25"/>
    </row>
    <row r="44" spans="2:10">
      <c r="B44" s="100" t="str">
        <f>"4A"</f>
        <v>4A</v>
      </c>
      <c r="C44" s="23" t="s">
        <v>418</v>
      </c>
      <c r="D44" s="24"/>
      <c r="E44" s="49" t="str">
        <f>"81"</f>
        <v>81</v>
      </c>
      <c r="F44" s="23" t="s">
        <v>560</v>
      </c>
      <c r="G44" s="24"/>
      <c r="H44" s="24"/>
      <c r="I44" s="24"/>
      <c r="J44" s="25"/>
    </row>
    <row r="45" spans="2:10">
      <c r="B45" s="100" t="str">
        <f>"4B"</f>
        <v>4B</v>
      </c>
      <c r="C45" s="23" t="s">
        <v>420</v>
      </c>
      <c r="D45" s="24"/>
      <c r="E45" s="49" t="str">
        <f>"83"</f>
        <v>83</v>
      </c>
      <c r="F45" s="23" t="s">
        <v>561</v>
      </c>
      <c r="G45" s="24"/>
      <c r="H45" s="24"/>
      <c r="I45" s="24"/>
      <c r="J45" s="25"/>
    </row>
    <row r="46" spans="2:10">
      <c r="B46" s="100" t="str">
        <f>"4C"</f>
        <v>4C</v>
      </c>
      <c r="C46" s="23" t="s">
        <v>422</v>
      </c>
      <c r="D46" s="24"/>
      <c r="E46" s="49" t="str">
        <f>"84"</f>
        <v>84</v>
      </c>
      <c r="F46" s="23" t="s">
        <v>562</v>
      </c>
      <c r="G46" s="24"/>
      <c r="H46" s="24"/>
      <c r="I46" s="24"/>
      <c r="J46" s="25"/>
    </row>
    <row r="47" spans="2:10">
      <c r="B47" s="100" t="str">
        <f>"59"</f>
        <v>59</v>
      </c>
      <c r="C47" s="23" t="s">
        <v>424</v>
      </c>
      <c r="D47" s="24"/>
      <c r="E47" s="49" t="str">
        <f>"88"</f>
        <v>88</v>
      </c>
      <c r="F47" s="23" t="s">
        <v>563</v>
      </c>
      <c r="G47" s="24"/>
      <c r="H47" s="24"/>
      <c r="I47" s="24"/>
      <c r="J47" s="25"/>
    </row>
    <row r="48" spans="2:10">
      <c r="B48" s="100" t="str">
        <f>"5A"</f>
        <v>5A</v>
      </c>
      <c r="C48" s="23" t="s">
        <v>426</v>
      </c>
      <c r="D48" s="24"/>
      <c r="E48" s="49" t="str">
        <f>"99"</f>
        <v>99</v>
      </c>
      <c r="F48" s="23" t="s">
        <v>481</v>
      </c>
      <c r="G48" s="24"/>
      <c r="H48" s="24"/>
      <c r="I48" s="24"/>
      <c r="J48" s="25"/>
    </row>
    <row r="49" spans="2:10">
      <c r="B49" s="100" t="str">
        <f>"60"</f>
        <v>60</v>
      </c>
      <c r="C49" s="23" t="s">
        <v>428</v>
      </c>
      <c r="D49" s="24"/>
      <c r="E49" s="50" t="str">
        <f>"10"</f>
        <v>10</v>
      </c>
      <c r="F49" s="23" t="s">
        <v>489</v>
      </c>
      <c r="G49" s="24"/>
      <c r="H49" s="24"/>
      <c r="I49" s="24"/>
      <c r="J49" s="25"/>
    </row>
    <row r="50" spans="2:10">
      <c r="B50" s="100" t="str">
        <f>"62"</f>
        <v>62</v>
      </c>
      <c r="C50" s="23" t="s">
        <v>55</v>
      </c>
      <c r="D50" s="24"/>
      <c r="E50" s="50" t="str">
        <f>"11"</f>
        <v>11</v>
      </c>
      <c r="F50" s="23" t="s">
        <v>490</v>
      </c>
      <c r="G50" s="24"/>
      <c r="H50" s="24"/>
      <c r="I50" s="24"/>
      <c r="J50" s="25"/>
    </row>
    <row r="51" spans="2:10">
      <c r="B51" s="102" t="str">
        <f>"64"</f>
        <v>64</v>
      </c>
      <c r="C51" s="23" t="s">
        <v>430</v>
      </c>
      <c r="D51" s="24"/>
      <c r="E51" s="50" t="str">
        <f>"12"</f>
        <v>12</v>
      </c>
      <c r="F51" s="23" t="s">
        <v>492</v>
      </c>
      <c r="G51" s="24"/>
      <c r="H51" s="24"/>
      <c r="I51" s="24"/>
      <c r="J51" s="25"/>
    </row>
    <row r="52" spans="2:10">
      <c r="B52" s="102" t="str">
        <f>"65"</f>
        <v>65</v>
      </c>
      <c r="C52" s="23" t="s">
        <v>431</v>
      </c>
      <c r="D52" s="24"/>
      <c r="E52" s="50" t="str">
        <f>"13"</f>
        <v>13</v>
      </c>
      <c r="F52" s="23" t="s">
        <v>494</v>
      </c>
      <c r="G52" s="24"/>
      <c r="H52" s="24"/>
      <c r="I52" s="24"/>
      <c r="J52" s="25"/>
    </row>
    <row r="53" spans="2:10">
      <c r="B53" s="102" t="str">
        <f>"66"</f>
        <v>66</v>
      </c>
      <c r="C53" s="23" t="s">
        <v>433</v>
      </c>
      <c r="D53" s="24"/>
      <c r="E53" s="50" t="str">
        <f>"14"</f>
        <v>14</v>
      </c>
      <c r="F53" s="23" t="s">
        <v>495</v>
      </c>
      <c r="G53" s="24"/>
      <c r="H53" s="24"/>
      <c r="I53" s="24"/>
      <c r="J53" s="25"/>
    </row>
    <row r="54" spans="2:10">
      <c r="B54" s="100" t="str">
        <f>"67"</f>
        <v>67</v>
      </c>
      <c r="C54" s="23" t="s">
        <v>435</v>
      </c>
      <c r="D54" s="24"/>
      <c r="E54" s="50" t="str">
        <f>"31"</f>
        <v>31</v>
      </c>
      <c r="F54" s="23" t="s">
        <v>496</v>
      </c>
      <c r="G54" s="24"/>
      <c r="H54" s="24"/>
      <c r="I54" s="24"/>
      <c r="J54" s="25"/>
    </row>
    <row r="55" spans="2:10">
      <c r="B55" s="100" t="str">
        <f>"68"</f>
        <v>68</v>
      </c>
      <c r="C55" s="23" t="s">
        <v>437</v>
      </c>
      <c r="D55" s="24"/>
      <c r="E55" s="50" t="str">
        <f>"32"</f>
        <v>32</v>
      </c>
      <c r="F55" s="23" t="s">
        <v>498</v>
      </c>
      <c r="G55" s="24"/>
      <c r="H55" s="24"/>
      <c r="I55" s="24"/>
      <c r="J55" s="25"/>
    </row>
    <row r="56" spans="2:10">
      <c r="B56" s="100" t="str">
        <f>"69"</f>
        <v>69</v>
      </c>
      <c r="C56" s="23" t="s">
        <v>439</v>
      </c>
      <c r="D56" s="24"/>
      <c r="E56" s="50" t="str">
        <f>"33"</f>
        <v>33</v>
      </c>
      <c r="F56" s="23" t="s">
        <v>500</v>
      </c>
      <c r="G56" s="24"/>
      <c r="H56" s="24"/>
      <c r="I56" s="24"/>
      <c r="J56" s="25"/>
    </row>
    <row r="57" spans="2:10">
      <c r="B57" s="100" t="str">
        <f>"70"</f>
        <v>70</v>
      </c>
      <c r="C57" s="23" t="s">
        <v>441</v>
      </c>
      <c r="D57" s="24"/>
      <c r="E57" s="50" t="str">
        <f>"34"</f>
        <v>34</v>
      </c>
      <c r="F57" s="23" t="s">
        <v>502</v>
      </c>
      <c r="G57" s="24"/>
      <c r="H57" s="24"/>
      <c r="I57" s="24"/>
      <c r="J57" s="25"/>
    </row>
    <row r="58" spans="2:10">
      <c r="B58" s="100" t="str">
        <f>"71"</f>
        <v>71</v>
      </c>
      <c r="C58" s="23" t="s">
        <v>442</v>
      </c>
      <c r="D58" s="24"/>
      <c r="E58" s="50" t="str">
        <f>"35"</f>
        <v>35</v>
      </c>
      <c r="F58" s="23" t="s">
        <v>504</v>
      </c>
      <c r="G58" s="24"/>
      <c r="H58" s="24"/>
      <c r="I58" s="24"/>
      <c r="J58" s="25"/>
    </row>
    <row r="59" spans="2:10">
      <c r="B59" s="100" t="str">
        <f>"72"</f>
        <v>72</v>
      </c>
      <c r="C59" s="23" t="s">
        <v>443</v>
      </c>
      <c r="D59" s="24"/>
      <c r="E59" s="50" t="str">
        <f>"36"</f>
        <v>36</v>
      </c>
      <c r="F59" s="23" t="s">
        <v>506</v>
      </c>
      <c r="G59" s="24"/>
      <c r="H59" s="24"/>
      <c r="I59" s="24"/>
      <c r="J59" s="25"/>
    </row>
    <row r="60" spans="2:10">
      <c r="B60" s="100" t="str">
        <f>"73"</f>
        <v>73</v>
      </c>
      <c r="C60" s="23" t="s">
        <v>445</v>
      </c>
      <c r="D60" s="24"/>
      <c r="E60" s="50" t="str">
        <f>"37"</f>
        <v>37</v>
      </c>
      <c r="F60" s="23" t="s">
        <v>508</v>
      </c>
      <c r="G60" s="24"/>
      <c r="H60" s="24"/>
      <c r="I60" s="24"/>
      <c r="J60" s="25"/>
    </row>
    <row r="61" spans="2:10">
      <c r="B61" s="100" t="str">
        <f>"74"</f>
        <v>74</v>
      </c>
      <c r="C61" s="23" t="s">
        <v>447</v>
      </c>
      <c r="D61" s="24"/>
      <c r="E61" s="50" t="str">
        <f>"38"</f>
        <v>38</v>
      </c>
      <c r="F61" s="23" t="s">
        <v>510</v>
      </c>
      <c r="G61" s="24"/>
      <c r="H61" s="24"/>
      <c r="I61" s="24"/>
      <c r="J61" s="25"/>
    </row>
    <row r="62" spans="2:10">
      <c r="B62" s="100" t="str">
        <f>"75"</f>
        <v>75</v>
      </c>
      <c r="C62" s="23" t="s">
        <v>449</v>
      </c>
      <c r="D62" s="24"/>
      <c r="E62" s="50" t="str">
        <f>"39"</f>
        <v>39</v>
      </c>
      <c r="F62" s="23" t="s">
        <v>512</v>
      </c>
      <c r="G62" s="24"/>
      <c r="H62" s="24"/>
      <c r="I62" s="24"/>
      <c r="J62" s="25"/>
    </row>
    <row r="63" spans="2:10">
      <c r="B63" s="100" t="str">
        <f>"76"</f>
        <v>76</v>
      </c>
      <c r="C63" s="23" t="s">
        <v>451</v>
      </c>
      <c r="D63" s="24"/>
      <c r="E63" s="50" t="str">
        <f>"52"</f>
        <v>52</v>
      </c>
      <c r="F63" s="23" t="s">
        <v>514</v>
      </c>
      <c r="G63" s="24"/>
      <c r="H63" s="24"/>
      <c r="I63" s="24"/>
      <c r="J63" s="25"/>
    </row>
    <row r="64" spans="2:10">
      <c r="B64" s="100" t="str">
        <f>"78"</f>
        <v>78</v>
      </c>
      <c r="C64" s="23" t="s">
        <v>453</v>
      </c>
      <c r="D64" s="24"/>
      <c r="E64" s="50" t="str">
        <f>"53"</f>
        <v>53</v>
      </c>
      <c r="F64" s="23" t="s">
        <v>515</v>
      </c>
      <c r="G64" s="24"/>
      <c r="H64" s="24"/>
      <c r="I64" s="24"/>
      <c r="J64" s="25"/>
    </row>
    <row r="65" spans="2:10">
      <c r="B65" s="100" t="str">
        <f>"7A"</f>
        <v>7A</v>
      </c>
      <c r="C65" s="23" t="s">
        <v>2073</v>
      </c>
      <c r="D65" s="24"/>
      <c r="E65" s="50" t="str">
        <f>"54"</f>
        <v>54</v>
      </c>
      <c r="F65" s="23" t="s">
        <v>516</v>
      </c>
      <c r="G65" s="24"/>
      <c r="H65" s="24"/>
      <c r="I65" s="24"/>
      <c r="J65" s="25"/>
    </row>
    <row r="66" spans="2:10">
      <c r="B66" s="100" t="str">
        <f>"7B"</f>
        <v>7B</v>
      </c>
      <c r="C66" s="23" t="s">
        <v>2074</v>
      </c>
      <c r="D66" s="24"/>
      <c r="E66" s="50" t="str">
        <f>"55"</f>
        <v>55</v>
      </c>
      <c r="F66" s="23" t="s">
        <v>518</v>
      </c>
      <c r="G66" s="24"/>
      <c r="H66" s="24"/>
      <c r="I66" s="24"/>
      <c r="J66" s="25"/>
    </row>
    <row r="67" spans="2:10">
      <c r="B67" s="100" t="str">
        <f>"7C"</f>
        <v>7C</v>
      </c>
      <c r="C67" s="23" t="s">
        <v>457</v>
      </c>
      <c r="D67" s="24"/>
      <c r="E67" s="50" t="str">
        <f>"60"</f>
        <v>60</v>
      </c>
      <c r="F67" s="23" t="s">
        <v>520</v>
      </c>
      <c r="G67" s="24"/>
      <c r="H67" s="24"/>
      <c r="I67" s="24"/>
      <c r="J67" s="25"/>
    </row>
    <row r="68" spans="2:10">
      <c r="B68" s="100" t="str">
        <f>"81"</f>
        <v>81</v>
      </c>
      <c r="C68" s="23" t="s">
        <v>459</v>
      </c>
      <c r="D68" s="24"/>
      <c r="E68" s="50" t="str">
        <f>"62"</f>
        <v>62</v>
      </c>
      <c r="F68" s="23" t="s">
        <v>522</v>
      </c>
      <c r="G68" s="24"/>
      <c r="H68" s="24"/>
      <c r="I68" s="24"/>
      <c r="J68" s="25"/>
    </row>
    <row r="69" spans="2:10">
      <c r="B69" s="100" t="str">
        <f>"82"</f>
        <v>82</v>
      </c>
      <c r="C69" s="23" t="s">
        <v>461</v>
      </c>
      <c r="D69" s="24"/>
      <c r="E69" s="50" t="str">
        <f>"63"</f>
        <v>63</v>
      </c>
      <c r="F69" s="23" t="s">
        <v>524</v>
      </c>
      <c r="G69" s="24"/>
      <c r="H69" s="24"/>
      <c r="I69" s="24"/>
      <c r="J69" s="25"/>
    </row>
    <row r="70" spans="2:10">
      <c r="B70" s="100" t="str">
        <f>"83"</f>
        <v>83</v>
      </c>
      <c r="C70" s="23" t="s">
        <v>462</v>
      </c>
      <c r="D70" s="24"/>
      <c r="E70" s="50" t="str">
        <f>"75"</f>
        <v>75</v>
      </c>
      <c r="F70" s="23" t="s">
        <v>526</v>
      </c>
      <c r="G70" s="24"/>
      <c r="H70" s="24"/>
      <c r="I70" s="24"/>
      <c r="J70" s="25"/>
    </row>
    <row r="71" spans="2:10">
      <c r="B71" s="100" t="str">
        <f>"84"</f>
        <v>84</v>
      </c>
      <c r="C71" s="23" t="s">
        <v>463</v>
      </c>
      <c r="D71" s="24"/>
      <c r="E71" s="50" t="str">
        <f>"77"</f>
        <v>77</v>
      </c>
      <c r="F71" s="23" t="s">
        <v>528</v>
      </c>
      <c r="G71" s="24"/>
      <c r="H71" s="24"/>
      <c r="I71" s="24"/>
      <c r="J71" s="25"/>
    </row>
    <row r="72" spans="2:10">
      <c r="B72" s="100" t="str">
        <f>"85"</f>
        <v>85</v>
      </c>
      <c r="C72" s="23" t="s">
        <v>465</v>
      </c>
      <c r="D72" s="24"/>
      <c r="E72" s="50" t="str">
        <f>"78"</f>
        <v>78</v>
      </c>
      <c r="F72" s="23" t="s">
        <v>530</v>
      </c>
      <c r="G72" s="24"/>
      <c r="H72" s="24"/>
      <c r="I72" s="24"/>
      <c r="J72" s="25"/>
    </row>
    <row r="73" spans="2:10">
      <c r="B73" s="100" t="str">
        <f>"87"</f>
        <v>87</v>
      </c>
      <c r="C73" s="23" t="s">
        <v>467</v>
      </c>
      <c r="D73" s="24"/>
      <c r="E73" s="50" t="str">
        <f>"79"</f>
        <v>79</v>
      </c>
      <c r="F73" s="23" t="s">
        <v>532</v>
      </c>
      <c r="G73" s="24"/>
      <c r="H73" s="24"/>
      <c r="I73" s="24"/>
      <c r="J73" s="25"/>
    </row>
    <row r="74" spans="2:10">
      <c r="B74" s="100" t="str">
        <f>"8A"</f>
        <v>8A</v>
      </c>
      <c r="C74" s="23" t="s">
        <v>469</v>
      </c>
      <c r="D74" s="24"/>
      <c r="E74" s="50" t="str">
        <f>"80"</f>
        <v>80</v>
      </c>
      <c r="F74" s="23" t="s">
        <v>534</v>
      </c>
      <c r="G74" s="24"/>
      <c r="H74" s="24"/>
      <c r="I74" s="24"/>
      <c r="J74" s="25"/>
    </row>
    <row r="75" spans="2:10">
      <c r="B75" s="100" t="str">
        <f>"8B"</f>
        <v>8B</v>
      </c>
      <c r="C75" s="23" t="s">
        <v>471</v>
      </c>
      <c r="D75" s="24"/>
      <c r="E75" s="50" t="str">
        <f>"81"</f>
        <v>81</v>
      </c>
      <c r="F75" s="23" t="s">
        <v>536</v>
      </c>
      <c r="G75" s="24"/>
      <c r="H75" s="24"/>
      <c r="I75" s="24"/>
      <c r="J75" s="25"/>
    </row>
    <row r="76" spans="2:10">
      <c r="B76" s="100" t="str">
        <f>"8C"</f>
        <v>8C</v>
      </c>
      <c r="C76" s="23" t="s">
        <v>2075</v>
      </c>
      <c r="D76" s="24"/>
      <c r="E76" s="50" t="str">
        <f>"82"</f>
        <v>82</v>
      </c>
      <c r="F76" s="23" t="s">
        <v>538</v>
      </c>
      <c r="G76" s="24"/>
      <c r="H76" s="24"/>
      <c r="I76" s="24"/>
      <c r="J76" s="25"/>
    </row>
    <row r="77" spans="2:10">
      <c r="B77" s="100" t="str">
        <f>"8D"</f>
        <v>8D</v>
      </c>
      <c r="C77" s="23" t="s">
        <v>474</v>
      </c>
      <c r="D77" s="24"/>
      <c r="E77" s="50" t="str">
        <f>"83"</f>
        <v>83</v>
      </c>
      <c r="F77" s="23" t="s">
        <v>540</v>
      </c>
      <c r="G77" s="24"/>
      <c r="H77" s="24"/>
      <c r="I77" s="24"/>
      <c r="J77" s="25"/>
    </row>
    <row r="78" spans="2:10">
      <c r="B78" s="100" t="str">
        <f>"91"</f>
        <v>91</v>
      </c>
      <c r="C78" s="23" t="s">
        <v>475</v>
      </c>
      <c r="D78" s="24"/>
      <c r="E78" s="50" t="str">
        <f>"85"</f>
        <v>85</v>
      </c>
      <c r="F78" s="23" t="s">
        <v>542</v>
      </c>
      <c r="G78" s="24"/>
      <c r="H78" s="24"/>
      <c r="I78" s="24"/>
      <c r="J78" s="25"/>
    </row>
    <row r="79" spans="2:10">
      <c r="B79" s="100" t="str">
        <f>"93"</f>
        <v>93</v>
      </c>
      <c r="C79" s="23" t="s">
        <v>476</v>
      </c>
      <c r="D79" s="24"/>
      <c r="E79" s="50" t="str">
        <f>"86"</f>
        <v>86</v>
      </c>
      <c r="F79" s="23" t="s">
        <v>544</v>
      </c>
      <c r="G79" s="24"/>
      <c r="H79" s="24"/>
      <c r="I79" s="24"/>
      <c r="J79" s="25"/>
    </row>
    <row r="80" spans="2:10">
      <c r="B80" s="100" t="str">
        <f>"94"</f>
        <v>94</v>
      </c>
      <c r="C80" s="23" t="s">
        <v>477</v>
      </c>
      <c r="D80" s="24"/>
      <c r="E80" s="50" t="str">
        <f>"87"</f>
        <v>87</v>
      </c>
      <c r="F80" s="23" t="s">
        <v>546</v>
      </c>
      <c r="G80" s="24"/>
      <c r="H80" s="27"/>
      <c r="I80" s="27"/>
      <c r="J80" s="28"/>
    </row>
    <row r="81" spans="2:10" ht="12.75" customHeight="1">
      <c r="B81" s="100" t="str">
        <f>"97"</f>
        <v>97</v>
      </c>
      <c r="C81" s="23" t="s">
        <v>479</v>
      </c>
      <c r="D81" s="24"/>
      <c r="E81" s="51" t="str">
        <f>"99"</f>
        <v>99</v>
      </c>
      <c r="F81" s="26" t="s">
        <v>548</v>
      </c>
      <c r="G81" s="27"/>
    </row>
    <row r="82" spans="2:10" ht="12.75" customHeight="1">
      <c r="B82" s="100" t="str">
        <f>"98"</f>
        <v>98</v>
      </c>
      <c r="C82" s="23" t="s">
        <v>480</v>
      </c>
      <c r="D82" s="24"/>
      <c r="H82" s="31"/>
      <c r="I82" s="31"/>
      <c r="J82" s="31"/>
    </row>
    <row r="83" spans="2:10" ht="16.5" customHeight="1">
      <c r="B83" s="100" t="str">
        <f>"99"</f>
        <v>99</v>
      </c>
      <c r="C83" s="23" t="s">
        <v>481</v>
      </c>
      <c r="D83" s="24"/>
      <c r="E83" s="31" t="s">
        <v>486</v>
      </c>
      <c r="F83" s="31"/>
      <c r="G83" s="31"/>
      <c r="H83" s="31"/>
      <c r="I83" s="31"/>
      <c r="J83" s="31"/>
    </row>
    <row r="84" spans="2:10" ht="14.25">
      <c r="B84" s="100" t="str">
        <f>"9A"</f>
        <v>9A</v>
      </c>
      <c r="C84" s="23" t="s">
        <v>482</v>
      </c>
      <c r="D84" s="24"/>
      <c r="E84" s="31"/>
      <c r="F84" s="31"/>
      <c r="G84" s="31"/>
    </row>
    <row r="85" spans="2:10">
      <c r="B85" s="100" t="str">
        <f>"9B"</f>
        <v>9B</v>
      </c>
      <c r="C85" s="23" t="s">
        <v>2076</v>
      </c>
      <c r="D85" s="24"/>
    </row>
    <row r="86" spans="2:10">
      <c r="B86" s="103" t="str">
        <f>"9C"</f>
        <v>9C</v>
      </c>
      <c r="C86" s="26" t="s">
        <v>2078</v>
      </c>
      <c r="D86" s="27"/>
    </row>
    <row r="87" spans="2:10" ht="12.75" customHeight="1"/>
    <row r="88" spans="2:10" ht="12.75" customHeight="1">
      <c r="B88" s="45" t="s">
        <v>412</v>
      </c>
      <c r="C88" s="30"/>
      <c r="D88" s="30"/>
    </row>
    <row r="89" spans="2:10" ht="14.25">
      <c r="B89" s="45"/>
      <c r="C89" s="30"/>
      <c r="D89" s="30"/>
    </row>
    <row r="91" spans="2:10" ht="15" thickBot="1">
      <c r="B91" s="46" t="s">
        <v>2045</v>
      </c>
      <c r="C91" s="32"/>
      <c r="D91" s="32"/>
      <c r="H91" s="32"/>
      <c r="I91" s="32"/>
      <c r="J91" s="32"/>
    </row>
    <row r="92" spans="2:10" ht="15" thickBot="1">
      <c r="B92" s="47" t="s">
        <v>413</v>
      </c>
      <c r="C92" s="17" t="s">
        <v>414</v>
      </c>
      <c r="D92" s="17"/>
      <c r="E92" s="32" t="s">
        <v>2046</v>
      </c>
      <c r="F92" s="32"/>
      <c r="G92" s="32"/>
      <c r="H92" s="17"/>
      <c r="I92" s="17"/>
      <c r="J92" s="29"/>
    </row>
    <row r="93" spans="2:10">
      <c r="E93" s="17" t="s">
        <v>487</v>
      </c>
      <c r="F93" s="17" t="s">
        <v>488</v>
      </c>
      <c r="G93" s="17"/>
    </row>
    <row r="104" ht="15" customHeight="1"/>
    <row r="105" ht="12.75" customHeight="1"/>
    <row r="106" ht="13.5" customHeight="1"/>
  </sheetData>
  <printOptions horizontalCentered="1"/>
  <pageMargins left="0.15748031496062992" right="0.15748031496062992" top="0.19685039370078741" bottom="0.19685039370078741" header="0.51181102362204722" footer="0.51181102362204722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U2576"/>
  <sheetViews>
    <sheetView tabSelected="1" zoomScale="70" zoomScaleNormal="70" zoomScaleSheetLayoutView="100" workbookViewId="0">
      <pane ySplit="2" topLeftCell="A2284" activePane="bottomLeft" state="frozen"/>
      <selection pane="bottomLeft" activeCell="K2316" sqref="K2316"/>
    </sheetView>
  </sheetViews>
  <sheetFormatPr defaultRowHeight="18"/>
  <cols>
    <col min="1" max="1" width="6.5703125" style="53" bestFit="1" customWidth="1"/>
    <col min="2" max="2" width="9.42578125" style="53" bestFit="1" customWidth="1"/>
    <col min="3" max="3" width="14.42578125" style="53" bestFit="1" customWidth="1"/>
    <col min="4" max="4" width="18.140625" style="55" bestFit="1" customWidth="1"/>
    <col min="5" max="5" width="58.85546875" style="223" bestFit="1" customWidth="1"/>
    <col min="6" max="6" width="20" style="52" customWidth="1"/>
    <col min="7" max="7" width="25.28515625" style="52" bestFit="1" customWidth="1"/>
    <col min="8" max="8" width="14.85546875" style="52" bestFit="1" customWidth="1"/>
    <col min="9" max="9" width="22.85546875" style="56" bestFit="1" customWidth="1"/>
    <col min="10" max="10" width="29.28515625" style="56" bestFit="1" customWidth="1"/>
    <col min="11" max="11" width="23.140625" style="43" bestFit="1" customWidth="1"/>
    <col min="12" max="12" width="25.5703125" style="43" bestFit="1" customWidth="1"/>
    <col min="13" max="13" width="3" style="1" bestFit="1" customWidth="1"/>
    <col min="14" max="14" width="9.140625" style="1"/>
    <col min="15" max="15" width="3" style="1" bestFit="1" customWidth="1"/>
    <col min="16" max="16" width="13.28515625" style="1" bestFit="1" customWidth="1"/>
    <col min="17" max="17" width="42.28515625" style="1" bestFit="1" customWidth="1"/>
    <col min="18" max="16384" width="9.140625" style="1"/>
  </cols>
  <sheetData>
    <row r="1" spans="1:229" ht="42.75">
      <c r="A1" s="245" t="s">
        <v>5315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</row>
    <row r="2" spans="1:229" ht="18" customHeight="1">
      <c r="A2" s="42" t="s">
        <v>1843</v>
      </c>
      <c r="B2" s="42" t="s">
        <v>1856</v>
      </c>
      <c r="C2" s="42" t="s">
        <v>2491</v>
      </c>
      <c r="D2" s="42" t="s">
        <v>2492</v>
      </c>
      <c r="E2" s="188" t="s">
        <v>1804</v>
      </c>
      <c r="F2" s="42"/>
      <c r="G2" s="42" t="s">
        <v>1803</v>
      </c>
      <c r="H2" s="104" t="s">
        <v>1867</v>
      </c>
      <c r="I2" s="104" t="s">
        <v>225</v>
      </c>
      <c r="J2" s="42" t="s">
        <v>1739</v>
      </c>
      <c r="K2" s="42" t="s">
        <v>1045</v>
      </c>
      <c r="L2" s="42" t="s">
        <v>1046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</row>
    <row r="3" spans="1:229" s="9" customFormat="1" ht="15">
      <c r="A3" s="105">
        <v>1</v>
      </c>
      <c r="B3" s="106" t="s">
        <v>1896</v>
      </c>
      <c r="C3" s="106"/>
      <c r="D3" s="8" t="str">
        <f>"1215710010"</f>
        <v>1215710010</v>
      </c>
      <c r="E3" s="189" t="s">
        <v>314</v>
      </c>
      <c r="F3" s="106"/>
      <c r="G3" s="107" t="s">
        <v>313</v>
      </c>
      <c r="H3" s="107">
        <v>4200</v>
      </c>
      <c r="I3" s="8" t="s">
        <v>310</v>
      </c>
      <c r="J3" s="8" t="s">
        <v>1690</v>
      </c>
      <c r="K3" s="57">
        <v>30</v>
      </c>
      <c r="L3" s="58">
        <v>30</v>
      </c>
    </row>
    <row r="4" spans="1:229" s="9" customFormat="1" ht="15">
      <c r="A4" s="105">
        <v>2</v>
      </c>
      <c r="B4" s="106" t="s">
        <v>1896</v>
      </c>
      <c r="C4" s="106"/>
      <c r="D4" s="8" t="s">
        <v>2033</v>
      </c>
      <c r="E4" s="189" t="s">
        <v>1932</v>
      </c>
      <c r="F4" s="106"/>
      <c r="G4" s="106" t="s">
        <v>1931</v>
      </c>
      <c r="H4" s="107">
        <v>5110</v>
      </c>
      <c r="I4" s="8" t="s">
        <v>267</v>
      </c>
      <c r="J4" s="108" t="s">
        <v>258</v>
      </c>
      <c r="K4" s="57">
        <v>30</v>
      </c>
      <c r="L4" s="58">
        <v>30</v>
      </c>
    </row>
    <row r="5" spans="1:229" s="9" customFormat="1" ht="15">
      <c r="A5" s="105"/>
      <c r="B5" s="106" t="s">
        <v>4547</v>
      </c>
      <c r="C5" s="106"/>
      <c r="D5" s="8" t="s">
        <v>4658</v>
      </c>
      <c r="E5" s="189" t="s">
        <v>1932</v>
      </c>
      <c r="F5" s="106"/>
      <c r="G5" s="106" t="s">
        <v>4659</v>
      </c>
      <c r="H5" s="107">
        <v>5110</v>
      </c>
      <c r="I5" s="8" t="s">
        <v>267</v>
      </c>
      <c r="J5" s="108" t="s">
        <v>258</v>
      </c>
      <c r="K5" s="57">
        <v>30</v>
      </c>
      <c r="L5" s="58">
        <v>30</v>
      </c>
    </row>
    <row r="6" spans="1:229" s="9" customFormat="1" ht="15">
      <c r="A6" s="105">
        <v>3</v>
      </c>
      <c r="B6" s="106" t="s">
        <v>1896</v>
      </c>
      <c r="C6" s="106"/>
      <c r="D6" s="8" t="s">
        <v>2034</v>
      </c>
      <c r="E6" s="189" t="s">
        <v>1123</v>
      </c>
      <c r="F6" s="106"/>
      <c r="G6" s="106" t="s">
        <v>369</v>
      </c>
      <c r="H6" s="107">
        <v>5110</v>
      </c>
      <c r="I6" s="8" t="s">
        <v>267</v>
      </c>
      <c r="J6" s="8" t="s">
        <v>258</v>
      </c>
      <c r="K6" s="57">
        <v>30</v>
      </c>
      <c r="L6" s="58">
        <v>30</v>
      </c>
    </row>
    <row r="7" spans="1:229" s="9" customFormat="1" ht="15">
      <c r="A7" s="105">
        <v>4</v>
      </c>
      <c r="B7" s="106" t="s">
        <v>1896</v>
      </c>
      <c r="C7" s="106"/>
      <c r="D7" s="8" t="s">
        <v>2035</v>
      </c>
      <c r="E7" s="189" t="s">
        <v>371</v>
      </c>
      <c r="F7" s="106"/>
      <c r="G7" s="106" t="s">
        <v>370</v>
      </c>
      <c r="H7" s="107">
        <v>5110</v>
      </c>
      <c r="I7" s="8" t="s">
        <v>267</v>
      </c>
      <c r="J7" s="8" t="s">
        <v>258</v>
      </c>
      <c r="K7" s="57">
        <v>30</v>
      </c>
      <c r="L7" s="58">
        <v>30</v>
      </c>
    </row>
    <row r="8" spans="1:229" s="9" customFormat="1" ht="15">
      <c r="A8" s="105">
        <v>5</v>
      </c>
      <c r="B8" s="106" t="s">
        <v>1896</v>
      </c>
      <c r="C8" s="106"/>
      <c r="D8" s="8" t="str">
        <f>"4103934070"</f>
        <v>4103934070</v>
      </c>
      <c r="E8" s="189" t="s">
        <v>374</v>
      </c>
      <c r="F8" s="106"/>
      <c r="G8" s="107" t="s">
        <v>1802</v>
      </c>
      <c r="H8" s="107" t="s">
        <v>379</v>
      </c>
      <c r="I8" s="8" t="s">
        <v>260</v>
      </c>
      <c r="J8" s="8" t="s">
        <v>1690</v>
      </c>
      <c r="K8" s="57">
        <v>30</v>
      </c>
      <c r="L8" s="58">
        <v>30</v>
      </c>
    </row>
    <row r="9" spans="1:229" s="9" customFormat="1" ht="15">
      <c r="A9" s="105">
        <v>6</v>
      </c>
      <c r="B9" s="106" t="s">
        <v>1896</v>
      </c>
      <c r="C9" s="106"/>
      <c r="D9" s="8" t="str">
        <f>"4103934090"</f>
        <v>4103934090</v>
      </c>
      <c r="E9" s="189" t="s">
        <v>374</v>
      </c>
      <c r="F9" s="106"/>
      <c r="G9" s="107" t="s">
        <v>1802</v>
      </c>
      <c r="H9" s="107" t="s">
        <v>315</v>
      </c>
      <c r="I9" s="8" t="s">
        <v>226</v>
      </c>
      <c r="J9" s="8" t="s">
        <v>1690</v>
      </c>
      <c r="K9" s="57">
        <v>30</v>
      </c>
      <c r="L9" s="58">
        <v>30</v>
      </c>
    </row>
    <row r="10" spans="1:229" s="9" customFormat="1" ht="15">
      <c r="A10" s="105">
        <v>7</v>
      </c>
      <c r="B10" s="106" t="s">
        <v>1896</v>
      </c>
      <c r="C10" s="106"/>
      <c r="D10" s="8" t="str">
        <f>"4103971010"</f>
        <v>4103971010</v>
      </c>
      <c r="E10" s="189" t="s">
        <v>374</v>
      </c>
      <c r="F10" s="106"/>
      <c r="G10" s="107" t="s">
        <v>1802</v>
      </c>
      <c r="H10" s="107" t="s">
        <v>379</v>
      </c>
      <c r="I10" s="8" t="s">
        <v>260</v>
      </c>
      <c r="J10" s="8" t="s">
        <v>1690</v>
      </c>
      <c r="K10" s="57">
        <v>30</v>
      </c>
      <c r="L10" s="58">
        <v>30</v>
      </c>
    </row>
    <row r="11" spans="1:229" s="9" customFormat="1" ht="15">
      <c r="A11" s="105">
        <v>8</v>
      </c>
      <c r="B11" s="106" t="s">
        <v>1896</v>
      </c>
      <c r="C11" s="106"/>
      <c r="D11" s="8" t="str">
        <f>"4103971020"</f>
        <v>4103971020</v>
      </c>
      <c r="E11" s="189" t="s">
        <v>374</v>
      </c>
      <c r="F11" s="106"/>
      <c r="G11" s="107" t="s">
        <v>1802</v>
      </c>
      <c r="H11" s="107" t="s">
        <v>385</v>
      </c>
      <c r="I11" s="8" t="s">
        <v>317</v>
      </c>
      <c r="J11" s="8" t="s">
        <v>1690</v>
      </c>
      <c r="K11" s="57">
        <v>30</v>
      </c>
      <c r="L11" s="58">
        <v>30</v>
      </c>
    </row>
    <row r="12" spans="1:229" s="9" customFormat="1" ht="15">
      <c r="A12" s="105">
        <v>9</v>
      </c>
      <c r="B12" s="106" t="s">
        <v>1896</v>
      </c>
      <c r="C12" s="106"/>
      <c r="D12" s="8" t="str">
        <f>"411010K010"</f>
        <v>411010K010</v>
      </c>
      <c r="E12" s="189" t="s">
        <v>834</v>
      </c>
      <c r="F12" s="106"/>
      <c r="G12" s="106" t="s">
        <v>375</v>
      </c>
      <c r="H12" s="107">
        <v>4100</v>
      </c>
      <c r="I12" s="8" t="s">
        <v>260</v>
      </c>
      <c r="J12" s="109" t="s">
        <v>377</v>
      </c>
      <c r="K12" s="57">
        <v>30</v>
      </c>
      <c r="L12" s="58">
        <v>30</v>
      </c>
    </row>
    <row r="13" spans="1:229" s="9" customFormat="1" ht="15">
      <c r="A13" s="105">
        <v>10</v>
      </c>
      <c r="B13" s="106" t="s">
        <v>1896</v>
      </c>
      <c r="C13" s="106"/>
      <c r="D13" s="8" t="s">
        <v>2037</v>
      </c>
      <c r="E13" s="189" t="s">
        <v>834</v>
      </c>
      <c r="F13" s="106"/>
      <c r="G13" s="107" t="s">
        <v>1762</v>
      </c>
      <c r="H13" s="107">
        <v>4100</v>
      </c>
      <c r="I13" s="8" t="s">
        <v>226</v>
      </c>
      <c r="J13" s="109" t="s">
        <v>377</v>
      </c>
      <c r="K13" s="57">
        <v>30</v>
      </c>
      <c r="L13" s="58">
        <v>30</v>
      </c>
    </row>
    <row r="14" spans="1:229" s="9" customFormat="1" ht="15">
      <c r="A14" s="105">
        <v>11</v>
      </c>
      <c r="B14" s="106" t="s">
        <v>1896</v>
      </c>
      <c r="C14" s="106"/>
      <c r="D14" s="8" t="s">
        <v>2038</v>
      </c>
      <c r="E14" s="189" t="s">
        <v>834</v>
      </c>
      <c r="F14" s="106"/>
      <c r="G14" s="106" t="s">
        <v>376</v>
      </c>
      <c r="H14" s="107">
        <v>4100</v>
      </c>
      <c r="I14" s="8" t="s">
        <v>317</v>
      </c>
      <c r="J14" s="109" t="s">
        <v>377</v>
      </c>
      <c r="K14" s="57">
        <v>30</v>
      </c>
      <c r="L14" s="58">
        <v>30</v>
      </c>
    </row>
    <row r="15" spans="1:229" s="9" customFormat="1" ht="15">
      <c r="A15" s="105">
        <v>12</v>
      </c>
      <c r="B15" s="106" t="s">
        <v>1896</v>
      </c>
      <c r="C15" s="106"/>
      <c r="D15" s="8" t="s">
        <v>2039</v>
      </c>
      <c r="E15" s="189" t="s">
        <v>830</v>
      </c>
      <c r="F15" s="106"/>
      <c r="G15" s="106" t="s">
        <v>378</v>
      </c>
      <c r="H15" s="107" t="s">
        <v>379</v>
      </c>
      <c r="I15" s="8" t="s">
        <v>260</v>
      </c>
      <c r="J15" s="108" t="s">
        <v>1110</v>
      </c>
      <c r="K15" s="57">
        <v>30</v>
      </c>
      <c r="L15" s="58">
        <v>30</v>
      </c>
    </row>
    <row r="16" spans="1:229" s="9" customFormat="1" ht="15">
      <c r="A16" s="105">
        <v>13</v>
      </c>
      <c r="B16" s="106" t="s">
        <v>1896</v>
      </c>
      <c r="C16" s="106"/>
      <c r="D16" s="8" t="s">
        <v>2051</v>
      </c>
      <c r="E16" s="189" t="s">
        <v>830</v>
      </c>
      <c r="F16" s="106"/>
      <c r="G16" s="106" t="s">
        <v>378</v>
      </c>
      <c r="H16" s="107" t="s">
        <v>379</v>
      </c>
      <c r="I16" s="8" t="s">
        <v>260</v>
      </c>
      <c r="J16" s="108" t="s">
        <v>1110</v>
      </c>
      <c r="K16" s="57">
        <v>30</v>
      </c>
      <c r="L16" s="58">
        <v>30</v>
      </c>
    </row>
    <row r="17" spans="1:12" s="9" customFormat="1" ht="15">
      <c r="A17" s="105">
        <v>14</v>
      </c>
      <c r="B17" s="106" t="s">
        <v>1896</v>
      </c>
      <c r="C17" s="106"/>
      <c r="D17" s="8" t="s">
        <v>2040</v>
      </c>
      <c r="E17" s="189" t="s">
        <v>830</v>
      </c>
      <c r="F17" s="106"/>
      <c r="G17" s="107" t="s">
        <v>316</v>
      </c>
      <c r="H17" s="107" t="s">
        <v>379</v>
      </c>
      <c r="I17" s="8" t="s">
        <v>260</v>
      </c>
      <c r="J17" s="108" t="s">
        <v>1110</v>
      </c>
      <c r="K17" s="57">
        <v>30</v>
      </c>
      <c r="L17" s="58">
        <v>30</v>
      </c>
    </row>
    <row r="18" spans="1:12" s="9" customFormat="1" ht="15">
      <c r="A18" s="105">
        <v>15</v>
      </c>
      <c r="B18" s="106" t="s">
        <v>1896</v>
      </c>
      <c r="C18" s="106"/>
      <c r="D18" s="8" t="s">
        <v>2052</v>
      </c>
      <c r="E18" s="189" t="s">
        <v>830</v>
      </c>
      <c r="F18" s="106"/>
      <c r="G18" s="107" t="s">
        <v>316</v>
      </c>
      <c r="H18" s="107" t="s">
        <v>379</v>
      </c>
      <c r="I18" s="8" t="s">
        <v>260</v>
      </c>
      <c r="J18" s="108" t="s">
        <v>1110</v>
      </c>
      <c r="K18" s="57">
        <v>30</v>
      </c>
      <c r="L18" s="58">
        <v>30</v>
      </c>
    </row>
    <row r="19" spans="1:12" s="9" customFormat="1" ht="15">
      <c r="A19" s="105">
        <v>16</v>
      </c>
      <c r="B19" s="106" t="s">
        <v>1896</v>
      </c>
      <c r="C19" s="106"/>
      <c r="D19" s="8" t="s">
        <v>2041</v>
      </c>
      <c r="E19" s="189" t="s">
        <v>830</v>
      </c>
      <c r="F19" s="106"/>
      <c r="G19" s="107" t="s">
        <v>1800</v>
      </c>
      <c r="H19" s="107" t="s">
        <v>379</v>
      </c>
      <c r="I19" s="8" t="s">
        <v>260</v>
      </c>
      <c r="J19" s="108" t="s">
        <v>1110</v>
      </c>
      <c r="K19" s="57">
        <v>30</v>
      </c>
      <c r="L19" s="58">
        <v>30</v>
      </c>
    </row>
    <row r="20" spans="1:12" s="9" customFormat="1" ht="15">
      <c r="A20" s="105">
        <v>17</v>
      </c>
      <c r="B20" s="106" t="s">
        <v>1896</v>
      </c>
      <c r="C20" s="106"/>
      <c r="D20" s="8" t="s">
        <v>2053</v>
      </c>
      <c r="E20" s="189" t="s">
        <v>830</v>
      </c>
      <c r="F20" s="106"/>
      <c r="G20" s="107" t="s">
        <v>1800</v>
      </c>
      <c r="H20" s="107" t="s">
        <v>379</v>
      </c>
      <c r="I20" s="8" t="s">
        <v>260</v>
      </c>
      <c r="J20" s="108" t="s">
        <v>1110</v>
      </c>
      <c r="K20" s="57">
        <v>30</v>
      </c>
      <c r="L20" s="58">
        <v>30</v>
      </c>
    </row>
    <row r="21" spans="1:12" s="9" customFormat="1" ht="15">
      <c r="A21" s="105">
        <v>18</v>
      </c>
      <c r="B21" s="106" t="s">
        <v>1896</v>
      </c>
      <c r="C21" s="106"/>
      <c r="D21" s="8" t="s">
        <v>2042</v>
      </c>
      <c r="E21" s="189" t="s">
        <v>830</v>
      </c>
      <c r="F21" s="106"/>
      <c r="G21" s="106" t="s">
        <v>380</v>
      </c>
      <c r="H21" s="107" t="s">
        <v>379</v>
      </c>
      <c r="I21" s="8" t="s">
        <v>260</v>
      </c>
      <c r="J21" s="108" t="s">
        <v>1110</v>
      </c>
      <c r="K21" s="57">
        <v>30</v>
      </c>
      <c r="L21" s="58">
        <v>30</v>
      </c>
    </row>
    <row r="22" spans="1:12" s="9" customFormat="1" ht="15">
      <c r="A22" s="105">
        <v>19</v>
      </c>
      <c r="B22" s="106" t="s">
        <v>1896</v>
      </c>
      <c r="C22" s="106"/>
      <c r="D22" s="8" t="s">
        <v>2054</v>
      </c>
      <c r="E22" s="189" t="s">
        <v>830</v>
      </c>
      <c r="F22" s="106"/>
      <c r="G22" s="106" t="s">
        <v>380</v>
      </c>
      <c r="H22" s="107" t="s">
        <v>379</v>
      </c>
      <c r="I22" s="8" t="s">
        <v>260</v>
      </c>
      <c r="J22" s="108" t="s">
        <v>1110</v>
      </c>
      <c r="K22" s="57">
        <v>30</v>
      </c>
      <c r="L22" s="58">
        <v>30</v>
      </c>
    </row>
    <row r="23" spans="1:12" s="9" customFormat="1" ht="15">
      <c r="A23" s="105">
        <v>20</v>
      </c>
      <c r="B23" s="106" t="s">
        <v>1896</v>
      </c>
      <c r="C23" s="106"/>
      <c r="D23" s="8" t="s">
        <v>2043</v>
      </c>
      <c r="E23" s="189" t="s">
        <v>830</v>
      </c>
      <c r="F23" s="106"/>
      <c r="G23" s="106" t="s">
        <v>381</v>
      </c>
      <c r="H23" s="107" t="s">
        <v>379</v>
      </c>
      <c r="I23" s="8" t="s">
        <v>260</v>
      </c>
      <c r="J23" s="108" t="s">
        <v>1110</v>
      </c>
      <c r="K23" s="57">
        <v>30</v>
      </c>
      <c r="L23" s="58">
        <v>30</v>
      </c>
    </row>
    <row r="24" spans="1:12" s="9" customFormat="1" ht="15">
      <c r="A24" s="105">
        <v>21</v>
      </c>
      <c r="B24" s="106" t="s">
        <v>1896</v>
      </c>
      <c r="C24" s="106"/>
      <c r="D24" s="8" t="s">
        <v>2055</v>
      </c>
      <c r="E24" s="189" t="s">
        <v>830</v>
      </c>
      <c r="F24" s="106"/>
      <c r="G24" s="106" t="s">
        <v>381</v>
      </c>
      <c r="H24" s="107" t="s">
        <v>379</v>
      </c>
      <c r="I24" s="8" t="s">
        <v>260</v>
      </c>
      <c r="J24" s="108" t="s">
        <v>1110</v>
      </c>
      <c r="K24" s="57">
        <v>30</v>
      </c>
      <c r="L24" s="58">
        <v>30</v>
      </c>
    </row>
    <row r="25" spans="1:12" s="9" customFormat="1" ht="15">
      <c r="A25" s="105">
        <v>22</v>
      </c>
      <c r="B25" s="106" t="s">
        <v>1896</v>
      </c>
      <c r="C25" s="106"/>
      <c r="D25" s="8" t="s">
        <v>2044</v>
      </c>
      <c r="E25" s="189" t="s">
        <v>830</v>
      </c>
      <c r="F25" s="106"/>
      <c r="G25" s="106" t="s">
        <v>382</v>
      </c>
      <c r="H25" s="107" t="s">
        <v>379</v>
      </c>
      <c r="I25" s="8" t="s">
        <v>260</v>
      </c>
      <c r="J25" s="108" t="s">
        <v>1110</v>
      </c>
      <c r="K25" s="57">
        <v>30</v>
      </c>
      <c r="L25" s="58">
        <v>30</v>
      </c>
    </row>
    <row r="26" spans="1:12" s="9" customFormat="1" ht="15">
      <c r="A26" s="105">
        <v>23</v>
      </c>
      <c r="B26" s="106" t="s">
        <v>1896</v>
      </c>
      <c r="C26" s="106"/>
      <c r="D26" s="8" t="s">
        <v>2056</v>
      </c>
      <c r="E26" s="189" t="s">
        <v>830</v>
      </c>
      <c r="F26" s="106"/>
      <c r="G26" s="106" t="s">
        <v>382</v>
      </c>
      <c r="H26" s="107" t="s">
        <v>379</v>
      </c>
      <c r="I26" s="8" t="s">
        <v>260</v>
      </c>
      <c r="J26" s="108" t="s">
        <v>1110</v>
      </c>
      <c r="K26" s="57">
        <v>30</v>
      </c>
      <c r="L26" s="58">
        <v>30</v>
      </c>
    </row>
    <row r="27" spans="1:12" s="9" customFormat="1" ht="15">
      <c r="A27" s="105">
        <v>24</v>
      </c>
      <c r="B27" s="106" t="s">
        <v>1896</v>
      </c>
      <c r="C27" s="106"/>
      <c r="D27" s="8" t="s">
        <v>2079</v>
      </c>
      <c r="E27" s="189" t="s">
        <v>830</v>
      </c>
      <c r="F27" s="106"/>
      <c r="G27" s="106" t="s">
        <v>1871</v>
      </c>
      <c r="H27" s="107" t="s">
        <v>379</v>
      </c>
      <c r="I27" s="8" t="s">
        <v>260</v>
      </c>
      <c r="J27" s="108" t="s">
        <v>1110</v>
      </c>
      <c r="K27" s="57">
        <v>30</v>
      </c>
      <c r="L27" s="58">
        <v>30</v>
      </c>
    </row>
    <row r="28" spans="1:12" s="9" customFormat="1" ht="15">
      <c r="A28" s="105">
        <v>25</v>
      </c>
      <c r="B28" s="106" t="s">
        <v>1896</v>
      </c>
      <c r="C28" s="106"/>
      <c r="D28" s="8" t="s">
        <v>2057</v>
      </c>
      <c r="E28" s="189" t="s">
        <v>830</v>
      </c>
      <c r="F28" s="106"/>
      <c r="G28" s="106" t="s">
        <v>1871</v>
      </c>
      <c r="H28" s="107" t="s">
        <v>379</v>
      </c>
      <c r="I28" s="8" t="s">
        <v>260</v>
      </c>
      <c r="J28" s="108" t="s">
        <v>1110</v>
      </c>
      <c r="K28" s="57">
        <v>30</v>
      </c>
      <c r="L28" s="58">
        <v>30</v>
      </c>
    </row>
    <row r="29" spans="1:12" s="9" customFormat="1" ht="15">
      <c r="A29" s="105">
        <v>26</v>
      </c>
      <c r="B29" s="106" t="s">
        <v>1896</v>
      </c>
      <c r="C29" s="106"/>
      <c r="D29" s="8" t="s">
        <v>2080</v>
      </c>
      <c r="E29" s="189" t="s">
        <v>830</v>
      </c>
      <c r="F29" s="106"/>
      <c r="G29" s="106" t="s">
        <v>383</v>
      </c>
      <c r="H29" s="107" t="s">
        <v>379</v>
      </c>
      <c r="I29" s="8" t="s">
        <v>260</v>
      </c>
      <c r="J29" s="108" t="s">
        <v>1110</v>
      </c>
      <c r="K29" s="57">
        <v>30</v>
      </c>
      <c r="L29" s="58">
        <v>30</v>
      </c>
    </row>
    <row r="30" spans="1:12" s="9" customFormat="1" ht="15">
      <c r="A30" s="105">
        <v>27</v>
      </c>
      <c r="B30" s="106" t="s">
        <v>1896</v>
      </c>
      <c r="C30" s="106"/>
      <c r="D30" s="8" t="s">
        <v>710</v>
      </c>
      <c r="E30" s="189" t="s">
        <v>830</v>
      </c>
      <c r="F30" s="106"/>
      <c r="G30" s="106" t="s">
        <v>383</v>
      </c>
      <c r="H30" s="107" t="s">
        <v>379</v>
      </c>
      <c r="I30" s="8" t="s">
        <v>260</v>
      </c>
      <c r="J30" s="108" t="s">
        <v>1110</v>
      </c>
      <c r="K30" s="57">
        <v>30</v>
      </c>
      <c r="L30" s="58">
        <v>30</v>
      </c>
    </row>
    <row r="31" spans="1:12" s="9" customFormat="1" ht="15">
      <c r="A31" s="105">
        <v>28</v>
      </c>
      <c r="B31" s="106" t="s">
        <v>1896</v>
      </c>
      <c r="C31" s="106"/>
      <c r="D31" s="8" t="s">
        <v>2081</v>
      </c>
      <c r="E31" s="189" t="s">
        <v>830</v>
      </c>
      <c r="F31" s="106"/>
      <c r="G31" s="106" t="s">
        <v>1860</v>
      </c>
      <c r="H31" s="107" t="s">
        <v>379</v>
      </c>
      <c r="I31" s="8" t="s">
        <v>260</v>
      </c>
      <c r="J31" s="108" t="s">
        <v>1110</v>
      </c>
      <c r="K31" s="57">
        <v>30</v>
      </c>
      <c r="L31" s="58">
        <v>30</v>
      </c>
    </row>
    <row r="32" spans="1:12" s="9" customFormat="1" ht="15">
      <c r="A32" s="105">
        <v>29</v>
      </c>
      <c r="B32" s="106" t="s">
        <v>1896</v>
      </c>
      <c r="C32" s="106"/>
      <c r="D32" s="8" t="s">
        <v>2058</v>
      </c>
      <c r="E32" s="189" t="s">
        <v>830</v>
      </c>
      <c r="F32" s="106"/>
      <c r="G32" s="106" t="s">
        <v>1860</v>
      </c>
      <c r="H32" s="107" t="s">
        <v>379</v>
      </c>
      <c r="I32" s="8" t="s">
        <v>260</v>
      </c>
      <c r="J32" s="108" t="s">
        <v>1110</v>
      </c>
      <c r="K32" s="57">
        <v>30</v>
      </c>
      <c r="L32" s="58">
        <v>30</v>
      </c>
    </row>
    <row r="33" spans="1:12" s="9" customFormat="1" ht="15">
      <c r="A33" s="105">
        <v>30</v>
      </c>
      <c r="B33" s="106" t="s">
        <v>1896</v>
      </c>
      <c r="C33" s="106"/>
      <c r="D33" s="8" t="s">
        <v>2082</v>
      </c>
      <c r="E33" s="189" t="s">
        <v>830</v>
      </c>
      <c r="F33" s="106"/>
      <c r="G33" s="106" t="s">
        <v>384</v>
      </c>
      <c r="H33" s="107" t="s">
        <v>379</v>
      </c>
      <c r="I33" s="8" t="s">
        <v>260</v>
      </c>
      <c r="J33" s="108" t="s">
        <v>1110</v>
      </c>
      <c r="K33" s="57">
        <v>30</v>
      </c>
      <c r="L33" s="58">
        <v>30</v>
      </c>
    </row>
    <row r="34" spans="1:12" s="9" customFormat="1" ht="15">
      <c r="A34" s="105">
        <v>31</v>
      </c>
      <c r="B34" s="106" t="s">
        <v>1896</v>
      </c>
      <c r="C34" s="106"/>
      <c r="D34" s="8" t="s">
        <v>2059</v>
      </c>
      <c r="E34" s="189" t="s">
        <v>830</v>
      </c>
      <c r="F34" s="106"/>
      <c r="G34" s="106" t="s">
        <v>384</v>
      </c>
      <c r="H34" s="107" t="s">
        <v>379</v>
      </c>
      <c r="I34" s="8" t="s">
        <v>260</v>
      </c>
      <c r="J34" s="108" t="s">
        <v>1110</v>
      </c>
      <c r="K34" s="57">
        <v>30</v>
      </c>
      <c r="L34" s="58">
        <v>30</v>
      </c>
    </row>
    <row r="35" spans="1:12" s="9" customFormat="1" ht="15">
      <c r="A35" s="105">
        <v>32</v>
      </c>
      <c r="B35" s="106" t="s">
        <v>1896</v>
      </c>
      <c r="C35" s="106"/>
      <c r="D35" s="8" t="s">
        <v>2083</v>
      </c>
      <c r="E35" s="189" t="s">
        <v>830</v>
      </c>
      <c r="F35" s="106"/>
      <c r="G35" s="106" t="s">
        <v>1962</v>
      </c>
      <c r="H35" s="107" t="s">
        <v>315</v>
      </c>
      <c r="I35" s="8" t="s">
        <v>226</v>
      </c>
      <c r="J35" s="108" t="s">
        <v>1110</v>
      </c>
      <c r="K35" s="57">
        <v>30</v>
      </c>
      <c r="L35" s="58">
        <v>30</v>
      </c>
    </row>
    <row r="36" spans="1:12" s="9" customFormat="1" ht="15">
      <c r="A36" s="105">
        <v>33</v>
      </c>
      <c r="B36" s="106" t="s">
        <v>1896</v>
      </c>
      <c r="C36" s="106"/>
      <c r="D36" s="8" t="s">
        <v>2084</v>
      </c>
      <c r="E36" s="189" t="s">
        <v>830</v>
      </c>
      <c r="F36" s="106"/>
      <c r="G36" s="106" t="s">
        <v>1933</v>
      </c>
      <c r="H36" s="107" t="s">
        <v>315</v>
      </c>
      <c r="I36" s="8" t="s">
        <v>226</v>
      </c>
      <c r="J36" s="108" t="s">
        <v>1110</v>
      </c>
      <c r="K36" s="57">
        <v>30</v>
      </c>
      <c r="L36" s="58">
        <v>30</v>
      </c>
    </row>
    <row r="37" spans="1:12" s="9" customFormat="1" ht="15">
      <c r="A37" s="105">
        <v>34</v>
      </c>
      <c r="B37" s="106" t="s">
        <v>1896</v>
      </c>
      <c r="C37" s="106"/>
      <c r="D37" s="8" t="s">
        <v>2085</v>
      </c>
      <c r="E37" s="189" t="s">
        <v>830</v>
      </c>
      <c r="F37" s="106"/>
      <c r="G37" s="107" t="s">
        <v>1801</v>
      </c>
      <c r="H37" s="107" t="s">
        <v>315</v>
      </c>
      <c r="I37" s="8" t="s">
        <v>226</v>
      </c>
      <c r="J37" s="108" t="s">
        <v>1110</v>
      </c>
      <c r="K37" s="57">
        <v>30</v>
      </c>
      <c r="L37" s="58">
        <v>30</v>
      </c>
    </row>
    <row r="38" spans="1:12" s="9" customFormat="1" ht="15">
      <c r="A38" s="105">
        <v>35</v>
      </c>
      <c r="B38" s="106" t="s">
        <v>1896</v>
      </c>
      <c r="C38" s="106"/>
      <c r="D38" s="8" t="s">
        <v>2086</v>
      </c>
      <c r="E38" s="189" t="s">
        <v>830</v>
      </c>
      <c r="F38" s="106"/>
      <c r="G38" s="107" t="s">
        <v>1750</v>
      </c>
      <c r="H38" s="107" t="s">
        <v>385</v>
      </c>
      <c r="I38" s="8" t="s">
        <v>317</v>
      </c>
      <c r="J38" s="108" t="s">
        <v>1110</v>
      </c>
      <c r="K38" s="57">
        <v>30</v>
      </c>
      <c r="L38" s="58">
        <v>30</v>
      </c>
    </row>
    <row r="39" spans="1:12" s="9" customFormat="1" ht="15">
      <c r="A39" s="105">
        <v>36</v>
      </c>
      <c r="B39" s="106" t="s">
        <v>1896</v>
      </c>
      <c r="C39" s="106"/>
      <c r="D39" s="8" t="s">
        <v>2087</v>
      </c>
      <c r="E39" s="189" t="s">
        <v>830</v>
      </c>
      <c r="F39" s="106"/>
      <c r="G39" s="107" t="s">
        <v>1751</v>
      </c>
      <c r="H39" s="107" t="s">
        <v>385</v>
      </c>
      <c r="I39" s="8" t="s">
        <v>317</v>
      </c>
      <c r="J39" s="108" t="s">
        <v>1110</v>
      </c>
      <c r="K39" s="57">
        <v>30</v>
      </c>
      <c r="L39" s="58">
        <v>30</v>
      </c>
    </row>
    <row r="40" spans="1:12" s="9" customFormat="1" ht="15">
      <c r="A40" s="105">
        <v>37</v>
      </c>
      <c r="B40" s="106" t="s">
        <v>1896</v>
      </c>
      <c r="C40" s="106"/>
      <c r="D40" s="8" t="s">
        <v>2088</v>
      </c>
      <c r="E40" s="189" t="s">
        <v>830</v>
      </c>
      <c r="F40" s="106"/>
      <c r="G40" s="107" t="s">
        <v>1752</v>
      </c>
      <c r="H40" s="107" t="s">
        <v>385</v>
      </c>
      <c r="I40" s="8" t="s">
        <v>317</v>
      </c>
      <c r="J40" s="108" t="s">
        <v>1110</v>
      </c>
      <c r="K40" s="57">
        <v>30</v>
      </c>
      <c r="L40" s="58">
        <v>30</v>
      </c>
    </row>
    <row r="41" spans="1:12" s="9" customFormat="1" ht="15">
      <c r="A41" s="105">
        <v>38</v>
      </c>
      <c r="B41" s="106" t="s">
        <v>1896</v>
      </c>
      <c r="C41" s="106"/>
      <c r="D41" s="8" t="s">
        <v>2089</v>
      </c>
      <c r="E41" s="189" t="s">
        <v>830</v>
      </c>
      <c r="F41" s="106"/>
      <c r="G41" s="107" t="s">
        <v>1753</v>
      </c>
      <c r="H41" s="107" t="s">
        <v>385</v>
      </c>
      <c r="I41" s="8" t="s">
        <v>317</v>
      </c>
      <c r="J41" s="108" t="s">
        <v>1110</v>
      </c>
      <c r="K41" s="57">
        <v>30</v>
      </c>
      <c r="L41" s="58">
        <v>30</v>
      </c>
    </row>
    <row r="42" spans="1:12" s="9" customFormat="1" ht="15">
      <c r="A42" s="105">
        <v>39</v>
      </c>
      <c r="B42" s="106" t="s">
        <v>1896</v>
      </c>
      <c r="C42" s="106"/>
      <c r="D42" s="8" t="s">
        <v>2090</v>
      </c>
      <c r="E42" s="189" t="s">
        <v>830</v>
      </c>
      <c r="F42" s="106"/>
      <c r="G42" s="106" t="s">
        <v>386</v>
      </c>
      <c r="H42" s="107" t="s">
        <v>385</v>
      </c>
      <c r="I42" s="8" t="s">
        <v>317</v>
      </c>
      <c r="J42" s="108" t="s">
        <v>1110</v>
      </c>
      <c r="K42" s="57">
        <v>30</v>
      </c>
      <c r="L42" s="58">
        <v>30</v>
      </c>
    </row>
    <row r="43" spans="1:12" s="9" customFormat="1" ht="15">
      <c r="A43" s="105">
        <v>40</v>
      </c>
      <c r="B43" s="106" t="s">
        <v>1896</v>
      </c>
      <c r="C43" s="106"/>
      <c r="D43" s="8" t="s">
        <v>2091</v>
      </c>
      <c r="E43" s="189" t="s">
        <v>830</v>
      </c>
      <c r="F43" s="106"/>
      <c r="G43" s="106" t="s">
        <v>387</v>
      </c>
      <c r="H43" s="107" t="s">
        <v>385</v>
      </c>
      <c r="I43" s="8" t="s">
        <v>317</v>
      </c>
      <c r="J43" s="108" t="s">
        <v>1110</v>
      </c>
      <c r="K43" s="57">
        <v>30</v>
      </c>
      <c r="L43" s="58">
        <v>30</v>
      </c>
    </row>
    <row r="44" spans="1:12" s="9" customFormat="1" ht="15">
      <c r="A44" s="105">
        <v>41</v>
      </c>
      <c r="B44" s="106" t="s">
        <v>1896</v>
      </c>
      <c r="C44" s="106"/>
      <c r="D44" s="8" t="s">
        <v>2092</v>
      </c>
      <c r="E44" s="189" t="s">
        <v>830</v>
      </c>
      <c r="F44" s="106"/>
      <c r="G44" s="106" t="s">
        <v>388</v>
      </c>
      <c r="H44" s="107" t="s">
        <v>385</v>
      </c>
      <c r="I44" s="8" t="s">
        <v>317</v>
      </c>
      <c r="J44" s="108" t="s">
        <v>1110</v>
      </c>
      <c r="K44" s="57">
        <v>30</v>
      </c>
      <c r="L44" s="58">
        <v>30</v>
      </c>
    </row>
    <row r="45" spans="1:12" s="9" customFormat="1" ht="15">
      <c r="A45" s="105">
        <v>42</v>
      </c>
      <c r="B45" s="106" t="s">
        <v>1896</v>
      </c>
      <c r="C45" s="106"/>
      <c r="D45" s="8" t="s">
        <v>2093</v>
      </c>
      <c r="E45" s="189" t="s">
        <v>830</v>
      </c>
      <c r="F45" s="106"/>
      <c r="G45" s="106" t="s">
        <v>1872</v>
      </c>
      <c r="H45" s="107" t="s">
        <v>385</v>
      </c>
      <c r="I45" s="8" t="s">
        <v>317</v>
      </c>
      <c r="J45" s="108" t="s">
        <v>1110</v>
      </c>
      <c r="K45" s="57">
        <v>30</v>
      </c>
      <c r="L45" s="58">
        <v>30</v>
      </c>
    </row>
    <row r="46" spans="1:12" s="9" customFormat="1" ht="15">
      <c r="A46" s="105">
        <v>43</v>
      </c>
      <c r="B46" s="106" t="s">
        <v>1896</v>
      </c>
      <c r="C46" s="106"/>
      <c r="D46" s="8" t="s">
        <v>2094</v>
      </c>
      <c r="E46" s="189" t="s">
        <v>830</v>
      </c>
      <c r="F46" s="106"/>
      <c r="G46" s="107" t="s">
        <v>318</v>
      </c>
      <c r="H46" s="107" t="s">
        <v>385</v>
      </c>
      <c r="I46" s="8" t="s">
        <v>317</v>
      </c>
      <c r="J46" s="108" t="s">
        <v>1110</v>
      </c>
      <c r="K46" s="57">
        <v>30</v>
      </c>
      <c r="L46" s="58">
        <v>30</v>
      </c>
    </row>
    <row r="47" spans="1:12" s="9" customFormat="1" ht="15">
      <c r="A47" s="105">
        <v>44</v>
      </c>
      <c r="B47" s="106" t="s">
        <v>1896</v>
      </c>
      <c r="C47" s="106"/>
      <c r="D47" s="8" t="s">
        <v>2095</v>
      </c>
      <c r="E47" s="189" t="s">
        <v>830</v>
      </c>
      <c r="F47" s="106"/>
      <c r="G47" s="107" t="s">
        <v>1873</v>
      </c>
      <c r="H47" s="107" t="s">
        <v>315</v>
      </c>
      <c r="I47" s="8" t="s">
        <v>226</v>
      </c>
      <c r="J47" s="108" t="s">
        <v>1110</v>
      </c>
      <c r="K47" s="57">
        <v>30</v>
      </c>
      <c r="L47" s="58">
        <v>30</v>
      </c>
    </row>
    <row r="48" spans="1:12" s="9" customFormat="1" ht="15">
      <c r="A48" s="105">
        <v>45</v>
      </c>
      <c r="B48" s="106" t="s">
        <v>1896</v>
      </c>
      <c r="C48" s="106"/>
      <c r="D48" s="8" t="s">
        <v>2097</v>
      </c>
      <c r="E48" s="189" t="s">
        <v>2972</v>
      </c>
      <c r="F48" s="106"/>
      <c r="G48" s="106" t="s">
        <v>390</v>
      </c>
      <c r="H48" s="107">
        <v>4100</v>
      </c>
      <c r="I48" s="14" t="s">
        <v>389</v>
      </c>
      <c r="J48" s="14" t="s">
        <v>394</v>
      </c>
      <c r="K48" s="57">
        <v>30</v>
      </c>
      <c r="L48" s="58">
        <v>30</v>
      </c>
    </row>
    <row r="49" spans="1:12" s="9" customFormat="1" ht="15">
      <c r="A49" s="105">
        <v>46</v>
      </c>
      <c r="B49" s="106" t="s">
        <v>1896</v>
      </c>
      <c r="C49" s="106"/>
      <c r="D49" s="8" t="s">
        <v>2096</v>
      </c>
      <c r="E49" s="189" t="s">
        <v>1961</v>
      </c>
      <c r="F49" s="106"/>
      <c r="G49" s="106" t="s">
        <v>1960</v>
      </c>
      <c r="H49" s="107">
        <v>4100</v>
      </c>
      <c r="I49" s="8" t="s">
        <v>317</v>
      </c>
      <c r="J49" s="108" t="s">
        <v>394</v>
      </c>
      <c r="K49" s="57">
        <v>30</v>
      </c>
      <c r="L49" s="58">
        <v>30</v>
      </c>
    </row>
    <row r="50" spans="1:12" s="9" customFormat="1" ht="15">
      <c r="A50" s="105">
        <v>47</v>
      </c>
      <c r="B50" s="106" t="s">
        <v>1896</v>
      </c>
      <c r="C50" s="106"/>
      <c r="D50" s="8" t="s">
        <v>2591</v>
      </c>
      <c r="E50" s="189" t="s">
        <v>2676</v>
      </c>
      <c r="F50" s="106"/>
      <c r="G50" s="107" t="s">
        <v>1802</v>
      </c>
      <c r="H50" s="107" t="s">
        <v>379</v>
      </c>
      <c r="I50" s="8" t="s">
        <v>260</v>
      </c>
      <c r="J50" s="8" t="s">
        <v>1690</v>
      </c>
      <c r="K50" s="57">
        <v>30</v>
      </c>
      <c r="L50" s="58">
        <v>30</v>
      </c>
    </row>
    <row r="51" spans="1:12" s="9" customFormat="1" ht="15">
      <c r="A51" s="105">
        <v>48</v>
      </c>
      <c r="B51" s="106" t="s">
        <v>1896</v>
      </c>
      <c r="C51" s="106"/>
      <c r="D51" s="8">
        <v>4120109030</v>
      </c>
      <c r="E51" s="189" t="s">
        <v>2676</v>
      </c>
      <c r="F51" s="106"/>
      <c r="G51" s="107" t="s">
        <v>1802</v>
      </c>
      <c r="H51" s="107" t="s">
        <v>385</v>
      </c>
      <c r="I51" s="8" t="s">
        <v>317</v>
      </c>
      <c r="J51" s="8" t="s">
        <v>1690</v>
      </c>
      <c r="K51" s="57">
        <v>30</v>
      </c>
      <c r="L51" s="58">
        <v>30</v>
      </c>
    </row>
    <row r="52" spans="1:12" s="9" customFormat="1" ht="15">
      <c r="A52" s="105">
        <v>49</v>
      </c>
      <c r="B52" s="106" t="s">
        <v>1896</v>
      </c>
      <c r="C52" s="106"/>
      <c r="D52" s="8">
        <v>4120109060</v>
      </c>
      <c r="E52" s="189" t="s">
        <v>2676</v>
      </c>
      <c r="F52" s="106"/>
      <c r="G52" s="107" t="s">
        <v>1802</v>
      </c>
      <c r="H52" s="107" t="s">
        <v>379</v>
      </c>
      <c r="I52" s="8" t="s">
        <v>260</v>
      </c>
      <c r="J52" s="8" t="s">
        <v>1690</v>
      </c>
      <c r="K52" s="57">
        <v>30</v>
      </c>
      <c r="L52" s="58">
        <v>30</v>
      </c>
    </row>
    <row r="53" spans="1:12" s="9" customFormat="1" ht="15">
      <c r="A53" s="105">
        <v>50</v>
      </c>
      <c r="B53" s="106" t="s">
        <v>1896</v>
      </c>
      <c r="C53" s="106"/>
      <c r="D53" s="8" t="s">
        <v>2592</v>
      </c>
      <c r="E53" s="189" t="s">
        <v>2676</v>
      </c>
      <c r="F53" s="106"/>
      <c r="G53" s="107" t="s">
        <v>1802</v>
      </c>
      <c r="H53" s="107" t="s">
        <v>385</v>
      </c>
      <c r="I53" s="8" t="s">
        <v>317</v>
      </c>
      <c r="J53" s="8" t="s">
        <v>1690</v>
      </c>
      <c r="K53" s="57">
        <v>30</v>
      </c>
      <c r="L53" s="58">
        <v>30</v>
      </c>
    </row>
    <row r="54" spans="1:12" s="9" customFormat="1" ht="15">
      <c r="A54" s="105">
        <v>51</v>
      </c>
      <c r="B54" s="106" t="s">
        <v>1896</v>
      </c>
      <c r="C54" s="106"/>
      <c r="D54" s="8" t="s">
        <v>2593</v>
      </c>
      <c r="E54" s="189" t="s">
        <v>2676</v>
      </c>
      <c r="F54" s="106"/>
      <c r="G54" s="107" t="s">
        <v>1802</v>
      </c>
      <c r="H54" s="107" t="s">
        <v>385</v>
      </c>
      <c r="I54" s="8" t="s">
        <v>317</v>
      </c>
      <c r="J54" s="8" t="s">
        <v>1690</v>
      </c>
      <c r="K54" s="57">
        <v>30</v>
      </c>
      <c r="L54" s="58">
        <v>30</v>
      </c>
    </row>
    <row r="55" spans="1:12" s="9" customFormat="1" ht="15">
      <c r="A55" s="105">
        <v>52</v>
      </c>
      <c r="B55" s="106" t="s">
        <v>1896</v>
      </c>
      <c r="C55" s="106"/>
      <c r="D55" s="8">
        <v>4120109300</v>
      </c>
      <c r="E55" s="189" t="s">
        <v>2676</v>
      </c>
      <c r="F55" s="106"/>
      <c r="G55" s="107" t="s">
        <v>1802</v>
      </c>
      <c r="H55" s="107" t="s">
        <v>315</v>
      </c>
      <c r="I55" s="8" t="s">
        <v>226</v>
      </c>
      <c r="J55" s="8" t="s">
        <v>1690</v>
      </c>
      <c r="K55" s="57">
        <v>30</v>
      </c>
      <c r="L55" s="58">
        <v>30</v>
      </c>
    </row>
    <row r="56" spans="1:12" s="9" customFormat="1" ht="15">
      <c r="A56" s="105">
        <v>53</v>
      </c>
      <c r="B56" s="106" t="s">
        <v>1896</v>
      </c>
      <c r="C56" s="106"/>
      <c r="D56" s="8">
        <v>4120109310</v>
      </c>
      <c r="E56" s="189" t="s">
        <v>2676</v>
      </c>
      <c r="F56" s="106"/>
      <c r="G56" s="107" t="s">
        <v>1802</v>
      </c>
      <c r="H56" s="107" t="s">
        <v>315</v>
      </c>
      <c r="I56" s="8" t="s">
        <v>226</v>
      </c>
      <c r="J56" s="8" t="s">
        <v>1690</v>
      </c>
      <c r="K56" s="57">
        <v>30</v>
      </c>
      <c r="L56" s="58">
        <v>30</v>
      </c>
    </row>
    <row r="57" spans="1:12" s="9" customFormat="1" ht="15">
      <c r="A57" s="105">
        <v>54</v>
      </c>
      <c r="B57" s="106" t="s">
        <v>1896</v>
      </c>
      <c r="C57" s="106"/>
      <c r="D57" s="8" t="s">
        <v>2594</v>
      </c>
      <c r="E57" s="189" t="s">
        <v>2676</v>
      </c>
      <c r="F57" s="106"/>
      <c r="G57" s="107" t="s">
        <v>1802</v>
      </c>
      <c r="H57" s="107" t="s">
        <v>379</v>
      </c>
      <c r="I57" s="8" t="s">
        <v>260</v>
      </c>
      <c r="J57" s="8" t="s">
        <v>1690</v>
      </c>
      <c r="K57" s="57">
        <v>30</v>
      </c>
      <c r="L57" s="58">
        <v>30</v>
      </c>
    </row>
    <row r="58" spans="1:12" s="9" customFormat="1" ht="15">
      <c r="A58" s="105">
        <v>55</v>
      </c>
      <c r="B58" s="106" t="s">
        <v>1896</v>
      </c>
      <c r="C58" s="106"/>
      <c r="D58" s="8" t="s">
        <v>2595</v>
      </c>
      <c r="E58" s="189" t="s">
        <v>2676</v>
      </c>
      <c r="F58" s="106"/>
      <c r="G58" s="107" t="s">
        <v>1802</v>
      </c>
      <c r="H58" s="107" t="s">
        <v>379</v>
      </c>
      <c r="I58" s="8" t="s">
        <v>260</v>
      </c>
      <c r="J58" s="8" t="s">
        <v>1690</v>
      </c>
      <c r="K58" s="57">
        <v>30</v>
      </c>
      <c r="L58" s="58">
        <v>30</v>
      </c>
    </row>
    <row r="59" spans="1:12" s="9" customFormat="1" ht="15">
      <c r="A59" s="105">
        <v>56</v>
      </c>
      <c r="B59" s="106" t="s">
        <v>1896</v>
      </c>
      <c r="C59" s="106"/>
      <c r="D59" s="8" t="s">
        <v>2596</v>
      </c>
      <c r="E59" s="189" t="s">
        <v>2676</v>
      </c>
      <c r="F59" s="106"/>
      <c r="G59" s="107" t="s">
        <v>1802</v>
      </c>
      <c r="H59" s="107" t="s">
        <v>385</v>
      </c>
      <c r="I59" s="8" t="s">
        <v>317</v>
      </c>
      <c r="J59" s="8" t="s">
        <v>1690</v>
      </c>
      <c r="K59" s="57">
        <v>30</v>
      </c>
      <c r="L59" s="58">
        <v>30</v>
      </c>
    </row>
    <row r="60" spans="1:12" s="9" customFormat="1" ht="15">
      <c r="A60" s="105">
        <v>57</v>
      </c>
      <c r="B60" s="106" t="s">
        <v>1896</v>
      </c>
      <c r="C60" s="106"/>
      <c r="D60" s="8" t="s">
        <v>2597</v>
      </c>
      <c r="E60" s="189" t="s">
        <v>2676</v>
      </c>
      <c r="F60" s="106"/>
      <c r="G60" s="107" t="s">
        <v>1802</v>
      </c>
      <c r="H60" s="107" t="s">
        <v>385</v>
      </c>
      <c r="I60" s="8" t="s">
        <v>317</v>
      </c>
      <c r="J60" s="8" t="s">
        <v>1690</v>
      </c>
      <c r="K60" s="57">
        <v>30</v>
      </c>
      <c r="L60" s="58">
        <v>30</v>
      </c>
    </row>
    <row r="61" spans="1:12" s="9" customFormat="1" ht="15">
      <c r="A61" s="105">
        <v>58</v>
      </c>
      <c r="B61" s="106" t="s">
        <v>1896</v>
      </c>
      <c r="C61" s="106"/>
      <c r="D61" s="8" t="s">
        <v>2598</v>
      </c>
      <c r="E61" s="189" t="s">
        <v>2676</v>
      </c>
      <c r="F61" s="106"/>
      <c r="G61" s="107" t="s">
        <v>1802</v>
      </c>
      <c r="H61" s="107" t="s">
        <v>379</v>
      </c>
      <c r="I61" s="8" t="s">
        <v>260</v>
      </c>
      <c r="J61" s="8" t="s">
        <v>1690</v>
      </c>
      <c r="K61" s="57">
        <v>30</v>
      </c>
      <c r="L61" s="58">
        <v>30</v>
      </c>
    </row>
    <row r="62" spans="1:12" s="9" customFormat="1" ht="15">
      <c r="A62" s="105">
        <v>59</v>
      </c>
      <c r="B62" s="106" t="s">
        <v>1896</v>
      </c>
      <c r="C62" s="106"/>
      <c r="D62" s="8" t="s">
        <v>2599</v>
      </c>
      <c r="E62" s="189" t="s">
        <v>2676</v>
      </c>
      <c r="F62" s="106"/>
      <c r="G62" s="107" t="s">
        <v>1802</v>
      </c>
      <c r="H62" s="107" t="s">
        <v>315</v>
      </c>
      <c r="I62" s="8" t="s">
        <v>226</v>
      </c>
      <c r="J62" s="8" t="s">
        <v>1690</v>
      </c>
      <c r="K62" s="57">
        <v>30</v>
      </c>
      <c r="L62" s="58">
        <v>30</v>
      </c>
    </row>
    <row r="63" spans="1:12" s="13" customFormat="1" ht="15">
      <c r="A63" s="105">
        <v>60</v>
      </c>
      <c r="B63" s="106" t="s">
        <v>1896</v>
      </c>
      <c r="C63" s="106"/>
      <c r="D63" s="8" t="s">
        <v>2600</v>
      </c>
      <c r="E63" s="189" t="s">
        <v>2676</v>
      </c>
      <c r="F63" s="106"/>
      <c r="G63" s="107" t="s">
        <v>1802</v>
      </c>
      <c r="H63" s="107" t="s">
        <v>315</v>
      </c>
      <c r="I63" s="8" t="s">
        <v>226</v>
      </c>
      <c r="J63" s="8" t="s">
        <v>1690</v>
      </c>
      <c r="K63" s="57">
        <v>30</v>
      </c>
      <c r="L63" s="58">
        <v>30</v>
      </c>
    </row>
    <row r="64" spans="1:12" s="13" customFormat="1" ht="15">
      <c r="A64" s="105">
        <v>61</v>
      </c>
      <c r="B64" s="106" t="s">
        <v>1896</v>
      </c>
      <c r="C64" s="106"/>
      <c r="D64" s="8" t="s">
        <v>2098</v>
      </c>
      <c r="E64" s="189" t="s">
        <v>2687</v>
      </c>
      <c r="F64" s="106"/>
      <c r="G64" s="106" t="s">
        <v>564</v>
      </c>
      <c r="H64" s="107">
        <v>4100</v>
      </c>
      <c r="I64" s="8" t="s">
        <v>260</v>
      </c>
      <c r="J64" s="108" t="s">
        <v>2650</v>
      </c>
      <c r="K64" s="57">
        <v>60</v>
      </c>
      <c r="L64" s="58">
        <v>60</v>
      </c>
    </row>
    <row r="65" spans="1:12" s="13" customFormat="1" ht="15">
      <c r="A65" s="105">
        <v>62</v>
      </c>
      <c r="B65" s="106" t="s">
        <v>1896</v>
      </c>
      <c r="C65" s="106"/>
      <c r="D65" s="8" t="s">
        <v>2060</v>
      </c>
      <c r="E65" s="189" t="s">
        <v>2687</v>
      </c>
      <c r="F65" s="106"/>
      <c r="G65" s="106" t="s">
        <v>564</v>
      </c>
      <c r="H65" s="107">
        <v>4100</v>
      </c>
      <c r="I65" s="8" t="s">
        <v>260</v>
      </c>
      <c r="J65" s="108" t="s">
        <v>2650</v>
      </c>
      <c r="K65" s="57">
        <v>60</v>
      </c>
      <c r="L65" s="58">
        <v>60</v>
      </c>
    </row>
    <row r="66" spans="1:12" s="9" customFormat="1" ht="15">
      <c r="A66" s="105">
        <v>63</v>
      </c>
      <c r="B66" s="106" t="s">
        <v>1896</v>
      </c>
      <c r="C66" s="106"/>
      <c r="D66" s="8" t="s">
        <v>2099</v>
      </c>
      <c r="E66" s="189" t="s">
        <v>2687</v>
      </c>
      <c r="F66" s="106"/>
      <c r="G66" s="107" t="s">
        <v>227</v>
      </c>
      <c r="H66" s="107">
        <v>4100</v>
      </c>
      <c r="I66" s="8" t="s">
        <v>226</v>
      </c>
      <c r="J66" s="108" t="s">
        <v>2650</v>
      </c>
      <c r="K66" s="57">
        <v>60</v>
      </c>
      <c r="L66" s="58">
        <v>60</v>
      </c>
    </row>
    <row r="67" spans="1:12" s="9" customFormat="1" ht="15">
      <c r="A67" s="105">
        <v>64</v>
      </c>
      <c r="B67" s="106" t="s">
        <v>1896</v>
      </c>
      <c r="C67" s="106"/>
      <c r="D67" s="8" t="s">
        <v>2100</v>
      </c>
      <c r="E67" s="189" t="s">
        <v>2687</v>
      </c>
      <c r="F67" s="106"/>
      <c r="G67" s="106" t="s">
        <v>565</v>
      </c>
      <c r="H67" s="107">
        <v>4100</v>
      </c>
      <c r="I67" s="8" t="s">
        <v>317</v>
      </c>
      <c r="J67" s="108" t="s">
        <v>2650</v>
      </c>
      <c r="K67" s="57">
        <v>60</v>
      </c>
      <c r="L67" s="58">
        <v>60</v>
      </c>
    </row>
    <row r="68" spans="1:12" s="9" customFormat="1" ht="15">
      <c r="A68" s="105">
        <v>65</v>
      </c>
      <c r="B68" s="106" t="s">
        <v>1896</v>
      </c>
      <c r="C68" s="106"/>
      <c r="D68" s="8">
        <v>4121426011</v>
      </c>
      <c r="E68" s="189" t="s">
        <v>567</v>
      </c>
      <c r="F68" s="106"/>
      <c r="G68" s="106" t="s">
        <v>566</v>
      </c>
      <c r="H68" s="107">
        <v>4100</v>
      </c>
      <c r="I68" s="8" t="s">
        <v>317</v>
      </c>
      <c r="J68" s="108" t="s">
        <v>229</v>
      </c>
      <c r="K68" s="57">
        <v>30</v>
      </c>
      <c r="L68" s="58">
        <v>30</v>
      </c>
    </row>
    <row r="69" spans="1:12" s="9" customFormat="1" ht="15">
      <c r="A69" s="105">
        <v>66</v>
      </c>
      <c r="B69" s="106" t="s">
        <v>1896</v>
      </c>
      <c r="C69" s="106"/>
      <c r="D69" s="8">
        <v>4121430021</v>
      </c>
      <c r="E69" s="189" t="s">
        <v>567</v>
      </c>
      <c r="F69" s="106"/>
      <c r="G69" s="107" t="s">
        <v>228</v>
      </c>
      <c r="H69" s="107">
        <v>4100</v>
      </c>
      <c r="I69" s="8" t="s">
        <v>226</v>
      </c>
      <c r="J69" s="108" t="s">
        <v>229</v>
      </c>
      <c r="K69" s="57">
        <v>30</v>
      </c>
      <c r="L69" s="58">
        <v>30</v>
      </c>
    </row>
    <row r="70" spans="1:12" s="9" customFormat="1" ht="15">
      <c r="A70" s="105">
        <v>67</v>
      </c>
      <c r="B70" s="106" t="s">
        <v>1896</v>
      </c>
      <c r="C70" s="106"/>
      <c r="D70" s="8" t="s">
        <v>2101</v>
      </c>
      <c r="E70" s="189" t="s">
        <v>569</v>
      </c>
      <c r="F70" s="106"/>
      <c r="G70" s="106" t="s">
        <v>568</v>
      </c>
      <c r="H70" s="107">
        <v>4100</v>
      </c>
      <c r="I70" s="8" t="s">
        <v>260</v>
      </c>
      <c r="J70" s="108" t="s">
        <v>231</v>
      </c>
      <c r="K70" s="57">
        <v>30</v>
      </c>
      <c r="L70" s="58">
        <v>30</v>
      </c>
    </row>
    <row r="71" spans="1:12" s="9" customFormat="1" ht="15">
      <c r="A71" s="105">
        <v>68</v>
      </c>
      <c r="B71" s="106" t="s">
        <v>1896</v>
      </c>
      <c r="C71" s="106"/>
      <c r="D71" s="8" t="s">
        <v>2102</v>
      </c>
      <c r="E71" s="189" t="s">
        <v>569</v>
      </c>
      <c r="F71" s="106"/>
      <c r="G71" s="107" t="s">
        <v>230</v>
      </c>
      <c r="H71" s="107">
        <v>4100</v>
      </c>
      <c r="I71" s="8" t="s">
        <v>226</v>
      </c>
      <c r="J71" s="108" t="s">
        <v>231</v>
      </c>
      <c r="K71" s="57">
        <v>30</v>
      </c>
      <c r="L71" s="58">
        <v>30</v>
      </c>
    </row>
    <row r="72" spans="1:12" s="9" customFormat="1" ht="15">
      <c r="A72" s="105">
        <v>69</v>
      </c>
      <c r="B72" s="106" t="s">
        <v>1896</v>
      </c>
      <c r="C72" s="106"/>
      <c r="D72" s="8">
        <v>4123122010</v>
      </c>
      <c r="E72" s="189" t="s">
        <v>233</v>
      </c>
      <c r="F72" s="106"/>
      <c r="G72" s="107" t="s">
        <v>232</v>
      </c>
      <c r="H72" s="107">
        <v>4100</v>
      </c>
      <c r="I72" s="8" t="s">
        <v>226</v>
      </c>
      <c r="J72" s="8" t="s">
        <v>1690</v>
      </c>
      <c r="K72" s="57">
        <v>30</v>
      </c>
      <c r="L72" s="58">
        <v>30</v>
      </c>
    </row>
    <row r="73" spans="1:12" s="9" customFormat="1" ht="15">
      <c r="A73" s="105">
        <v>70</v>
      </c>
      <c r="B73" s="106" t="s">
        <v>1896</v>
      </c>
      <c r="C73" s="106"/>
      <c r="D73" s="8">
        <v>4123124010</v>
      </c>
      <c r="E73" s="189" t="s">
        <v>571</v>
      </c>
      <c r="F73" s="106"/>
      <c r="G73" s="106" t="s">
        <v>570</v>
      </c>
      <c r="H73" s="107">
        <v>4100</v>
      </c>
      <c r="I73" s="8" t="s">
        <v>260</v>
      </c>
      <c r="J73" s="8" t="s">
        <v>1690</v>
      </c>
      <c r="K73" s="57">
        <v>30</v>
      </c>
      <c r="L73" s="58">
        <v>30</v>
      </c>
    </row>
    <row r="74" spans="1:12" s="9" customFormat="1" ht="15">
      <c r="A74" s="105">
        <v>71</v>
      </c>
      <c r="B74" s="106" t="s">
        <v>1896</v>
      </c>
      <c r="C74" s="106"/>
      <c r="D74" s="8">
        <v>4123135040</v>
      </c>
      <c r="E74" s="189" t="s">
        <v>571</v>
      </c>
      <c r="F74" s="106"/>
      <c r="G74" s="106" t="s">
        <v>572</v>
      </c>
      <c r="H74" s="107">
        <v>4100</v>
      </c>
      <c r="I74" s="8" t="s">
        <v>317</v>
      </c>
      <c r="J74" s="8" t="s">
        <v>1690</v>
      </c>
      <c r="K74" s="57">
        <v>30</v>
      </c>
      <c r="L74" s="58">
        <v>30</v>
      </c>
    </row>
    <row r="75" spans="1:12" s="9" customFormat="1" ht="15">
      <c r="A75" s="105">
        <v>72</v>
      </c>
      <c r="B75" s="106" t="s">
        <v>1896</v>
      </c>
      <c r="C75" s="106"/>
      <c r="D75" s="8" t="s">
        <v>2103</v>
      </c>
      <c r="E75" s="189" t="s">
        <v>574</v>
      </c>
      <c r="F75" s="106"/>
      <c r="G75" s="106" t="s">
        <v>573</v>
      </c>
      <c r="H75" s="107" t="s">
        <v>379</v>
      </c>
      <c r="I75" s="8" t="s">
        <v>260</v>
      </c>
      <c r="J75" s="108" t="s">
        <v>1110</v>
      </c>
      <c r="K75" s="57">
        <v>30</v>
      </c>
      <c r="L75" s="58">
        <v>30</v>
      </c>
    </row>
    <row r="76" spans="1:12" s="9" customFormat="1" ht="15">
      <c r="A76" s="105">
        <v>73</v>
      </c>
      <c r="B76" s="106" t="s">
        <v>1896</v>
      </c>
      <c r="C76" s="106"/>
      <c r="D76" s="8" t="s">
        <v>2104</v>
      </c>
      <c r="E76" s="189" t="s">
        <v>574</v>
      </c>
      <c r="F76" s="106"/>
      <c r="G76" s="106" t="s">
        <v>575</v>
      </c>
      <c r="H76" s="107" t="s">
        <v>379</v>
      </c>
      <c r="I76" s="8" t="s">
        <v>260</v>
      </c>
      <c r="J76" s="108" t="s">
        <v>1110</v>
      </c>
      <c r="K76" s="57">
        <v>30</v>
      </c>
      <c r="L76" s="58">
        <v>30</v>
      </c>
    </row>
    <row r="77" spans="1:12" s="9" customFormat="1" ht="15">
      <c r="A77" s="105">
        <v>74</v>
      </c>
      <c r="B77" s="106" t="s">
        <v>1896</v>
      </c>
      <c r="C77" s="106"/>
      <c r="D77" s="8" t="s">
        <v>2105</v>
      </c>
      <c r="E77" s="189" t="s">
        <v>574</v>
      </c>
      <c r="F77" s="106"/>
      <c r="G77" s="107" t="s">
        <v>234</v>
      </c>
      <c r="H77" s="107" t="s">
        <v>315</v>
      </c>
      <c r="I77" s="8" t="s">
        <v>226</v>
      </c>
      <c r="J77" s="108" t="s">
        <v>1110</v>
      </c>
      <c r="K77" s="57">
        <v>30</v>
      </c>
      <c r="L77" s="58">
        <v>30</v>
      </c>
    </row>
    <row r="78" spans="1:12" s="9" customFormat="1" ht="15">
      <c r="A78" s="105">
        <v>75</v>
      </c>
      <c r="B78" s="106" t="s">
        <v>1896</v>
      </c>
      <c r="C78" s="106"/>
      <c r="D78" s="8" t="s">
        <v>2106</v>
      </c>
      <c r="E78" s="189" t="s">
        <v>574</v>
      </c>
      <c r="F78" s="106"/>
      <c r="G78" s="107" t="s">
        <v>1854</v>
      </c>
      <c r="H78" s="107" t="s">
        <v>385</v>
      </c>
      <c r="I78" s="8" t="s">
        <v>317</v>
      </c>
      <c r="J78" s="108" t="s">
        <v>1110</v>
      </c>
      <c r="K78" s="57">
        <v>30</v>
      </c>
      <c r="L78" s="58">
        <v>30</v>
      </c>
    </row>
    <row r="79" spans="1:12" s="9" customFormat="1" ht="15">
      <c r="A79" s="105">
        <v>76</v>
      </c>
      <c r="B79" s="106" t="s">
        <v>1896</v>
      </c>
      <c r="C79" s="106"/>
      <c r="D79" s="8" t="s">
        <v>2107</v>
      </c>
      <c r="E79" s="189" t="s">
        <v>574</v>
      </c>
      <c r="F79" s="106"/>
      <c r="G79" s="107" t="s">
        <v>1855</v>
      </c>
      <c r="H79" s="107" t="s">
        <v>385</v>
      </c>
      <c r="I79" s="8" t="s">
        <v>317</v>
      </c>
      <c r="J79" s="108" t="s">
        <v>1110</v>
      </c>
      <c r="K79" s="57">
        <v>30</v>
      </c>
      <c r="L79" s="58">
        <v>30</v>
      </c>
    </row>
    <row r="80" spans="1:12" s="9" customFormat="1" ht="15">
      <c r="A80" s="105">
        <v>77</v>
      </c>
      <c r="B80" s="106" t="s">
        <v>1896</v>
      </c>
      <c r="C80" s="106"/>
      <c r="D80" s="8" t="s">
        <v>2108</v>
      </c>
      <c r="E80" s="189" t="s">
        <v>574</v>
      </c>
      <c r="F80" s="106"/>
      <c r="G80" s="106" t="s">
        <v>576</v>
      </c>
      <c r="H80" s="107" t="s">
        <v>385</v>
      </c>
      <c r="I80" s="8" t="s">
        <v>317</v>
      </c>
      <c r="J80" s="108" t="s">
        <v>1110</v>
      </c>
      <c r="K80" s="57">
        <v>30</v>
      </c>
      <c r="L80" s="58">
        <v>30</v>
      </c>
    </row>
    <row r="81" spans="1:12" s="9" customFormat="1" ht="15">
      <c r="A81" s="105">
        <v>78</v>
      </c>
      <c r="B81" s="106" t="s">
        <v>1896</v>
      </c>
      <c r="C81" s="106"/>
      <c r="D81" s="8" t="s">
        <v>2109</v>
      </c>
      <c r="E81" s="189" t="s">
        <v>574</v>
      </c>
      <c r="F81" s="106"/>
      <c r="G81" s="106" t="s">
        <v>577</v>
      </c>
      <c r="H81" s="107" t="s">
        <v>385</v>
      </c>
      <c r="I81" s="8" t="s">
        <v>317</v>
      </c>
      <c r="J81" s="108" t="s">
        <v>1110</v>
      </c>
      <c r="K81" s="57">
        <v>30</v>
      </c>
      <c r="L81" s="58">
        <v>30</v>
      </c>
    </row>
    <row r="82" spans="1:12" s="9" customFormat="1" ht="15">
      <c r="A82" s="105">
        <v>79</v>
      </c>
      <c r="B82" s="106" t="s">
        <v>1896</v>
      </c>
      <c r="C82" s="106"/>
      <c r="D82" s="8" t="s">
        <v>136</v>
      </c>
      <c r="E82" s="189" t="s">
        <v>579</v>
      </c>
      <c r="F82" s="106"/>
      <c r="G82" s="106" t="s">
        <v>578</v>
      </c>
      <c r="H82" s="107">
        <v>4100</v>
      </c>
      <c r="I82" s="8" t="s">
        <v>260</v>
      </c>
      <c r="J82" s="108" t="s">
        <v>580</v>
      </c>
      <c r="K82" s="57">
        <v>30</v>
      </c>
      <c r="L82" s="58">
        <v>30</v>
      </c>
    </row>
    <row r="83" spans="1:12" s="9" customFormat="1" ht="15">
      <c r="A83" s="105">
        <v>80</v>
      </c>
      <c r="B83" s="106" t="s">
        <v>1896</v>
      </c>
      <c r="C83" s="106"/>
      <c r="D83" s="8" t="s">
        <v>2110</v>
      </c>
      <c r="E83" s="189" t="s">
        <v>582</v>
      </c>
      <c r="F83" s="106"/>
      <c r="G83" s="106" t="s">
        <v>581</v>
      </c>
      <c r="H83" s="107" t="s">
        <v>385</v>
      </c>
      <c r="I83" s="8" t="s">
        <v>317</v>
      </c>
      <c r="J83" s="108" t="s">
        <v>1110</v>
      </c>
      <c r="K83" s="57">
        <v>30</v>
      </c>
      <c r="L83" s="58">
        <v>30</v>
      </c>
    </row>
    <row r="84" spans="1:12" s="9" customFormat="1" ht="15">
      <c r="A84" s="105">
        <v>80</v>
      </c>
      <c r="B84" s="106" t="s">
        <v>1896</v>
      </c>
      <c r="C84" s="106"/>
      <c r="D84" s="8" t="s">
        <v>4607</v>
      </c>
      <c r="E84" s="189" t="s">
        <v>582</v>
      </c>
      <c r="F84" s="106"/>
      <c r="G84" s="106" t="s">
        <v>4608</v>
      </c>
      <c r="H84" s="107" t="s">
        <v>385</v>
      </c>
      <c r="I84" s="8" t="s">
        <v>317</v>
      </c>
      <c r="J84" s="108" t="s">
        <v>1110</v>
      </c>
      <c r="K84" s="57">
        <v>30</v>
      </c>
      <c r="L84" s="58">
        <v>30</v>
      </c>
    </row>
    <row r="85" spans="1:12" s="9" customFormat="1" ht="15">
      <c r="A85" s="105">
        <v>81</v>
      </c>
      <c r="B85" s="106" t="s">
        <v>1896</v>
      </c>
      <c r="C85" s="106"/>
      <c r="D85" s="8">
        <v>4130835010</v>
      </c>
      <c r="E85" s="189" t="s">
        <v>4377</v>
      </c>
      <c r="F85" s="106"/>
      <c r="G85" s="106" t="s">
        <v>583</v>
      </c>
      <c r="H85" s="107">
        <v>4100</v>
      </c>
      <c r="I85" s="8" t="s">
        <v>260</v>
      </c>
      <c r="J85" s="8" t="s">
        <v>1690</v>
      </c>
      <c r="K85" s="57">
        <v>30</v>
      </c>
      <c r="L85" s="58">
        <v>30</v>
      </c>
    </row>
    <row r="86" spans="1:12" s="9" customFormat="1" ht="15">
      <c r="A86" s="105">
        <v>82</v>
      </c>
      <c r="B86" s="106" t="s">
        <v>1896</v>
      </c>
      <c r="C86" s="106"/>
      <c r="D86" s="8" t="s">
        <v>137</v>
      </c>
      <c r="E86" s="189" t="s">
        <v>585</v>
      </c>
      <c r="F86" s="106"/>
      <c r="G86" s="106" t="s">
        <v>584</v>
      </c>
      <c r="H86" s="107" t="s">
        <v>379</v>
      </c>
      <c r="I86" s="8" t="s">
        <v>260</v>
      </c>
      <c r="J86" s="108" t="s">
        <v>94</v>
      </c>
      <c r="K86" s="57">
        <v>30</v>
      </c>
      <c r="L86" s="58">
        <v>30</v>
      </c>
    </row>
    <row r="87" spans="1:12" s="9" customFormat="1" ht="15">
      <c r="A87" s="105">
        <v>83</v>
      </c>
      <c r="B87" s="106" t="s">
        <v>1896</v>
      </c>
      <c r="C87" s="106"/>
      <c r="D87" s="8" t="s">
        <v>112</v>
      </c>
      <c r="E87" s="189" t="s">
        <v>585</v>
      </c>
      <c r="F87" s="106"/>
      <c r="G87" s="107" t="s">
        <v>235</v>
      </c>
      <c r="H87" s="107" t="s">
        <v>315</v>
      </c>
      <c r="I87" s="8" t="s">
        <v>226</v>
      </c>
      <c r="J87" s="108" t="s">
        <v>94</v>
      </c>
      <c r="K87" s="57">
        <v>30</v>
      </c>
      <c r="L87" s="58">
        <v>30</v>
      </c>
    </row>
    <row r="88" spans="1:12" s="9" customFormat="1" ht="15">
      <c r="A88" s="105">
        <v>84</v>
      </c>
      <c r="B88" s="106" t="s">
        <v>1896</v>
      </c>
      <c r="C88" s="106"/>
      <c r="D88" s="8" t="s">
        <v>111</v>
      </c>
      <c r="E88" s="189" t="s">
        <v>585</v>
      </c>
      <c r="F88" s="106"/>
      <c r="G88" s="107" t="s">
        <v>1760</v>
      </c>
      <c r="H88" s="107" t="s">
        <v>385</v>
      </c>
      <c r="I88" s="8" t="s">
        <v>317</v>
      </c>
      <c r="J88" s="8" t="s">
        <v>94</v>
      </c>
      <c r="K88" s="57">
        <v>30</v>
      </c>
      <c r="L88" s="58">
        <v>30</v>
      </c>
    </row>
    <row r="89" spans="1:12" s="9" customFormat="1" ht="15">
      <c r="A89" s="105">
        <v>85</v>
      </c>
      <c r="B89" s="106" t="s">
        <v>1896</v>
      </c>
      <c r="C89" s="106"/>
      <c r="D89" s="8" t="s">
        <v>103</v>
      </c>
      <c r="E89" s="189" t="s">
        <v>585</v>
      </c>
      <c r="F89" s="106"/>
      <c r="G89" s="107" t="s">
        <v>1761</v>
      </c>
      <c r="H89" s="107" t="s">
        <v>385</v>
      </c>
      <c r="I89" s="8" t="s">
        <v>317</v>
      </c>
      <c r="J89" s="8" t="s">
        <v>94</v>
      </c>
      <c r="K89" s="57">
        <v>30</v>
      </c>
      <c r="L89" s="58">
        <v>30</v>
      </c>
    </row>
    <row r="90" spans="1:12" s="9" customFormat="1" ht="15">
      <c r="A90" s="105">
        <v>86</v>
      </c>
      <c r="B90" s="106" t="s">
        <v>1896</v>
      </c>
      <c r="C90" s="106"/>
      <c r="D90" s="8" t="str">
        <f>"4131135100"</f>
        <v>4131135100</v>
      </c>
      <c r="E90" s="189" t="s">
        <v>585</v>
      </c>
      <c r="F90" s="106"/>
      <c r="G90" s="107" t="s">
        <v>1761</v>
      </c>
      <c r="H90" s="107" t="s">
        <v>385</v>
      </c>
      <c r="I90" s="8" t="s">
        <v>317</v>
      </c>
      <c r="J90" s="8" t="s">
        <v>94</v>
      </c>
      <c r="K90" s="57">
        <v>30</v>
      </c>
      <c r="L90" s="58">
        <v>30</v>
      </c>
    </row>
    <row r="91" spans="1:12" s="9" customFormat="1" ht="15">
      <c r="A91" s="105">
        <v>87</v>
      </c>
      <c r="B91" s="106" t="s">
        <v>1896</v>
      </c>
      <c r="C91" s="106"/>
      <c r="D91" s="8" t="s">
        <v>138</v>
      </c>
      <c r="E91" s="189" t="s">
        <v>585</v>
      </c>
      <c r="F91" s="106"/>
      <c r="G91" s="106" t="s">
        <v>586</v>
      </c>
      <c r="H91" s="107" t="s">
        <v>385</v>
      </c>
      <c r="I91" s="8" t="s">
        <v>317</v>
      </c>
      <c r="J91" s="108" t="s">
        <v>94</v>
      </c>
      <c r="K91" s="57">
        <v>30</v>
      </c>
      <c r="L91" s="58">
        <v>30</v>
      </c>
    </row>
    <row r="92" spans="1:12" s="9" customFormat="1" ht="15">
      <c r="A92" s="105">
        <v>88</v>
      </c>
      <c r="B92" s="106" t="s">
        <v>1896</v>
      </c>
      <c r="C92" s="106"/>
      <c r="D92" s="8" t="s">
        <v>139</v>
      </c>
      <c r="E92" s="189" t="s">
        <v>585</v>
      </c>
      <c r="F92" s="106"/>
      <c r="G92" s="106" t="s">
        <v>587</v>
      </c>
      <c r="H92" s="107" t="s">
        <v>385</v>
      </c>
      <c r="I92" s="8" t="s">
        <v>317</v>
      </c>
      <c r="J92" s="108" t="s">
        <v>94</v>
      </c>
      <c r="K92" s="57">
        <v>30</v>
      </c>
      <c r="L92" s="58">
        <v>30</v>
      </c>
    </row>
    <row r="93" spans="1:12" s="9" customFormat="1" ht="15">
      <c r="A93" s="105">
        <v>89</v>
      </c>
      <c r="B93" s="106" t="s">
        <v>1896</v>
      </c>
      <c r="C93" s="106"/>
      <c r="D93" s="8">
        <v>4131235040</v>
      </c>
      <c r="E93" s="189" t="s">
        <v>589</v>
      </c>
      <c r="F93" s="106"/>
      <c r="G93" s="106" t="s">
        <v>588</v>
      </c>
      <c r="H93" s="107">
        <v>4100</v>
      </c>
      <c r="I93" s="8" t="s">
        <v>260</v>
      </c>
      <c r="J93" s="8" t="s">
        <v>1690</v>
      </c>
      <c r="K93" s="57">
        <v>30</v>
      </c>
      <c r="L93" s="58">
        <v>30</v>
      </c>
    </row>
    <row r="94" spans="1:12" s="9" customFormat="1" ht="15">
      <c r="A94" s="105">
        <v>90</v>
      </c>
      <c r="B94" s="106" t="s">
        <v>1896</v>
      </c>
      <c r="C94" s="106"/>
      <c r="D94" s="8" t="s">
        <v>2111</v>
      </c>
      <c r="E94" s="189" t="s">
        <v>591</v>
      </c>
      <c r="F94" s="106"/>
      <c r="G94" s="106" t="s">
        <v>590</v>
      </c>
      <c r="H94" s="107">
        <v>4100</v>
      </c>
      <c r="I94" s="8" t="s">
        <v>260</v>
      </c>
      <c r="J94" s="108" t="s">
        <v>237</v>
      </c>
      <c r="K94" s="57">
        <v>30</v>
      </c>
      <c r="L94" s="58">
        <v>30</v>
      </c>
    </row>
    <row r="95" spans="1:12" s="9" customFormat="1" ht="15">
      <c r="A95" s="105">
        <v>91</v>
      </c>
      <c r="B95" s="106" t="s">
        <v>1896</v>
      </c>
      <c r="C95" s="106"/>
      <c r="D95" s="8" t="s">
        <v>2112</v>
      </c>
      <c r="E95" s="189" t="s">
        <v>591</v>
      </c>
      <c r="F95" s="106"/>
      <c r="G95" s="107" t="s">
        <v>236</v>
      </c>
      <c r="H95" s="107">
        <v>4100</v>
      </c>
      <c r="I95" s="8" t="s">
        <v>226</v>
      </c>
      <c r="J95" s="108" t="s">
        <v>237</v>
      </c>
      <c r="K95" s="57">
        <v>30</v>
      </c>
      <c r="L95" s="58">
        <v>30</v>
      </c>
    </row>
    <row r="96" spans="1:12" s="9" customFormat="1" ht="15">
      <c r="A96" s="105">
        <v>92</v>
      </c>
      <c r="B96" s="106" t="s">
        <v>1896</v>
      </c>
      <c r="C96" s="106"/>
      <c r="D96" s="8" t="s">
        <v>2113</v>
      </c>
      <c r="E96" s="189" t="s">
        <v>593</v>
      </c>
      <c r="F96" s="106"/>
      <c r="G96" s="106" t="s">
        <v>592</v>
      </c>
      <c r="H96" s="107">
        <v>4100</v>
      </c>
      <c r="I96" s="8" t="s">
        <v>260</v>
      </c>
      <c r="J96" s="108" t="s">
        <v>231</v>
      </c>
      <c r="K96" s="57">
        <v>30</v>
      </c>
      <c r="L96" s="58">
        <v>30</v>
      </c>
    </row>
    <row r="97" spans="1:12" s="9" customFormat="1" ht="15">
      <c r="A97" s="105">
        <v>93</v>
      </c>
      <c r="B97" s="106" t="s">
        <v>1896</v>
      </c>
      <c r="C97" s="106"/>
      <c r="D97" s="8" t="s">
        <v>2114</v>
      </c>
      <c r="E97" s="189" t="s">
        <v>595</v>
      </c>
      <c r="F97" s="106"/>
      <c r="G97" s="106" t="s">
        <v>594</v>
      </c>
      <c r="H97" s="107">
        <v>4100</v>
      </c>
      <c r="I97" s="8" t="s">
        <v>317</v>
      </c>
      <c r="J97" s="108" t="s">
        <v>377</v>
      </c>
      <c r="K97" s="57">
        <v>30</v>
      </c>
      <c r="L97" s="58">
        <v>30</v>
      </c>
    </row>
    <row r="98" spans="1:12" s="9" customFormat="1" ht="15">
      <c r="A98" s="105">
        <v>94</v>
      </c>
      <c r="B98" s="106" t="s">
        <v>1896</v>
      </c>
      <c r="C98" s="106"/>
      <c r="D98" s="8" t="s">
        <v>4534</v>
      </c>
      <c r="E98" s="189" t="s">
        <v>595</v>
      </c>
      <c r="F98" s="106"/>
      <c r="G98" s="106" t="s">
        <v>594</v>
      </c>
      <c r="H98" s="107">
        <v>4100</v>
      </c>
      <c r="I98" s="8" t="s">
        <v>317</v>
      </c>
      <c r="J98" s="108" t="s">
        <v>377</v>
      </c>
      <c r="K98" s="57">
        <v>30</v>
      </c>
      <c r="L98" s="58">
        <v>30</v>
      </c>
    </row>
    <row r="99" spans="1:12" s="9" customFormat="1" ht="15">
      <c r="A99" s="105">
        <v>95</v>
      </c>
      <c r="B99" s="106" t="s">
        <v>1896</v>
      </c>
      <c r="C99" s="106"/>
      <c r="D99" s="8" t="s">
        <v>2115</v>
      </c>
      <c r="E99" s="189" t="s">
        <v>86</v>
      </c>
      <c r="F99" s="106"/>
      <c r="G99" s="107" t="s">
        <v>1763</v>
      </c>
      <c r="H99" s="107">
        <v>4100</v>
      </c>
      <c r="I99" s="8" t="s">
        <v>317</v>
      </c>
      <c r="J99" s="8" t="s">
        <v>377</v>
      </c>
      <c r="K99" s="57">
        <v>30</v>
      </c>
      <c r="L99" s="58">
        <v>30</v>
      </c>
    </row>
    <row r="100" spans="1:12" s="9" customFormat="1" ht="15">
      <c r="A100" s="105">
        <v>96</v>
      </c>
      <c r="B100" s="106" t="s">
        <v>1896</v>
      </c>
      <c r="C100" s="106"/>
      <c r="D100" s="8" t="s">
        <v>2116</v>
      </c>
      <c r="E100" s="189" t="s">
        <v>86</v>
      </c>
      <c r="F100" s="106"/>
      <c r="G100" s="106" t="s">
        <v>596</v>
      </c>
      <c r="H100" s="107">
        <v>4100</v>
      </c>
      <c r="I100" s="8" t="s">
        <v>317</v>
      </c>
      <c r="J100" s="108" t="s">
        <v>377</v>
      </c>
      <c r="K100" s="57">
        <v>30</v>
      </c>
      <c r="L100" s="58">
        <v>30</v>
      </c>
    </row>
    <row r="101" spans="1:12" s="9" customFormat="1" ht="15">
      <c r="A101" s="105">
        <v>97</v>
      </c>
      <c r="B101" s="106" t="s">
        <v>1896</v>
      </c>
      <c r="C101" s="106"/>
      <c r="D101" s="8">
        <v>4133171010</v>
      </c>
      <c r="E101" s="189" t="s">
        <v>238</v>
      </c>
      <c r="F101" s="106"/>
      <c r="G101" s="107" t="s">
        <v>261</v>
      </c>
      <c r="H101" s="107">
        <v>4100</v>
      </c>
      <c r="I101" s="8" t="s">
        <v>260</v>
      </c>
      <c r="J101" s="8" t="s">
        <v>1690</v>
      </c>
      <c r="K101" s="57">
        <v>30</v>
      </c>
      <c r="L101" s="58">
        <v>30</v>
      </c>
    </row>
    <row r="102" spans="1:12" s="9" customFormat="1" ht="15">
      <c r="A102" s="105">
        <v>98</v>
      </c>
      <c r="B102" s="106" t="s">
        <v>1896</v>
      </c>
      <c r="C102" s="106"/>
      <c r="D102" s="8">
        <v>4134171010</v>
      </c>
      <c r="E102" s="189" t="s">
        <v>239</v>
      </c>
      <c r="F102" s="106"/>
      <c r="G102" s="107" t="s">
        <v>266</v>
      </c>
      <c r="H102" s="107">
        <v>4100</v>
      </c>
      <c r="I102" s="8" t="s">
        <v>260</v>
      </c>
      <c r="J102" s="8" t="s">
        <v>1690</v>
      </c>
      <c r="K102" s="57">
        <v>30</v>
      </c>
      <c r="L102" s="58">
        <v>30</v>
      </c>
    </row>
    <row r="103" spans="1:12" s="9" customFormat="1" ht="15">
      <c r="A103" s="105">
        <v>99</v>
      </c>
      <c r="B103" s="106" t="s">
        <v>1896</v>
      </c>
      <c r="C103" s="106"/>
      <c r="D103" s="8" t="s">
        <v>1508</v>
      </c>
      <c r="E103" s="189" t="s">
        <v>599</v>
      </c>
      <c r="F103" s="106"/>
      <c r="G103" s="106" t="s">
        <v>598</v>
      </c>
      <c r="H103" s="107">
        <v>4100</v>
      </c>
      <c r="I103" s="8" t="s">
        <v>317</v>
      </c>
      <c r="J103" s="8" t="s">
        <v>237</v>
      </c>
      <c r="K103" s="57">
        <v>30</v>
      </c>
      <c r="L103" s="58">
        <v>30</v>
      </c>
    </row>
    <row r="104" spans="1:12" s="9" customFormat="1" ht="15">
      <c r="A104" s="105">
        <v>100</v>
      </c>
      <c r="B104" s="106" t="s">
        <v>1896</v>
      </c>
      <c r="C104" s="106"/>
      <c r="D104" s="8" t="s">
        <v>115</v>
      </c>
      <c r="E104" s="189" t="s">
        <v>599</v>
      </c>
      <c r="F104" s="106"/>
      <c r="G104" s="107" t="s">
        <v>240</v>
      </c>
      <c r="H104" s="107">
        <v>4100</v>
      </c>
      <c r="I104" s="8" t="s">
        <v>226</v>
      </c>
      <c r="J104" s="8" t="s">
        <v>237</v>
      </c>
      <c r="K104" s="57">
        <v>30</v>
      </c>
      <c r="L104" s="58">
        <v>30</v>
      </c>
    </row>
    <row r="105" spans="1:12" s="9" customFormat="1" ht="15">
      <c r="A105" s="105">
        <v>101</v>
      </c>
      <c r="B105" s="106" t="s">
        <v>1896</v>
      </c>
      <c r="C105" s="106"/>
      <c r="D105" s="8" t="s">
        <v>1509</v>
      </c>
      <c r="E105" s="189" t="s">
        <v>601</v>
      </c>
      <c r="F105" s="106"/>
      <c r="G105" s="106" t="s">
        <v>600</v>
      </c>
      <c r="H105" s="107">
        <v>4100</v>
      </c>
      <c r="I105" s="8" t="s">
        <v>389</v>
      </c>
      <c r="J105" s="108" t="s">
        <v>1912</v>
      </c>
      <c r="K105" s="57">
        <v>60</v>
      </c>
      <c r="L105" s="58">
        <v>60</v>
      </c>
    </row>
    <row r="106" spans="1:12" s="9" customFormat="1" ht="15">
      <c r="A106" s="105">
        <v>102</v>
      </c>
      <c r="B106" s="106" t="s">
        <v>1896</v>
      </c>
      <c r="C106" s="106"/>
      <c r="D106" s="8" t="s">
        <v>1510</v>
      </c>
      <c r="E106" s="189" t="s">
        <v>601</v>
      </c>
      <c r="F106" s="106"/>
      <c r="G106" s="106" t="s">
        <v>602</v>
      </c>
      <c r="H106" s="107">
        <v>4100</v>
      </c>
      <c r="I106" s="8" t="s">
        <v>389</v>
      </c>
      <c r="J106" s="108" t="s">
        <v>1912</v>
      </c>
      <c r="K106" s="57">
        <v>60</v>
      </c>
      <c r="L106" s="58">
        <v>60</v>
      </c>
    </row>
    <row r="107" spans="1:12" s="9" customFormat="1" ht="15">
      <c r="A107" s="105">
        <v>103</v>
      </c>
      <c r="B107" s="106" t="s">
        <v>1896</v>
      </c>
      <c r="C107" s="106"/>
      <c r="D107" s="8" t="s">
        <v>1511</v>
      </c>
      <c r="E107" s="189" t="s">
        <v>604</v>
      </c>
      <c r="F107" s="106"/>
      <c r="G107" s="106" t="s">
        <v>603</v>
      </c>
      <c r="H107" s="107">
        <v>4100</v>
      </c>
      <c r="I107" s="8" t="s">
        <v>389</v>
      </c>
      <c r="J107" s="108" t="s">
        <v>229</v>
      </c>
      <c r="K107" s="57">
        <v>30</v>
      </c>
      <c r="L107" s="58">
        <v>30</v>
      </c>
    </row>
    <row r="108" spans="1:12" s="9" customFormat="1" ht="15">
      <c r="A108" s="105">
        <v>104</v>
      </c>
      <c r="B108" s="106" t="s">
        <v>1896</v>
      </c>
      <c r="C108" s="106"/>
      <c r="D108" s="8" t="s">
        <v>1512</v>
      </c>
      <c r="E108" s="189" t="s">
        <v>604</v>
      </c>
      <c r="F108" s="106"/>
      <c r="G108" s="106" t="s">
        <v>605</v>
      </c>
      <c r="H108" s="107">
        <v>4100</v>
      </c>
      <c r="I108" s="8" t="s">
        <v>389</v>
      </c>
      <c r="J108" s="108" t="s">
        <v>229</v>
      </c>
      <c r="K108" s="57">
        <v>30</v>
      </c>
      <c r="L108" s="58">
        <v>30</v>
      </c>
    </row>
    <row r="109" spans="1:12" s="9" customFormat="1" ht="15">
      <c r="A109" s="105">
        <v>105</v>
      </c>
      <c r="B109" s="106" t="s">
        <v>1896</v>
      </c>
      <c r="C109" s="106"/>
      <c r="D109" s="8" t="s">
        <v>1513</v>
      </c>
      <c r="E109" s="189" t="s">
        <v>604</v>
      </c>
      <c r="F109" s="106"/>
      <c r="G109" s="106" t="s">
        <v>606</v>
      </c>
      <c r="H109" s="107">
        <v>4100</v>
      </c>
      <c r="I109" s="8" t="s">
        <v>389</v>
      </c>
      <c r="J109" s="108" t="s">
        <v>229</v>
      </c>
      <c r="K109" s="57">
        <v>30</v>
      </c>
      <c r="L109" s="58">
        <v>30</v>
      </c>
    </row>
    <row r="110" spans="1:12" s="9" customFormat="1" ht="15">
      <c r="A110" s="105">
        <v>106</v>
      </c>
      <c r="B110" s="106" t="s">
        <v>1896</v>
      </c>
      <c r="C110" s="106"/>
      <c r="D110" s="8" t="s">
        <v>1514</v>
      </c>
      <c r="E110" s="189" t="s">
        <v>604</v>
      </c>
      <c r="F110" s="106"/>
      <c r="G110" s="106" t="s">
        <v>607</v>
      </c>
      <c r="H110" s="107">
        <v>4100</v>
      </c>
      <c r="I110" s="8" t="s">
        <v>389</v>
      </c>
      <c r="J110" s="108" t="s">
        <v>229</v>
      </c>
      <c r="K110" s="57">
        <v>30</v>
      </c>
      <c r="L110" s="58">
        <v>30</v>
      </c>
    </row>
    <row r="111" spans="1:12" s="9" customFormat="1" ht="15">
      <c r="A111" s="105">
        <v>107</v>
      </c>
      <c r="B111" s="106" t="s">
        <v>1896</v>
      </c>
      <c r="C111" s="106"/>
      <c r="D111" s="8" t="s">
        <v>1515</v>
      </c>
      <c r="E111" s="189" t="s">
        <v>604</v>
      </c>
      <c r="F111" s="106"/>
      <c r="G111" s="106" t="s">
        <v>608</v>
      </c>
      <c r="H111" s="107">
        <v>4100</v>
      </c>
      <c r="I111" s="8" t="s">
        <v>389</v>
      </c>
      <c r="J111" s="108" t="s">
        <v>229</v>
      </c>
      <c r="K111" s="57">
        <v>30</v>
      </c>
      <c r="L111" s="58">
        <v>30</v>
      </c>
    </row>
    <row r="112" spans="1:12" s="9" customFormat="1" ht="15">
      <c r="A112" s="105">
        <v>108</v>
      </c>
      <c r="B112" s="106" t="s">
        <v>1896</v>
      </c>
      <c r="C112" s="106"/>
      <c r="D112" s="8" t="s">
        <v>1516</v>
      </c>
      <c r="E112" s="189" t="s">
        <v>604</v>
      </c>
      <c r="F112" s="106"/>
      <c r="G112" s="106" t="s">
        <v>609</v>
      </c>
      <c r="H112" s="107">
        <v>4100</v>
      </c>
      <c r="I112" s="8" t="s">
        <v>389</v>
      </c>
      <c r="J112" s="108" t="s">
        <v>229</v>
      </c>
      <c r="K112" s="57">
        <v>30</v>
      </c>
      <c r="L112" s="58">
        <v>30</v>
      </c>
    </row>
    <row r="113" spans="1:12" s="9" customFormat="1" ht="15">
      <c r="A113" s="105">
        <v>109</v>
      </c>
      <c r="B113" s="106" t="s">
        <v>1896</v>
      </c>
      <c r="C113" s="106"/>
      <c r="D113" s="8" t="s">
        <v>1517</v>
      </c>
      <c r="E113" s="189" t="s">
        <v>604</v>
      </c>
      <c r="F113" s="106"/>
      <c r="G113" s="106" t="s">
        <v>610</v>
      </c>
      <c r="H113" s="107">
        <v>4100</v>
      </c>
      <c r="I113" s="8" t="s">
        <v>389</v>
      </c>
      <c r="J113" s="108" t="s">
        <v>229</v>
      </c>
      <c r="K113" s="57">
        <v>30</v>
      </c>
      <c r="L113" s="58">
        <v>30</v>
      </c>
    </row>
    <row r="114" spans="1:12" s="9" customFormat="1" ht="15">
      <c r="A114" s="105">
        <v>110</v>
      </c>
      <c r="B114" s="106" t="s">
        <v>1896</v>
      </c>
      <c r="C114" s="106"/>
      <c r="D114" s="8" t="s">
        <v>1518</v>
      </c>
      <c r="E114" s="189" t="s">
        <v>604</v>
      </c>
      <c r="F114" s="106"/>
      <c r="G114" s="106" t="s">
        <v>611</v>
      </c>
      <c r="H114" s="107">
        <v>4100</v>
      </c>
      <c r="I114" s="8" t="s">
        <v>389</v>
      </c>
      <c r="J114" s="108" t="s">
        <v>229</v>
      </c>
      <c r="K114" s="57">
        <v>30</v>
      </c>
      <c r="L114" s="58">
        <v>30</v>
      </c>
    </row>
    <row r="115" spans="1:12" s="9" customFormat="1" ht="15">
      <c r="A115" s="105">
        <v>111</v>
      </c>
      <c r="B115" s="106" t="s">
        <v>1896</v>
      </c>
      <c r="C115" s="106"/>
      <c r="D115" s="8" t="s">
        <v>1519</v>
      </c>
      <c r="E115" s="189" t="s">
        <v>604</v>
      </c>
      <c r="F115" s="106"/>
      <c r="G115" s="106" t="s">
        <v>612</v>
      </c>
      <c r="H115" s="107">
        <v>4100</v>
      </c>
      <c r="I115" s="8" t="s">
        <v>389</v>
      </c>
      <c r="J115" s="108" t="s">
        <v>229</v>
      </c>
      <c r="K115" s="57">
        <v>30</v>
      </c>
      <c r="L115" s="58">
        <v>30</v>
      </c>
    </row>
    <row r="116" spans="1:12" s="9" customFormat="1" ht="15">
      <c r="A116" s="105">
        <v>112</v>
      </c>
      <c r="B116" s="106" t="s">
        <v>1896</v>
      </c>
      <c r="C116" s="106"/>
      <c r="D116" s="8" t="s">
        <v>1520</v>
      </c>
      <c r="E116" s="189" t="s">
        <v>604</v>
      </c>
      <c r="F116" s="106"/>
      <c r="G116" s="106" t="s">
        <v>613</v>
      </c>
      <c r="H116" s="107">
        <v>4100</v>
      </c>
      <c r="I116" s="8" t="s">
        <v>260</v>
      </c>
      <c r="J116" s="108" t="s">
        <v>229</v>
      </c>
      <c r="K116" s="57">
        <v>30</v>
      </c>
      <c r="L116" s="58">
        <v>30</v>
      </c>
    </row>
    <row r="117" spans="1:12" s="9" customFormat="1" ht="15">
      <c r="A117" s="105">
        <v>113</v>
      </c>
      <c r="B117" s="106" t="s">
        <v>1896</v>
      </c>
      <c r="C117" s="106"/>
      <c r="D117" s="8" t="s">
        <v>1521</v>
      </c>
      <c r="E117" s="189" t="s">
        <v>604</v>
      </c>
      <c r="F117" s="106"/>
      <c r="G117" s="106" t="s">
        <v>614</v>
      </c>
      <c r="H117" s="107">
        <v>4100</v>
      </c>
      <c r="I117" s="8" t="s">
        <v>260</v>
      </c>
      <c r="J117" s="108" t="s">
        <v>229</v>
      </c>
      <c r="K117" s="57">
        <v>30</v>
      </c>
      <c r="L117" s="58">
        <v>30</v>
      </c>
    </row>
    <row r="118" spans="1:12" s="9" customFormat="1" ht="15">
      <c r="A118" s="105">
        <v>114</v>
      </c>
      <c r="B118" s="106" t="s">
        <v>1896</v>
      </c>
      <c r="C118" s="106"/>
      <c r="D118" s="8" t="s">
        <v>1522</v>
      </c>
      <c r="E118" s="189" t="s">
        <v>604</v>
      </c>
      <c r="F118" s="106"/>
      <c r="G118" s="106" t="s">
        <v>615</v>
      </c>
      <c r="H118" s="107">
        <v>4100</v>
      </c>
      <c r="I118" s="8" t="s">
        <v>260</v>
      </c>
      <c r="J118" s="108" t="s">
        <v>229</v>
      </c>
      <c r="K118" s="57">
        <v>30</v>
      </c>
      <c r="L118" s="58">
        <v>30</v>
      </c>
    </row>
    <row r="119" spans="1:12" s="9" customFormat="1" ht="15">
      <c r="A119" s="105">
        <v>115</v>
      </c>
      <c r="B119" s="106" t="s">
        <v>1896</v>
      </c>
      <c r="C119" s="106"/>
      <c r="D119" s="8" t="s">
        <v>1523</v>
      </c>
      <c r="E119" s="189" t="s">
        <v>604</v>
      </c>
      <c r="F119" s="106"/>
      <c r="G119" s="106" t="s">
        <v>616</v>
      </c>
      <c r="H119" s="107">
        <v>4100</v>
      </c>
      <c r="I119" s="8" t="s">
        <v>260</v>
      </c>
      <c r="J119" s="108" t="s">
        <v>229</v>
      </c>
      <c r="K119" s="57">
        <v>30</v>
      </c>
      <c r="L119" s="58">
        <v>30</v>
      </c>
    </row>
    <row r="120" spans="1:12" s="9" customFormat="1" ht="15">
      <c r="A120" s="105">
        <v>116</v>
      </c>
      <c r="B120" s="106" t="s">
        <v>1896</v>
      </c>
      <c r="C120" s="106"/>
      <c r="D120" s="8" t="s">
        <v>1524</v>
      </c>
      <c r="E120" s="189" t="s">
        <v>604</v>
      </c>
      <c r="F120" s="106"/>
      <c r="G120" s="106" t="s">
        <v>617</v>
      </c>
      <c r="H120" s="107">
        <v>4100</v>
      </c>
      <c r="I120" s="8" t="s">
        <v>260</v>
      </c>
      <c r="J120" s="108" t="s">
        <v>229</v>
      </c>
      <c r="K120" s="57">
        <v>30</v>
      </c>
      <c r="L120" s="58">
        <v>30</v>
      </c>
    </row>
    <row r="121" spans="1:12" s="9" customFormat="1" ht="15">
      <c r="A121" s="105">
        <v>117</v>
      </c>
      <c r="B121" s="106" t="s">
        <v>1896</v>
      </c>
      <c r="C121" s="106"/>
      <c r="D121" s="8" t="s">
        <v>1525</v>
      </c>
      <c r="E121" s="189" t="s">
        <v>604</v>
      </c>
      <c r="F121" s="106"/>
      <c r="G121" s="106" t="s">
        <v>618</v>
      </c>
      <c r="H121" s="107">
        <v>4100</v>
      </c>
      <c r="I121" s="8" t="s">
        <v>260</v>
      </c>
      <c r="J121" s="108" t="s">
        <v>229</v>
      </c>
      <c r="K121" s="57">
        <v>30</v>
      </c>
      <c r="L121" s="58">
        <v>30</v>
      </c>
    </row>
    <row r="122" spans="1:12" s="9" customFormat="1" ht="15">
      <c r="A122" s="105">
        <v>118</v>
      </c>
      <c r="B122" s="106" t="s">
        <v>1896</v>
      </c>
      <c r="C122" s="106"/>
      <c r="D122" s="8" t="s">
        <v>1526</v>
      </c>
      <c r="E122" s="189" t="s">
        <v>604</v>
      </c>
      <c r="F122" s="106"/>
      <c r="G122" s="106" t="s">
        <v>619</v>
      </c>
      <c r="H122" s="107">
        <v>4100</v>
      </c>
      <c r="I122" s="8" t="s">
        <v>260</v>
      </c>
      <c r="J122" s="108" t="s">
        <v>229</v>
      </c>
      <c r="K122" s="57">
        <v>30</v>
      </c>
      <c r="L122" s="58">
        <v>30</v>
      </c>
    </row>
    <row r="123" spans="1:12" s="9" customFormat="1" ht="15">
      <c r="A123" s="105">
        <v>119</v>
      </c>
      <c r="B123" s="106" t="s">
        <v>1896</v>
      </c>
      <c r="C123" s="106"/>
      <c r="D123" s="8" t="s">
        <v>1527</v>
      </c>
      <c r="E123" s="189" t="s">
        <v>604</v>
      </c>
      <c r="F123" s="106"/>
      <c r="G123" s="106" t="s">
        <v>620</v>
      </c>
      <c r="H123" s="107">
        <v>4100</v>
      </c>
      <c r="I123" s="8" t="s">
        <v>260</v>
      </c>
      <c r="J123" s="108" t="s">
        <v>229</v>
      </c>
      <c r="K123" s="57">
        <v>30</v>
      </c>
      <c r="L123" s="58">
        <v>30</v>
      </c>
    </row>
    <row r="124" spans="1:12" s="9" customFormat="1" ht="15">
      <c r="A124" s="105">
        <v>120</v>
      </c>
      <c r="B124" s="106" t="s">
        <v>1896</v>
      </c>
      <c r="C124" s="106"/>
      <c r="D124" s="8" t="s">
        <v>1528</v>
      </c>
      <c r="E124" s="189" t="s">
        <v>604</v>
      </c>
      <c r="F124" s="106"/>
      <c r="G124" s="106" t="s">
        <v>621</v>
      </c>
      <c r="H124" s="107">
        <v>4100</v>
      </c>
      <c r="I124" s="8" t="s">
        <v>260</v>
      </c>
      <c r="J124" s="108" t="s">
        <v>229</v>
      </c>
      <c r="K124" s="57">
        <v>30</v>
      </c>
      <c r="L124" s="58">
        <v>30</v>
      </c>
    </row>
    <row r="125" spans="1:12" s="9" customFormat="1" ht="15">
      <c r="A125" s="105">
        <v>121</v>
      </c>
      <c r="B125" s="106" t="s">
        <v>1896</v>
      </c>
      <c r="C125" s="106"/>
      <c r="D125" s="8" t="s">
        <v>1529</v>
      </c>
      <c r="E125" s="189" t="s">
        <v>604</v>
      </c>
      <c r="F125" s="106"/>
      <c r="G125" s="106" t="s">
        <v>622</v>
      </c>
      <c r="H125" s="107">
        <v>4100</v>
      </c>
      <c r="I125" s="8" t="s">
        <v>260</v>
      </c>
      <c r="J125" s="108" t="s">
        <v>229</v>
      </c>
      <c r="K125" s="57">
        <v>30</v>
      </c>
      <c r="L125" s="58">
        <v>30</v>
      </c>
    </row>
    <row r="126" spans="1:12" s="9" customFormat="1" ht="15">
      <c r="A126" s="105">
        <v>122</v>
      </c>
      <c r="B126" s="106" t="s">
        <v>1896</v>
      </c>
      <c r="C126" s="106"/>
      <c r="D126" s="8" t="s">
        <v>1530</v>
      </c>
      <c r="E126" s="189" t="s">
        <v>604</v>
      </c>
      <c r="F126" s="106"/>
      <c r="G126" s="106" t="s">
        <v>623</v>
      </c>
      <c r="H126" s="107">
        <v>4100</v>
      </c>
      <c r="I126" s="8" t="s">
        <v>260</v>
      </c>
      <c r="J126" s="108" t="s">
        <v>229</v>
      </c>
      <c r="K126" s="57">
        <v>30</v>
      </c>
      <c r="L126" s="58">
        <v>30</v>
      </c>
    </row>
    <row r="127" spans="1:12" s="9" customFormat="1" ht="15">
      <c r="A127" s="105">
        <v>123</v>
      </c>
      <c r="B127" s="106" t="s">
        <v>1896</v>
      </c>
      <c r="C127" s="106"/>
      <c r="D127" s="8" t="s">
        <v>116</v>
      </c>
      <c r="E127" s="189" t="s">
        <v>604</v>
      </c>
      <c r="F127" s="106"/>
      <c r="G127" s="107" t="s">
        <v>241</v>
      </c>
      <c r="H127" s="107">
        <v>4100</v>
      </c>
      <c r="I127" s="8" t="s">
        <v>226</v>
      </c>
      <c r="J127" s="108" t="s">
        <v>229</v>
      </c>
      <c r="K127" s="57">
        <v>30</v>
      </c>
      <c r="L127" s="58">
        <v>30</v>
      </c>
    </row>
    <row r="128" spans="1:12" s="9" customFormat="1" ht="15">
      <c r="A128" s="105">
        <v>124</v>
      </c>
      <c r="B128" s="106" t="s">
        <v>1896</v>
      </c>
      <c r="C128" s="106"/>
      <c r="D128" s="8" t="s">
        <v>117</v>
      </c>
      <c r="E128" s="189" t="s">
        <v>604</v>
      </c>
      <c r="F128" s="106"/>
      <c r="G128" s="107" t="s">
        <v>242</v>
      </c>
      <c r="H128" s="107">
        <v>4100</v>
      </c>
      <c r="I128" s="8" t="s">
        <v>226</v>
      </c>
      <c r="J128" s="108" t="s">
        <v>229</v>
      </c>
      <c r="K128" s="57">
        <v>30</v>
      </c>
      <c r="L128" s="58">
        <v>30</v>
      </c>
    </row>
    <row r="129" spans="1:12" s="9" customFormat="1" ht="15">
      <c r="A129" s="105">
        <v>125</v>
      </c>
      <c r="B129" s="106" t="s">
        <v>1896</v>
      </c>
      <c r="C129" s="106"/>
      <c r="D129" s="8" t="s">
        <v>121</v>
      </c>
      <c r="E129" s="189" t="s">
        <v>604</v>
      </c>
      <c r="F129" s="106"/>
      <c r="G129" s="107" t="s">
        <v>246</v>
      </c>
      <c r="H129" s="107">
        <v>4100</v>
      </c>
      <c r="I129" s="8" t="s">
        <v>226</v>
      </c>
      <c r="J129" s="108" t="s">
        <v>229</v>
      </c>
      <c r="K129" s="57">
        <v>30</v>
      </c>
      <c r="L129" s="58">
        <v>30</v>
      </c>
    </row>
    <row r="130" spans="1:12" s="9" customFormat="1" ht="15">
      <c r="A130" s="105">
        <v>126</v>
      </c>
      <c r="B130" s="106" t="s">
        <v>1896</v>
      </c>
      <c r="C130" s="106"/>
      <c r="D130" s="8" t="s">
        <v>122</v>
      </c>
      <c r="E130" s="189" t="s">
        <v>604</v>
      </c>
      <c r="F130" s="106"/>
      <c r="G130" s="107" t="s">
        <v>247</v>
      </c>
      <c r="H130" s="107">
        <v>4100</v>
      </c>
      <c r="I130" s="8" t="s">
        <v>226</v>
      </c>
      <c r="J130" s="108" t="s">
        <v>229</v>
      </c>
      <c r="K130" s="57">
        <v>30</v>
      </c>
      <c r="L130" s="58">
        <v>30</v>
      </c>
    </row>
    <row r="131" spans="1:12" s="9" customFormat="1" ht="15">
      <c r="A131" s="105">
        <v>127</v>
      </c>
      <c r="B131" s="106" t="s">
        <v>1896</v>
      </c>
      <c r="C131" s="106"/>
      <c r="D131" s="8" t="s">
        <v>1532</v>
      </c>
      <c r="E131" s="189" t="s">
        <v>626</v>
      </c>
      <c r="F131" s="106"/>
      <c r="G131" s="106" t="s">
        <v>625</v>
      </c>
      <c r="H131" s="107">
        <v>4100</v>
      </c>
      <c r="I131" s="8" t="s">
        <v>260</v>
      </c>
      <c r="J131" s="108" t="s">
        <v>229</v>
      </c>
      <c r="K131" s="57">
        <v>30</v>
      </c>
      <c r="L131" s="58">
        <v>30</v>
      </c>
    </row>
    <row r="132" spans="1:12" s="9" customFormat="1" ht="15">
      <c r="A132" s="105">
        <v>128</v>
      </c>
      <c r="B132" s="106" t="s">
        <v>1896</v>
      </c>
      <c r="C132" s="106"/>
      <c r="D132" s="8">
        <v>4138835020</v>
      </c>
      <c r="E132" s="189" t="s">
        <v>91</v>
      </c>
      <c r="F132" s="106"/>
      <c r="G132" s="106" t="s">
        <v>627</v>
      </c>
      <c r="H132" s="107">
        <v>4100</v>
      </c>
      <c r="I132" s="8" t="s">
        <v>260</v>
      </c>
      <c r="J132" s="8" t="s">
        <v>1690</v>
      </c>
      <c r="K132" s="57">
        <v>30</v>
      </c>
      <c r="L132" s="58">
        <v>30</v>
      </c>
    </row>
    <row r="133" spans="1:12" s="9" customFormat="1" ht="15">
      <c r="A133" s="105">
        <v>129</v>
      </c>
      <c r="B133" s="106" t="s">
        <v>1896</v>
      </c>
      <c r="C133" s="106"/>
      <c r="D133" s="8">
        <v>4140035031</v>
      </c>
      <c r="E133" s="189" t="s">
        <v>2930</v>
      </c>
      <c r="F133" s="106"/>
      <c r="G133" s="106" t="s">
        <v>1892</v>
      </c>
      <c r="H133" s="107">
        <v>4100</v>
      </c>
      <c r="I133" s="8" t="s">
        <v>317</v>
      </c>
      <c r="J133" s="8" t="s">
        <v>1690</v>
      </c>
      <c r="K133" s="57">
        <v>30</v>
      </c>
      <c r="L133" s="58">
        <v>30</v>
      </c>
    </row>
    <row r="134" spans="1:12" s="9" customFormat="1" ht="15">
      <c r="A134" s="105">
        <v>130</v>
      </c>
      <c r="B134" s="106" t="s">
        <v>1896</v>
      </c>
      <c r="C134" s="106"/>
      <c r="D134" s="8">
        <v>4143335010</v>
      </c>
      <c r="E134" s="189" t="s">
        <v>96</v>
      </c>
      <c r="F134" s="106"/>
      <c r="G134" s="107" t="s">
        <v>95</v>
      </c>
      <c r="H134" s="107">
        <v>4100</v>
      </c>
      <c r="I134" s="8" t="s">
        <v>317</v>
      </c>
      <c r="J134" s="8" t="s">
        <v>1690</v>
      </c>
      <c r="K134" s="57">
        <v>30</v>
      </c>
      <c r="L134" s="58">
        <v>30</v>
      </c>
    </row>
    <row r="135" spans="1:12" s="9" customFormat="1" ht="15">
      <c r="A135" s="105">
        <v>130</v>
      </c>
      <c r="B135" s="106" t="s">
        <v>4547</v>
      </c>
      <c r="C135" s="106"/>
      <c r="D135" s="8" t="str">
        <f>"414330K010"</f>
        <v>414330K010</v>
      </c>
      <c r="E135" s="189" t="s">
        <v>4605</v>
      </c>
      <c r="F135" s="106"/>
      <c r="G135" s="107" t="s">
        <v>4606</v>
      </c>
      <c r="H135" s="107">
        <v>4100</v>
      </c>
      <c r="I135" s="8" t="s">
        <v>317</v>
      </c>
      <c r="J135" s="8" t="s">
        <v>2890</v>
      </c>
      <c r="K135" s="57">
        <v>100</v>
      </c>
      <c r="L135" s="58">
        <v>100</v>
      </c>
    </row>
    <row r="136" spans="1:12" s="9" customFormat="1" ht="15">
      <c r="A136" s="105">
        <v>131</v>
      </c>
      <c r="B136" s="106" t="s">
        <v>1896</v>
      </c>
      <c r="C136" s="106"/>
      <c r="D136" s="8">
        <v>4143435030</v>
      </c>
      <c r="E136" s="189" t="s">
        <v>629</v>
      </c>
      <c r="F136" s="106"/>
      <c r="G136" s="106" t="s">
        <v>628</v>
      </c>
      <c r="H136" s="107">
        <v>4100</v>
      </c>
      <c r="I136" s="8" t="s">
        <v>317</v>
      </c>
      <c r="J136" s="8" t="s">
        <v>1690</v>
      </c>
      <c r="K136" s="57">
        <v>30</v>
      </c>
      <c r="L136" s="58">
        <v>30</v>
      </c>
    </row>
    <row r="137" spans="1:12" s="9" customFormat="1" ht="15">
      <c r="A137" s="105">
        <v>132</v>
      </c>
      <c r="B137" s="106" t="s">
        <v>1896</v>
      </c>
      <c r="C137" s="106"/>
      <c r="D137" s="8" t="s">
        <v>2117</v>
      </c>
      <c r="E137" s="189" t="s">
        <v>631</v>
      </c>
      <c r="F137" s="106"/>
      <c r="G137" s="106" t="s">
        <v>630</v>
      </c>
      <c r="H137" s="107">
        <v>4100</v>
      </c>
      <c r="I137" s="8" t="s">
        <v>317</v>
      </c>
      <c r="J137" s="108" t="s">
        <v>632</v>
      </c>
      <c r="K137" s="57">
        <v>30</v>
      </c>
      <c r="L137" s="58">
        <v>30</v>
      </c>
    </row>
    <row r="138" spans="1:12" s="9" customFormat="1" ht="15">
      <c r="A138" s="105">
        <v>133</v>
      </c>
      <c r="B138" s="106" t="s">
        <v>1896</v>
      </c>
      <c r="C138" s="106"/>
      <c r="D138" s="8">
        <v>4203504010</v>
      </c>
      <c r="E138" s="189" t="s">
        <v>1261</v>
      </c>
      <c r="F138" s="107"/>
      <c r="G138" s="107" t="s">
        <v>1260</v>
      </c>
      <c r="H138" s="107">
        <v>4200</v>
      </c>
      <c r="I138" s="8" t="s">
        <v>310</v>
      </c>
      <c r="J138" s="8" t="s">
        <v>231</v>
      </c>
      <c r="K138" s="57">
        <v>30</v>
      </c>
      <c r="L138" s="58">
        <v>30</v>
      </c>
    </row>
    <row r="139" spans="1:12" s="9" customFormat="1" ht="15">
      <c r="A139" s="105">
        <v>134</v>
      </c>
      <c r="B139" s="106" t="s">
        <v>1896</v>
      </c>
      <c r="C139" s="106"/>
      <c r="D139" s="8" t="s">
        <v>2118</v>
      </c>
      <c r="E139" s="189" t="s">
        <v>2658</v>
      </c>
      <c r="F139" s="106"/>
      <c r="G139" s="106" t="s">
        <v>633</v>
      </c>
      <c r="H139" s="107">
        <v>4200</v>
      </c>
      <c r="I139" s="8" t="s">
        <v>310</v>
      </c>
      <c r="J139" s="108" t="s">
        <v>1110</v>
      </c>
      <c r="K139" s="57">
        <v>30</v>
      </c>
      <c r="L139" s="58">
        <v>30</v>
      </c>
    </row>
    <row r="140" spans="1:12" s="9" customFormat="1" ht="15">
      <c r="A140" s="105">
        <v>135</v>
      </c>
      <c r="B140" s="106" t="s">
        <v>1896</v>
      </c>
      <c r="C140" s="106"/>
      <c r="D140" s="8" t="s">
        <v>2119</v>
      </c>
      <c r="E140" s="189" t="s">
        <v>2658</v>
      </c>
      <c r="F140" s="106"/>
      <c r="G140" s="106" t="s">
        <v>634</v>
      </c>
      <c r="H140" s="107">
        <v>4200</v>
      </c>
      <c r="I140" s="8" t="s">
        <v>310</v>
      </c>
      <c r="J140" s="108" t="s">
        <v>1110</v>
      </c>
      <c r="K140" s="57">
        <v>30</v>
      </c>
      <c r="L140" s="58">
        <v>30</v>
      </c>
    </row>
    <row r="141" spans="1:12" s="9" customFormat="1" ht="15">
      <c r="A141" s="105">
        <v>136</v>
      </c>
      <c r="B141" s="106" t="s">
        <v>1896</v>
      </c>
      <c r="C141" s="106"/>
      <c r="D141" s="8" t="s">
        <v>2120</v>
      </c>
      <c r="E141" s="189" t="s">
        <v>2658</v>
      </c>
      <c r="F141" s="106"/>
      <c r="G141" s="106" t="s">
        <v>1874</v>
      </c>
      <c r="H141" s="107">
        <v>4200</v>
      </c>
      <c r="I141" s="8" t="s">
        <v>310</v>
      </c>
      <c r="J141" s="108" t="s">
        <v>1110</v>
      </c>
      <c r="K141" s="57">
        <v>30</v>
      </c>
      <c r="L141" s="58">
        <v>30</v>
      </c>
    </row>
    <row r="142" spans="1:12" s="9" customFormat="1" ht="15">
      <c r="A142" s="105">
        <v>137</v>
      </c>
      <c r="B142" s="106" t="s">
        <v>1896</v>
      </c>
      <c r="C142" s="106"/>
      <c r="D142" s="8" t="s">
        <v>2121</v>
      </c>
      <c r="E142" s="189" t="s">
        <v>2658</v>
      </c>
      <c r="F142" s="106"/>
      <c r="G142" s="106" t="s">
        <v>1875</v>
      </c>
      <c r="H142" s="107">
        <v>4200</v>
      </c>
      <c r="I142" s="8" t="s">
        <v>310</v>
      </c>
      <c r="J142" s="108" t="s">
        <v>1110</v>
      </c>
      <c r="K142" s="57">
        <v>30</v>
      </c>
      <c r="L142" s="58">
        <v>30</v>
      </c>
    </row>
    <row r="143" spans="1:12" s="9" customFormat="1" ht="15">
      <c r="A143" s="105">
        <v>138</v>
      </c>
      <c r="B143" s="106" t="s">
        <v>1896</v>
      </c>
      <c r="C143" s="106"/>
      <c r="D143" s="8" t="s">
        <v>2122</v>
      </c>
      <c r="E143" s="189" t="s">
        <v>2658</v>
      </c>
      <c r="F143" s="106"/>
      <c r="G143" s="106" t="s">
        <v>319</v>
      </c>
      <c r="H143" s="107">
        <v>4200</v>
      </c>
      <c r="I143" s="8" t="s">
        <v>310</v>
      </c>
      <c r="J143" s="108" t="s">
        <v>1110</v>
      </c>
      <c r="K143" s="57">
        <v>30</v>
      </c>
      <c r="L143" s="58">
        <v>30</v>
      </c>
    </row>
    <row r="144" spans="1:12" s="9" customFormat="1" ht="15">
      <c r="A144" s="105">
        <v>139</v>
      </c>
      <c r="B144" s="106" t="s">
        <v>1896</v>
      </c>
      <c r="C144" s="106"/>
      <c r="D144" s="8" t="s">
        <v>2123</v>
      </c>
      <c r="E144" s="189" t="s">
        <v>2658</v>
      </c>
      <c r="F144" s="106"/>
      <c r="G144" s="106" t="s">
        <v>635</v>
      </c>
      <c r="H144" s="107">
        <v>4200</v>
      </c>
      <c r="I144" s="8" t="s">
        <v>310</v>
      </c>
      <c r="J144" s="108" t="s">
        <v>1110</v>
      </c>
      <c r="K144" s="57">
        <v>30</v>
      </c>
      <c r="L144" s="58">
        <v>30</v>
      </c>
    </row>
    <row r="145" spans="1:12" s="9" customFormat="1" ht="15">
      <c r="A145" s="105">
        <v>140</v>
      </c>
      <c r="B145" s="106" t="s">
        <v>1896</v>
      </c>
      <c r="C145" s="106"/>
      <c r="D145" s="8" t="s">
        <v>2124</v>
      </c>
      <c r="E145" s="189" t="s">
        <v>2658</v>
      </c>
      <c r="F145" s="106"/>
      <c r="G145" s="106" t="s">
        <v>1765</v>
      </c>
      <c r="H145" s="107">
        <v>4200</v>
      </c>
      <c r="I145" s="8" t="s">
        <v>310</v>
      </c>
      <c r="J145" s="108" t="s">
        <v>1110</v>
      </c>
      <c r="K145" s="57">
        <v>30</v>
      </c>
      <c r="L145" s="58">
        <v>30</v>
      </c>
    </row>
    <row r="146" spans="1:12" s="9" customFormat="1" ht="15">
      <c r="A146" s="105">
        <v>141</v>
      </c>
      <c r="B146" s="106" t="s">
        <v>1896</v>
      </c>
      <c r="C146" s="106"/>
      <c r="D146" s="8" t="s">
        <v>2126</v>
      </c>
      <c r="E146" s="189" t="s">
        <v>2658</v>
      </c>
      <c r="F146" s="106"/>
      <c r="G146" s="106" t="s">
        <v>1766</v>
      </c>
      <c r="H146" s="107">
        <v>4200</v>
      </c>
      <c r="I146" s="8" t="s">
        <v>310</v>
      </c>
      <c r="J146" s="108" t="s">
        <v>1110</v>
      </c>
      <c r="K146" s="57">
        <v>30</v>
      </c>
      <c r="L146" s="58">
        <v>30</v>
      </c>
    </row>
    <row r="147" spans="1:12" s="9" customFormat="1" ht="15">
      <c r="A147" s="105">
        <v>142</v>
      </c>
      <c r="B147" s="106" t="s">
        <v>1896</v>
      </c>
      <c r="C147" s="106"/>
      <c r="D147" s="8" t="s">
        <v>2127</v>
      </c>
      <c r="E147" s="189" t="s">
        <v>2658</v>
      </c>
      <c r="F147" s="106"/>
      <c r="G147" s="106" t="s">
        <v>1767</v>
      </c>
      <c r="H147" s="107">
        <v>4200</v>
      </c>
      <c r="I147" s="8" t="s">
        <v>310</v>
      </c>
      <c r="J147" s="108" t="s">
        <v>1110</v>
      </c>
      <c r="K147" s="57">
        <v>30</v>
      </c>
      <c r="L147" s="58">
        <v>30</v>
      </c>
    </row>
    <row r="148" spans="1:12" s="9" customFormat="1" ht="15">
      <c r="A148" s="105">
        <v>143</v>
      </c>
      <c r="B148" s="106" t="s">
        <v>1896</v>
      </c>
      <c r="C148" s="106"/>
      <c r="D148" s="8" t="s">
        <v>2128</v>
      </c>
      <c r="E148" s="189" t="s">
        <v>2658</v>
      </c>
      <c r="F148" s="106"/>
      <c r="G148" s="106" t="s">
        <v>1858</v>
      </c>
      <c r="H148" s="107">
        <v>4200</v>
      </c>
      <c r="I148" s="8" t="s">
        <v>310</v>
      </c>
      <c r="J148" s="108" t="s">
        <v>1110</v>
      </c>
      <c r="K148" s="57">
        <v>30</v>
      </c>
      <c r="L148" s="58">
        <v>30</v>
      </c>
    </row>
    <row r="149" spans="1:12" s="9" customFormat="1" ht="15">
      <c r="A149" s="105">
        <v>144</v>
      </c>
      <c r="B149" s="106" t="s">
        <v>1896</v>
      </c>
      <c r="C149" s="106"/>
      <c r="D149" s="8" t="s">
        <v>2129</v>
      </c>
      <c r="E149" s="189" t="s">
        <v>2658</v>
      </c>
      <c r="F149" s="106"/>
      <c r="G149" s="106" t="s">
        <v>1859</v>
      </c>
      <c r="H149" s="107">
        <v>4200</v>
      </c>
      <c r="I149" s="8" t="s">
        <v>310</v>
      </c>
      <c r="J149" s="108" t="s">
        <v>1110</v>
      </c>
      <c r="K149" s="57">
        <v>30</v>
      </c>
      <c r="L149" s="58">
        <v>30</v>
      </c>
    </row>
    <row r="150" spans="1:12" s="9" customFormat="1" ht="15">
      <c r="A150" s="105">
        <v>145</v>
      </c>
      <c r="B150" s="106" t="s">
        <v>1896</v>
      </c>
      <c r="C150" s="106"/>
      <c r="D150" s="8" t="s">
        <v>2130</v>
      </c>
      <c r="E150" s="189" t="s">
        <v>2658</v>
      </c>
      <c r="F150" s="107"/>
      <c r="G150" s="107" t="s">
        <v>1768</v>
      </c>
      <c r="H150" s="107">
        <v>4200</v>
      </c>
      <c r="I150" s="8" t="s">
        <v>310</v>
      </c>
      <c r="J150" s="108" t="s">
        <v>1110</v>
      </c>
      <c r="K150" s="57">
        <v>30</v>
      </c>
      <c r="L150" s="58">
        <v>30</v>
      </c>
    </row>
    <row r="151" spans="1:12" s="9" customFormat="1" ht="15">
      <c r="A151" s="105">
        <v>146</v>
      </c>
      <c r="B151" s="106" t="s">
        <v>1896</v>
      </c>
      <c r="C151" s="106"/>
      <c r="D151" s="8" t="s">
        <v>2131</v>
      </c>
      <c r="E151" s="189" t="s">
        <v>2658</v>
      </c>
      <c r="F151" s="107"/>
      <c r="G151" s="107" t="s">
        <v>1769</v>
      </c>
      <c r="H151" s="107">
        <v>4200</v>
      </c>
      <c r="I151" s="8" t="s">
        <v>310</v>
      </c>
      <c r="J151" s="108" t="s">
        <v>1110</v>
      </c>
      <c r="K151" s="57">
        <v>30</v>
      </c>
      <c r="L151" s="58">
        <v>30</v>
      </c>
    </row>
    <row r="152" spans="1:12" s="9" customFormat="1" ht="15">
      <c r="A152" s="105">
        <v>147</v>
      </c>
      <c r="B152" s="106" t="s">
        <v>1896</v>
      </c>
      <c r="C152" s="106"/>
      <c r="D152" s="8" t="s">
        <v>2132</v>
      </c>
      <c r="E152" s="189" t="s">
        <v>2658</v>
      </c>
      <c r="F152" s="106"/>
      <c r="G152" s="106" t="s">
        <v>1731</v>
      </c>
      <c r="H152" s="107">
        <v>4200</v>
      </c>
      <c r="I152" s="8" t="s">
        <v>310</v>
      </c>
      <c r="J152" s="108" t="s">
        <v>1110</v>
      </c>
      <c r="K152" s="57">
        <v>30</v>
      </c>
      <c r="L152" s="58">
        <v>30</v>
      </c>
    </row>
    <row r="153" spans="1:12" s="9" customFormat="1" ht="15">
      <c r="A153" s="105">
        <v>148</v>
      </c>
      <c r="B153" s="106" t="s">
        <v>1896</v>
      </c>
      <c r="C153" s="106"/>
      <c r="D153" s="8" t="s">
        <v>2133</v>
      </c>
      <c r="E153" s="189" t="s">
        <v>2658</v>
      </c>
      <c r="F153" s="106"/>
      <c r="G153" s="106" t="s">
        <v>1963</v>
      </c>
      <c r="H153" s="107">
        <v>4200</v>
      </c>
      <c r="I153" s="8" t="s">
        <v>310</v>
      </c>
      <c r="J153" s="108" t="s">
        <v>1110</v>
      </c>
      <c r="K153" s="57">
        <v>30</v>
      </c>
      <c r="L153" s="58">
        <v>30</v>
      </c>
    </row>
    <row r="154" spans="1:12" s="9" customFormat="1" ht="15">
      <c r="A154" s="105">
        <v>149</v>
      </c>
      <c r="B154" s="106" t="s">
        <v>1896</v>
      </c>
      <c r="C154" s="106"/>
      <c r="D154" s="8" t="s">
        <v>2134</v>
      </c>
      <c r="E154" s="189" t="s">
        <v>2658</v>
      </c>
      <c r="F154" s="106"/>
      <c r="G154" s="106" t="s">
        <v>1770</v>
      </c>
      <c r="H154" s="107">
        <v>4200</v>
      </c>
      <c r="I154" s="8" t="s">
        <v>310</v>
      </c>
      <c r="J154" s="108" t="s">
        <v>1110</v>
      </c>
      <c r="K154" s="57">
        <v>30</v>
      </c>
      <c r="L154" s="58">
        <v>30</v>
      </c>
    </row>
    <row r="155" spans="1:12" s="9" customFormat="1" ht="15">
      <c r="A155" s="105">
        <v>150</v>
      </c>
      <c r="B155" s="106" t="s">
        <v>1896</v>
      </c>
      <c r="C155" s="106"/>
      <c r="D155" s="8" t="s">
        <v>2135</v>
      </c>
      <c r="E155" s="189" t="s">
        <v>2658</v>
      </c>
      <c r="F155" s="106"/>
      <c r="G155" s="106" t="s">
        <v>1771</v>
      </c>
      <c r="H155" s="107">
        <v>4200</v>
      </c>
      <c r="I155" s="8" t="s">
        <v>310</v>
      </c>
      <c r="J155" s="108" t="s">
        <v>1110</v>
      </c>
      <c r="K155" s="57">
        <v>30</v>
      </c>
      <c r="L155" s="58">
        <v>30</v>
      </c>
    </row>
    <row r="156" spans="1:12" s="9" customFormat="1" ht="15">
      <c r="A156" s="105">
        <v>151</v>
      </c>
      <c r="B156" s="106" t="s">
        <v>1896</v>
      </c>
      <c r="C156" s="106"/>
      <c r="D156" s="8" t="s">
        <v>2136</v>
      </c>
      <c r="E156" s="189" t="s">
        <v>2658</v>
      </c>
      <c r="F156" s="106"/>
      <c r="G156" s="106" t="s">
        <v>1845</v>
      </c>
      <c r="H156" s="107">
        <v>4200</v>
      </c>
      <c r="I156" s="8" t="s">
        <v>310</v>
      </c>
      <c r="J156" s="108" t="s">
        <v>1110</v>
      </c>
      <c r="K156" s="57">
        <v>30</v>
      </c>
      <c r="L156" s="58">
        <v>30</v>
      </c>
    </row>
    <row r="157" spans="1:12" s="9" customFormat="1" ht="15">
      <c r="A157" s="105">
        <v>152</v>
      </c>
      <c r="B157" s="106" t="s">
        <v>1897</v>
      </c>
      <c r="C157" s="106"/>
      <c r="D157" s="8" t="s">
        <v>2137</v>
      </c>
      <c r="E157" s="189" t="s">
        <v>2658</v>
      </c>
      <c r="F157" s="106"/>
      <c r="G157" s="106" t="s">
        <v>1898</v>
      </c>
      <c r="H157" s="107">
        <v>4200</v>
      </c>
      <c r="I157" s="8" t="s">
        <v>310</v>
      </c>
      <c r="J157" s="108" t="s">
        <v>1110</v>
      </c>
      <c r="K157" s="57">
        <v>30</v>
      </c>
      <c r="L157" s="58">
        <v>30</v>
      </c>
    </row>
    <row r="158" spans="1:12" s="9" customFormat="1" ht="15">
      <c r="A158" s="105">
        <v>153</v>
      </c>
      <c r="B158" s="106" t="s">
        <v>1897</v>
      </c>
      <c r="C158" s="106"/>
      <c r="D158" s="8" t="s">
        <v>2138</v>
      </c>
      <c r="E158" s="189" t="s">
        <v>2658</v>
      </c>
      <c r="F158" s="106"/>
      <c r="G158" s="106" t="s">
        <v>1899</v>
      </c>
      <c r="H158" s="107">
        <v>4200</v>
      </c>
      <c r="I158" s="8" t="s">
        <v>310</v>
      </c>
      <c r="J158" s="108" t="s">
        <v>1110</v>
      </c>
      <c r="K158" s="57">
        <v>30</v>
      </c>
      <c r="L158" s="58">
        <v>30</v>
      </c>
    </row>
    <row r="159" spans="1:12" s="9" customFormat="1" ht="15">
      <c r="A159" s="105">
        <v>154</v>
      </c>
      <c r="B159" s="106" t="s">
        <v>1897</v>
      </c>
      <c r="C159" s="106"/>
      <c r="D159" s="8" t="s">
        <v>2139</v>
      </c>
      <c r="E159" s="189" t="s">
        <v>2658</v>
      </c>
      <c r="F159" s="106"/>
      <c r="G159" s="106" t="s">
        <v>1900</v>
      </c>
      <c r="H159" s="107">
        <v>4200</v>
      </c>
      <c r="I159" s="8" t="s">
        <v>310</v>
      </c>
      <c r="J159" s="108" t="s">
        <v>1110</v>
      </c>
      <c r="K159" s="57">
        <v>30</v>
      </c>
      <c r="L159" s="58">
        <v>30</v>
      </c>
    </row>
    <row r="160" spans="1:12" s="9" customFormat="1" ht="15">
      <c r="A160" s="105">
        <v>155</v>
      </c>
      <c r="B160" s="106" t="s">
        <v>1897</v>
      </c>
      <c r="C160" s="106"/>
      <c r="D160" s="8" t="s">
        <v>2140</v>
      </c>
      <c r="E160" s="189" t="s">
        <v>2658</v>
      </c>
      <c r="F160" s="106"/>
      <c r="G160" s="106" t="s">
        <v>1901</v>
      </c>
      <c r="H160" s="107">
        <v>4200</v>
      </c>
      <c r="I160" s="8" t="s">
        <v>310</v>
      </c>
      <c r="J160" s="108" t="s">
        <v>1110</v>
      </c>
      <c r="K160" s="57">
        <v>30</v>
      </c>
      <c r="L160" s="58">
        <v>30</v>
      </c>
    </row>
    <row r="161" spans="1:12" s="9" customFormat="1" ht="15">
      <c r="A161" s="105">
        <v>156</v>
      </c>
      <c r="B161" s="106" t="s">
        <v>1897</v>
      </c>
      <c r="C161" s="106"/>
      <c r="D161" s="8" t="s">
        <v>2141</v>
      </c>
      <c r="E161" s="189" t="s">
        <v>2658</v>
      </c>
      <c r="F161" s="106"/>
      <c r="G161" s="106" t="s">
        <v>1902</v>
      </c>
      <c r="H161" s="107">
        <v>4200</v>
      </c>
      <c r="I161" s="8" t="s">
        <v>310</v>
      </c>
      <c r="J161" s="108" t="s">
        <v>1110</v>
      </c>
      <c r="K161" s="57">
        <v>30</v>
      </c>
      <c r="L161" s="58">
        <v>30</v>
      </c>
    </row>
    <row r="162" spans="1:12" s="9" customFormat="1" ht="15">
      <c r="A162" s="105">
        <v>157</v>
      </c>
      <c r="B162" s="106" t="s">
        <v>1897</v>
      </c>
      <c r="C162" s="106"/>
      <c r="D162" s="8" t="s">
        <v>2142</v>
      </c>
      <c r="E162" s="189" t="s">
        <v>2658</v>
      </c>
      <c r="F162" s="106"/>
      <c r="G162" s="106" t="s">
        <v>1903</v>
      </c>
      <c r="H162" s="107">
        <v>4200</v>
      </c>
      <c r="I162" s="8" t="s">
        <v>310</v>
      </c>
      <c r="J162" s="108" t="s">
        <v>1110</v>
      </c>
      <c r="K162" s="57">
        <v>30</v>
      </c>
      <c r="L162" s="58">
        <v>30</v>
      </c>
    </row>
    <row r="163" spans="1:12" s="9" customFormat="1" ht="15">
      <c r="A163" s="105">
        <v>158</v>
      </c>
      <c r="B163" s="106" t="s">
        <v>1897</v>
      </c>
      <c r="C163" s="106"/>
      <c r="D163" s="8" t="s">
        <v>2143</v>
      </c>
      <c r="E163" s="189" t="s">
        <v>2658</v>
      </c>
      <c r="F163" s="106"/>
      <c r="G163" s="106" t="s">
        <v>1904</v>
      </c>
      <c r="H163" s="107">
        <v>4200</v>
      </c>
      <c r="I163" s="8" t="s">
        <v>310</v>
      </c>
      <c r="J163" s="108" t="s">
        <v>1110</v>
      </c>
      <c r="K163" s="57">
        <v>30</v>
      </c>
      <c r="L163" s="58">
        <v>30</v>
      </c>
    </row>
    <row r="164" spans="1:12" s="9" customFormat="1" ht="15">
      <c r="A164" s="105">
        <v>159</v>
      </c>
      <c r="B164" s="106" t="s">
        <v>1897</v>
      </c>
      <c r="C164" s="106"/>
      <c r="D164" s="8" t="s">
        <v>2144</v>
      </c>
      <c r="E164" s="189" t="s">
        <v>2658</v>
      </c>
      <c r="F164" s="106"/>
      <c r="G164" s="106" t="s">
        <v>1905</v>
      </c>
      <c r="H164" s="107">
        <v>4200</v>
      </c>
      <c r="I164" s="8" t="s">
        <v>310</v>
      </c>
      <c r="J164" s="108" t="s">
        <v>1110</v>
      </c>
      <c r="K164" s="57">
        <v>30</v>
      </c>
      <c r="L164" s="58">
        <v>30</v>
      </c>
    </row>
    <row r="165" spans="1:12" s="9" customFormat="1" ht="15">
      <c r="A165" s="105">
        <v>160</v>
      </c>
      <c r="B165" s="106" t="s">
        <v>1897</v>
      </c>
      <c r="C165" s="106"/>
      <c r="D165" s="8" t="s">
        <v>2145</v>
      </c>
      <c r="E165" s="189" t="s">
        <v>2658</v>
      </c>
      <c r="F165" s="106"/>
      <c r="G165" s="106" t="s">
        <v>1906</v>
      </c>
      <c r="H165" s="107">
        <v>4200</v>
      </c>
      <c r="I165" s="8" t="s">
        <v>310</v>
      </c>
      <c r="J165" s="108" t="s">
        <v>1110</v>
      </c>
      <c r="K165" s="57">
        <v>30</v>
      </c>
      <c r="L165" s="58">
        <v>30</v>
      </c>
    </row>
    <row r="166" spans="1:12" s="9" customFormat="1" ht="15">
      <c r="A166" s="105">
        <v>161</v>
      </c>
      <c r="B166" s="106" t="s">
        <v>1897</v>
      </c>
      <c r="C166" s="106"/>
      <c r="D166" s="8" t="s">
        <v>2146</v>
      </c>
      <c r="E166" s="189" t="s">
        <v>2658</v>
      </c>
      <c r="F166" s="106"/>
      <c r="G166" s="106" t="s">
        <v>1907</v>
      </c>
      <c r="H166" s="107">
        <v>4200</v>
      </c>
      <c r="I166" s="8" t="s">
        <v>310</v>
      </c>
      <c r="J166" s="108" t="s">
        <v>1110</v>
      </c>
      <c r="K166" s="57">
        <v>30</v>
      </c>
      <c r="L166" s="58">
        <v>30</v>
      </c>
    </row>
    <row r="167" spans="1:12" s="9" customFormat="1" ht="15">
      <c r="A167" s="105">
        <v>162</v>
      </c>
      <c r="B167" s="106" t="s">
        <v>1897</v>
      </c>
      <c r="C167" s="106"/>
      <c r="D167" s="8" t="s">
        <v>2147</v>
      </c>
      <c r="E167" s="189" t="s">
        <v>2658</v>
      </c>
      <c r="F167" s="106"/>
      <c r="G167" s="106" t="s">
        <v>1908</v>
      </c>
      <c r="H167" s="107">
        <v>4200</v>
      </c>
      <c r="I167" s="8" t="s">
        <v>310</v>
      </c>
      <c r="J167" s="108" t="s">
        <v>1110</v>
      </c>
      <c r="K167" s="57">
        <v>30</v>
      </c>
      <c r="L167" s="58">
        <v>30</v>
      </c>
    </row>
    <row r="168" spans="1:12" s="9" customFormat="1" ht="15">
      <c r="A168" s="105">
        <v>163</v>
      </c>
      <c r="B168" s="106" t="s">
        <v>1897</v>
      </c>
      <c r="C168" s="106"/>
      <c r="D168" s="8" t="s">
        <v>2148</v>
      </c>
      <c r="E168" s="189" t="s">
        <v>2658</v>
      </c>
      <c r="F168" s="106"/>
      <c r="G168" s="106" t="s">
        <v>1909</v>
      </c>
      <c r="H168" s="107">
        <v>4200</v>
      </c>
      <c r="I168" s="8" t="s">
        <v>310</v>
      </c>
      <c r="J168" s="108" t="s">
        <v>1110</v>
      </c>
      <c r="K168" s="57">
        <v>30</v>
      </c>
      <c r="L168" s="58">
        <v>30</v>
      </c>
    </row>
    <row r="169" spans="1:12" s="9" customFormat="1" ht="15">
      <c r="A169" s="105">
        <v>164</v>
      </c>
      <c r="B169" s="106" t="s">
        <v>1897</v>
      </c>
      <c r="C169" s="106"/>
      <c r="D169" s="8" t="s">
        <v>2149</v>
      </c>
      <c r="E169" s="189" t="s">
        <v>2658</v>
      </c>
      <c r="F169" s="106"/>
      <c r="G169" s="106" t="s">
        <v>1910</v>
      </c>
      <c r="H169" s="107">
        <v>4200</v>
      </c>
      <c r="I169" s="8" t="s">
        <v>310</v>
      </c>
      <c r="J169" s="108" t="s">
        <v>1110</v>
      </c>
      <c r="K169" s="57">
        <v>30</v>
      </c>
      <c r="L169" s="58">
        <v>30</v>
      </c>
    </row>
    <row r="170" spans="1:12" s="9" customFormat="1" ht="15">
      <c r="A170" s="105">
        <v>165</v>
      </c>
      <c r="B170" s="106" t="s">
        <v>1897</v>
      </c>
      <c r="C170" s="106"/>
      <c r="D170" s="8" t="s">
        <v>2150</v>
      </c>
      <c r="E170" s="189" t="s">
        <v>2658</v>
      </c>
      <c r="F170" s="106"/>
      <c r="G170" s="106" t="s">
        <v>1911</v>
      </c>
      <c r="H170" s="107">
        <v>4200</v>
      </c>
      <c r="I170" s="8" t="s">
        <v>310</v>
      </c>
      <c r="J170" s="108" t="s">
        <v>1110</v>
      </c>
      <c r="K170" s="57">
        <v>30</v>
      </c>
      <c r="L170" s="58">
        <v>30</v>
      </c>
    </row>
    <row r="171" spans="1:12" s="9" customFormat="1" ht="15">
      <c r="A171" s="105">
        <v>166</v>
      </c>
      <c r="B171" s="106" t="s">
        <v>1896</v>
      </c>
      <c r="C171" s="106"/>
      <c r="D171" s="8" t="s">
        <v>2151</v>
      </c>
      <c r="E171" s="189" t="s">
        <v>2658</v>
      </c>
      <c r="F171" s="107"/>
      <c r="G171" s="107" t="s">
        <v>1784</v>
      </c>
      <c r="H171" s="107">
        <v>4200</v>
      </c>
      <c r="I171" s="8" t="s">
        <v>310</v>
      </c>
      <c r="J171" s="108" t="s">
        <v>1110</v>
      </c>
      <c r="K171" s="57">
        <v>30</v>
      </c>
      <c r="L171" s="58">
        <v>30</v>
      </c>
    </row>
    <row r="172" spans="1:12" s="9" customFormat="1" ht="15">
      <c r="A172" s="105">
        <v>167</v>
      </c>
      <c r="B172" s="106" t="s">
        <v>1896</v>
      </c>
      <c r="C172" s="106"/>
      <c r="D172" s="8" t="s">
        <v>2152</v>
      </c>
      <c r="E172" s="189" t="s">
        <v>2658</v>
      </c>
      <c r="F172" s="107"/>
      <c r="G172" s="107" t="s">
        <v>1785</v>
      </c>
      <c r="H172" s="107">
        <v>4200</v>
      </c>
      <c r="I172" s="8" t="s">
        <v>310</v>
      </c>
      <c r="J172" s="108" t="s">
        <v>1110</v>
      </c>
      <c r="K172" s="57">
        <v>30</v>
      </c>
      <c r="L172" s="58">
        <v>30</v>
      </c>
    </row>
    <row r="173" spans="1:12" s="9" customFormat="1" ht="15">
      <c r="A173" s="105">
        <v>168</v>
      </c>
      <c r="B173" s="106" t="s">
        <v>1896</v>
      </c>
      <c r="C173" s="106"/>
      <c r="D173" s="8" t="s">
        <v>2324</v>
      </c>
      <c r="E173" s="189" t="s">
        <v>1262</v>
      </c>
      <c r="F173" s="107"/>
      <c r="G173" s="107" t="s">
        <v>1263</v>
      </c>
      <c r="H173" s="107">
        <v>4200</v>
      </c>
      <c r="I173" s="8" t="s">
        <v>310</v>
      </c>
      <c r="J173" s="8" t="s">
        <v>1976</v>
      </c>
      <c r="K173" s="57">
        <v>30</v>
      </c>
      <c r="L173" s="58">
        <v>30</v>
      </c>
    </row>
    <row r="174" spans="1:12" s="9" customFormat="1" ht="15">
      <c r="A174" s="105">
        <v>169</v>
      </c>
      <c r="B174" s="106" t="s">
        <v>1896</v>
      </c>
      <c r="C174" s="106"/>
      <c r="D174" s="8" t="s">
        <v>2325</v>
      </c>
      <c r="E174" s="189" t="s">
        <v>1262</v>
      </c>
      <c r="F174" s="107"/>
      <c r="G174" s="107" t="s">
        <v>1264</v>
      </c>
      <c r="H174" s="107">
        <v>4200</v>
      </c>
      <c r="I174" s="8" t="s">
        <v>310</v>
      </c>
      <c r="J174" s="8" t="s">
        <v>1976</v>
      </c>
      <c r="K174" s="57">
        <v>30</v>
      </c>
      <c r="L174" s="58">
        <v>30</v>
      </c>
    </row>
    <row r="175" spans="1:12" s="9" customFormat="1" ht="15">
      <c r="A175" s="105">
        <v>170</v>
      </c>
      <c r="B175" s="106" t="s">
        <v>1897</v>
      </c>
      <c r="C175" s="106"/>
      <c r="D175" s="8" t="s">
        <v>2326</v>
      </c>
      <c r="E175" s="189" t="s">
        <v>1262</v>
      </c>
      <c r="F175" s="107"/>
      <c r="G175" s="107" t="s">
        <v>869</v>
      </c>
      <c r="H175" s="107">
        <v>4200</v>
      </c>
      <c r="I175" s="8" t="s">
        <v>310</v>
      </c>
      <c r="J175" s="8" t="s">
        <v>1976</v>
      </c>
      <c r="K175" s="57">
        <v>30</v>
      </c>
      <c r="L175" s="58">
        <v>30</v>
      </c>
    </row>
    <row r="176" spans="1:12" s="9" customFormat="1" ht="15">
      <c r="A176" s="105">
        <v>171</v>
      </c>
      <c r="B176" s="106" t="s">
        <v>1897</v>
      </c>
      <c r="C176" s="106"/>
      <c r="D176" s="8" t="s">
        <v>2327</v>
      </c>
      <c r="E176" s="189" t="s">
        <v>1262</v>
      </c>
      <c r="F176" s="107"/>
      <c r="G176" s="107" t="s">
        <v>870</v>
      </c>
      <c r="H176" s="107">
        <v>4200</v>
      </c>
      <c r="I176" s="8" t="s">
        <v>310</v>
      </c>
      <c r="J176" s="8" t="s">
        <v>1976</v>
      </c>
      <c r="K176" s="57">
        <v>30</v>
      </c>
      <c r="L176" s="58">
        <v>30</v>
      </c>
    </row>
    <row r="177" spans="1:12" s="9" customFormat="1" ht="15">
      <c r="A177" s="105">
        <v>172</v>
      </c>
      <c r="B177" s="106" t="s">
        <v>1897</v>
      </c>
      <c r="C177" s="106"/>
      <c r="D177" s="8" t="s">
        <v>2328</v>
      </c>
      <c r="E177" s="189" t="s">
        <v>872</v>
      </c>
      <c r="F177" s="107"/>
      <c r="G177" s="107" t="s">
        <v>871</v>
      </c>
      <c r="H177" s="107">
        <v>4200</v>
      </c>
      <c r="I177" s="8" t="s">
        <v>310</v>
      </c>
      <c r="J177" s="8" t="s">
        <v>877</v>
      </c>
      <c r="K177" s="57">
        <v>30</v>
      </c>
      <c r="L177" s="58">
        <v>30</v>
      </c>
    </row>
    <row r="178" spans="1:12" s="9" customFormat="1" ht="15">
      <c r="A178" s="105">
        <v>173</v>
      </c>
      <c r="B178" s="106" t="s">
        <v>1897</v>
      </c>
      <c r="C178" s="106"/>
      <c r="D178" s="8" t="s">
        <v>2329</v>
      </c>
      <c r="E178" s="189" t="s">
        <v>873</v>
      </c>
      <c r="F178" s="107"/>
      <c r="G178" s="107" t="s">
        <v>876</v>
      </c>
      <c r="H178" s="107">
        <v>4200</v>
      </c>
      <c r="I178" s="8" t="s">
        <v>310</v>
      </c>
      <c r="J178" s="8" t="s">
        <v>877</v>
      </c>
      <c r="K178" s="57">
        <v>30</v>
      </c>
      <c r="L178" s="58">
        <v>30</v>
      </c>
    </row>
    <row r="179" spans="1:12" s="9" customFormat="1" ht="15">
      <c r="A179" s="105">
        <v>174</v>
      </c>
      <c r="B179" s="106" t="s">
        <v>1897</v>
      </c>
      <c r="C179" s="106"/>
      <c r="D179" s="8" t="s">
        <v>2330</v>
      </c>
      <c r="E179" s="189" t="s">
        <v>874</v>
      </c>
      <c r="F179" s="107"/>
      <c r="G179" s="107" t="s">
        <v>875</v>
      </c>
      <c r="H179" s="107">
        <v>4200</v>
      </c>
      <c r="I179" s="8" t="s">
        <v>310</v>
      </c>
      <c r="J179" s="8" t="s">
        <v>877</v>
      </c>
      <c r="K179" s="57">
        <v>30</v>
      </c>
      <c r="L179" s="58">
        <v>30</v>
      </c>
    </row>
    <row r="180" spans="1:12" s="9" customFormat="1" ht="15">
      <c r="A180" s="105">
        <v>175</v>
      </c>
      <c r="B180" s="106" t="s">
        <v>1896</v>
      </c>
      <c r="C180" s="106"/>
      <c r="D180" s="8" t="s">
        <v>2331</v>
      </c>
      <c r="E180" s="189" t="s">
        <v>1266</v>
      </c>
      <c r="F180" s="107"/>
      <c r="G180" s="107" t="s">
        <v>1265</v>
      </c>
      <c r="H180" s="107">
        <v>4200</v>
      </c>
      <c r="I180" s="8" t="s">
        <v>310</v>
      </c>
      <c r="J180" s="8" t="s">
        <v>394</v>
      </c>
      <c r="K180" s="57">
        <v>30</v>
      </c>
      <c r="L180" s="58">
        <v>30</v>
      </c>
    </row>
    <row r="181" spans="1:12" s="9" customFormat="1" ht="15">
      <c r="A181" s="105">
        <v>176</v>
      </c>
      <c r="B181" s="106" t="s">
        <v>1896</v>
      </c>
      <c r="C181" s="106"/>
      <c r="D181" s="8" t="s">
        <v>2332</v>
      </c>
      <c r="E181" s="189" t="s">
        <v>1274</v>
      </c>
      <c r="F181" s="107"/>
      <c r="G181" s="107" t="s">
        <v>1267</v>
      </c>
      <c r="H181" s="107">
        <v>4200</v>
      </c>
      <c r="I181" s="8" t="s">
        <v>310</v>
      </c>
      <c r="J181" s="8" t="s">
        <v>394</v>
      </c>
      <c r="K181" s="57">
        <v>30</v>
      </c>
      <c r="L181" s="58">
        <v>30</v>
      </c>
    </row>
    <row r="182" spans="1:12" s="9" customFormat="1" ht="15">
      <c r="A182" s="105">
        <v>177</v>
      </c>
      <c r="B182" s="106" t="s">
        <v>1896</v>
      </c>
      <c r="C182" s="106"/>
      <c r="D182" s="8" t="s">
        <v>2333</v>
      </c>
      <c r="E182" s="189" t="s">
        <v>1274</v>
      </c>
      <c r="F182" s="107"/>
      <c r="G182" s="107" t="s">
        <v>1275</v>
      </c>
      <c r="H182" s="107">
        <v>4200</v>
      </c>
      <c r="I182" s="8" t="s">
        <v>310</v>
      </c>
      <c r="J182" s="8" t="s">
        <v>327</v>
      </c>
      <c r="K182" s="57">
        <v>30</v>
      </c>
      <c r="L182" s="58">
        <v>30</v>
      </c>
    </row>
    <row r="183" spans="1:12" s="9" customFormat="1" ht="15">
      <c r="A183" s="105">
        <v>178</v>
      </c>
      <c r="B183" s="106" t="s">
        <v>1896</v>
      </c>
      <c r="C183" s="106"/>
      <c r="D183" s="8" t="s">
        <v>2334</v>
      </c>
      <c r="E183" s="189" t="s">
        <v>1944</v>
      </c>
      <c r="F183" s="107"/>
      <c r="G183" s="107" t="s">
        <v>1943</v>
      </c>
      <c r="H183" s="107">
        <v>4200</v>
      </c>
      <c r="I183" s="8" t="s">
        <v>310</v>
      </c>
      <c r="J183" s="8" t="s">
        <v>394</v>
      </c>
      <c r="K183" s="57">
        <v>30</v>
      </c>
      <c r="L183" s="58">
        <v>30</v>
      </c>
    </row>
    <row r="184" spans="1:12" s="9" customFormat="1" ht="15">
      <c r="A184" s="105">
        <v>179</v>
      </c>
      <c r="B184" s="106" t="s">
        <v>1896</v>
      </c>
      <c r="C184" s="106"/>
      <c r="D184" s="8" t="s">
        <v>2335</v>
      </c>
      <c r="E184" s="189" t="s">
        <v>1281</v>
      </c>
      <c r="F184" s="107"/>
      <c r="G184" s="107" t="s">
        <v>1276</v>
      </c>
      <c r="H184" s="107">
        <v>4200</v>
      </c>
      <c r="I184" s="8" t="s">
        <v>310</v>
      </c>
      <c r="J184" s="8" t="s">
        <v>327</v>
      </c>
      <c r="K184" s="57">
        <v>30</v>
      </c>
      <c r="L184" s="58">
        <v>30</v>
      </c>
    </row>
    <row r="185" spans="1:12" s="9" customFormat="1" ht="15">
      <c r="A185" s="105">
        <v>180</v>
      </c>
      <c r="B185" s="106" t="s">
        <v>1896</v>
      </c>
      <c r="C185" s="106"/>
      <c r="D185" s="8" t="s">
        <v>2336</v>
      </c>
      <c r="E185" s="189" t="s">
        <v>1281</v>
      </c>
      <c r="F185" s="107"/>
      <c r="G185" s="107" t="s">
        <v>1282</v>
      </c>
      <c r="H185" s="107">
        <v>4200</v>
      </c>
      <c r="I185" s="8" t="s">
        <v>310</v>
      </c>
      <c r="J185" s="8" t="s">
        <v>327</v>
      </c>
      <c r="K185" s="57">
        <v>30</v>
      </c>
      <c r="L185" s="58">
        <v>30</v>
      </c>
    </row>
    <row r="186" spans="1:12" s="9" customFormat="1" ht="15">
      <c r="A186" s="105">
        <v>181</v>
      </c>
      <c r="B186" s="106" t="s">
        <v>1896</v>
      </c>
      <c r="C186" s="106"/>
      <c r="D186" s="8" t="s">
        <v>2337</v>
      </c>
      <c r="E186" s="189" t="s">
        <v>1281</v>
      </c>
      <c r="F186" s="107"/>
      <c r="G186" s="107" t="s">
        <v>1284</v>
      </c>
      <c r="H186" s="107">
        <v>4200</v>
      </c>
      <c r="I186" s="8" t="s">
        <v>310</v>
      </c>
      <c r="J186" s="8" t="s">
        <v>394</v>
      </c>
      <c r="K186" s="57">
        <v>30</v>
      </c>
      <c r="L186" s="58">
        <v>30</v>
      </c>
    </row>
    <row r="187" spans="1:12" s="9" customFormat="1" ht="15">
      <c r="A187" s="105">
        <v>182</v>
      </c>
      <c r="B187" s="106" t="s">
        <v>1896</v>
      </c>
      <c r="C187" s="106"/>
      <c r="D187" s="8" t="s">
        <v>2338</v>
      </c>
      <c r="E187" s="189" t="s">
        <v>1283</v>
      </c>
      <c r="F187" s="107"/>
      <c r="G187" s="107" t="s">
        <v>1285</v>
      </c>
      <c r="H187" s="107">
        <v>4200</v>
      </c>
      <c r="I187" s="8" t="s">
        <v>310</v>
      </c>
      <c r="J187" s="8" t="s">
        <v>327</v>
      </c>
      <c r="K187" s="57">
        <v>30</v>
      </c>
      <c r="L187" s="58">
        <v>30</v>
      </c>
    </row>
    <row r="188" spans="1:12" s="9" customFormat="1" ht="15">
      <c r="A188" s="105">
        <v>183</v>
      </c>
      <c r="B188" s="106" t="s">
        <v>1896</v>
      </c>
      <c r="C188" s="106"/>
      <c r="D188" s="8" t="s">
        <v>2339</v>
      </c>
      <c r="E188" s="189" t="s">
        <v>1283</v>
      </c>
      <c r="F188" s="107"/>
      <c r="G188" s="107" t="s">
        <v>1286</v>
      </c>
      <c r="H188" s="107">
        <v>4200</v>
      </c>
      <c r="I188" s="8" t="s">
        <v>310</v>
      </c>
      <c r="J188" s="8" t="s">
        <v>327</v>
      </c>
      <c r="K188" s="57">
        <v>30</v>
      </c>
      <c r="L188" s="58">
        <v>30</v>
      </c>
    </row>
    <row r="189" spans="1:12" s="9" customFormat="1" ht="15">
      <c r="A189" s="105">
        <v>184</v>
      </c>
      <c r="B189" s="106" t="s">
        <v>1896</v>
      </c>
      <c r="C189" s="106"/>
      <c r="D189" s="8">
        <v>4214904010</v>
      </c>
      <c r="E189" s="189" t="s">
        <v>1289</v>
      </c>
      <c r="F189" s="107"/>
      <c r="G189" s="107" t="s">
        <v>1287</v>
      </c>
      <c r="H189" s="107">
        <v>4200</v>
      </c>
      <c r="I189" s="8" t="s">
        <v>310</v>
      </c>
      <c r="J189" s="8" t="s">
        <v>1977</v>
      </c>
      <c r="K189" s="57">
        <v>30</v>
      </c>
      <c r="L189" s="58">
        <v>30</v>
      </c>
    </row>
    <row r="190" spans="1:12" s="9" customFormat="1" ht="15">
      <c r="A190" s="105">
        <v>185</v>
      </c>
      <c r="B190" s="106" t="s">
        <v>1896</v>
      </c>
      <c r="C190" s="106"/>
      <c r="D190" s="8" t="s">
        <v>2340</v>
      </c>
      <c r="E190" s="189" t="s">
        <v>1291</v>
      </c>
      <c r="F190" s="107"/>
      <c r="G190" s="107" t="s">
        <v>1290</v>
      </c>
      <c r="H190" s="107">
        <v>4200</v>
      </c>
      <c r="I190" s="8" t="s">
        <v>310</v>
      </c>
      <c r="J190" s="8" t="s">
        <v>327</v>
      </c>
      <c r="K190" s="57">
        <v>30</v>
      </c>
      <c r="L190" s="58">
        <v>30</v>
      </c>
    </row>
    <row r="191" spans="1:12" s="9" customFormat="1" ht="15">
      <c r="A191" s="105">
        <v>186</v>
      </c>
      <c r="B191" s="106" t="s">
        <v>1896</v>
      </c>
      <c r="C191" s="106"/>
      <c r="D191" s="8" t="s">
        <v>2341</v>
      </c>
      <c r="E191" s="189" t="s">
        <v>1293</v>
      </c>
      <c r="F191" s="107"/>
      <c r="G191" s="107" t="s">
        <v>1292</v>
      </c>
      <c r="H191" s="107">
        <v>4200</v>
      </c>
      <c r="I191" s="8" t="s">
        <v>310</v>
      </c>
      <c r="J191" s="8" t="s">
        <v>327</v>
      </c>
      <c r="K191" s="57">
        <v>30</v>
      </c>
      <c r="L191" s="58">
        <v>30</v>
      </c>
    </row>
    <row r="192" spans="1:12" s="9" customFormat="1" ht="15">
      <c r="A192" s="105">
        <v>187</v>
      </c>
      <c r="B192" s="106" t="s">
        <v>1896</v>
      </c>
      <c r="C192" s="106"/>
      <c r="D192" s="8" t="s">
        <v>2342</v>
      </c>
      <c r="E192" s="189" t="s">
        <v>1295</v>
      </c>
      <c r="F192" s="107"/>
      <c r="G192" s="107" t="s">
        <v>1294</v>
      </c>
      <c r="H192" s="107">
        <v>4200</v>
      </c>
      <c r="I192" s="8" t="s">
        <v>310</v>
      </c>
      <c r="J192" s="8" t="s">
        <v>327</v>
      </c>
      <c r="K192" s="57">
        <v>30</v>
      </c>
      <c r="L192" s="58">
        <v>30</v>
      </c>
    </row>
    <row r="193" spans="1:12" s="9" customFormat="1" ht="15">
      <c r="A193" s="105">
        <v>188</v>
      </c>
      <c r="B193" s="106" t="s">
        <v>1896</v>
      </c>
      <c r="C193" s="106"/>
      <c r="D193" s="8" t="s">
        <v>2343</v>
      </c>
      <c r="E193" s="189" t="s">
        <v>1296</v>
      </c>
      <c r="F193" s="107"/>
      <c r="G193" s="107" t="s">
        <v>1297</v>
      </c>
      <c r="H193" s="107">
        <v>4200</v>
      </c>
      <c r="I193" s="8" t="s">
        <v>310</v>
      </c>
      <c r="J193" s="8" t="s">
        <v>327</v>
      </c>
      <c r="K193" s="57">
        <v>30</v>
      </c>
      <c r="L193" s="58">
        <v>30</v>
      </c>
    </row>
    <row r="194" spans="1:12" s="9" customFormat="1" ht="15">
      <c r="A194" s="105">
        <v>189</v>
      </c>
      <c r="B194" s="106" t="s">
        <v>1896</v>
      </c>
      <c r="C194" s="106"/>
      <c r="D194" s="8" t="s">
        <v>2153</v>
      </c>
      <c r="E194" s="189" t="s">
        <v>2813</v>
      </c>
      <c r="F194" s="106"/>
      <c r="G194" s="106" t="s">
        <v>1868</v>
      </c>
      <c r="H194" s="107">
        <v>4200</v>
      </c>
      <c r="I194" s="8" t="s">
        <v>310</v>
      </c>
      <c r="J194" s="108" t="s">
        <v>636</v>
      </c>
      <c r="K194" s="57">
        <v>30</v>
      </c>
      <c r="L194" s="58">
        <v>30</v>
      </c>
    </row>
    <row r="195" spans="1:12" s="9" customFormat="1" ht="15">
      <c r="A195" s="105">
        <v>190</v>
      </c>
      <c r="B195" s="106" t="s">
        <v>1897</v>
      </c>
      <c r="C195" s="106"/>
      <c r="D195" s="8" t="str">
        <f>"4218160020"</f>
        <v>4218160020</v>
      </c>
      <c r="E195" s="189" t="s">
        <v>2813</v>
      </c>
      <c r="F195" s="106"/>
      <c r="G195" s="106" t="s">
        <v>1271</v>
      </c>
      <c r="H195" s="107">
        <v>4200</v>
      </c>
      <c r="I195" s="8" t="s">
        <v>310</v>
      </c>
      <c r="J195" s="108" t="s">
        <v>636</v>
      </c>
      <c r="K195" s="57">
        <v>30</v>
      </c>
      <c r="L195" s="58">
        <v>30</v>
      </c>
    </row>
    <row r="196" spans="1:12" s="9" customFormat="1" ht="15">
      <c r="A196" s="105">
        <v>191</v>
      </c>
      <c r="B196" s="106" t="s">
        <v>1440</v>
      </c>
      <c r="C196" s="106"/>
      <c r="D196" s="8" t="s">
        <v>2601</v>
      </c>
      <c r="E196" s="189" t="s">
        <v>2813</v>
      </c>
      <c r="F196" s="106"/>
      <c r="G196" s="106" t="s">
        <v>1441</v>
      </c>
      <c r="H196" s="107">
        <v>4200</v>
      </c>
      <c r="I196" s="8" t="s">
        <v>310</v>
      </c>
      <c r="J196" s="108" t="s">
        <v>636</v>
      </c>
      <c r="K196" s="57">
        <v>30</v>
      </c>
      <c r="L196" s="58">
        <v>30</v>
      </c>
    </row>
    <row r="197" spans="1:12" s="9" customFormat="1" ht="15">
      <c r="A197" s="105">
        <v>192</v>
      </c>
      <c r="B197" s="106" t="s">
        <v>1896</v>
      </c>
      <c r="C197" s="106"/>
      <c r="D197" s="8" t="s">
        <v>2344</v>
      </c>
      <c r="E197" s="189" t="s">
        <v>1299</v>
      </c>
      <c r="F197" s="107"/>
      <c r="G197" s="107" t="s">
        <v>1298</v>
      </c>
      <c r="H197" s="107">
        <v>4200</v>
      </c>
      <c r="I197" s="8" t="s">
        <v>310</v>
      </c>
      <c r="J197" s="8" t="s">
        <v>327</v>
      </c>
      <c r="K197" s="57">
        <v>30</v>
      </c>
      <c r="L197" s="58">
        <v>30</v>
      </c>
    </row>
    <row r="198" spans="1:12" s="9" customFormat="1" ht="15">
      <c r="A198" s="105">
        <v>193</v>
      </c>
      <c r="B198" s="106" t="s">
        <v>1896</v>
      </c>
      <c r="C198" s="106"/>
      <c r="D198" s="8" t="s">
        <v>2154</v>
      </c>
      <c r="E198" s="189" t="s">
        <v>638</v>
      </c>
      <c r="F198" s="106"/>
      <c r="G198" s="106" t="s">
        <v>637</v>
      </c>
      <c r="H198" s="107">
        <v>4200</v>
      </c>
      <c r="I198" s="8" t="s">
        <v>310</v>
      </c>
      <c r="J198" s="110" t="s">
        <v>5287</v>
      </c>
      <c r="K198" s="57">
        <v>30</v>
      </c>
      <c r="L198" s="58">
        <v>30</v>
      </c>
    </row>
    <row r="199" spans="1:12" s="9" customFormat="1" ht="15">
      <c r="A199" s="105">
        <v>194</v>
      </c>
      <c r="B199" s="106" t="s">
        <v>1896</v>
      </c>
      <c r="C199" s="106"/>
      <c r="D199" s="8" t="s">
        <v>2155</v>
      </c>
      <c r="E199" s="189" t="s">
        <v>638</v>
      </c>
      <c r="F199" s="106"/>
      <c r="G199" s="106" t="s">
        <v>639</v>
      </c>
      <c r="H199" s="107">
        <v>4200</v>
      </c>
      <c r="I199" s="8" t="s">
        <v>310</v>
      </c>
      <c r="J199" s="110" t="s">
        <v>5287</v>
      </c>
      <c r="K199" s="57">
        <v>30</v>
      </c>
      <c r="L199" s="58">
        <v>30</v>
      </c>
    </row>
    <row r="200" spans="1:12" s="9" customFormat="1" ht="15">
      <c r="A200" s="105">
        <v>195</v>
      </c>
      <c r="B200" s="106" t="s">
        <v>1896</v>
      </c>
      <c r="C200" s="106"/>
      <c r="D200" s="8" t="s">
        <v>2156</v>
      </c>
      <c r="E200" s="189" t="s">
        <v>638</v>
      </c>
      <c r="F200" s="106"/>
      <c r="G200" s="106" t="s">
        <v>640</v>
      </c>
      <c r="H200" s="107">
        <v>4200</v>
      </c>
      <c r="I200" s="8" t="s">
        <v>310</v>
      </c>
      <c r="J200" s="110" t="s">
        <v>5287</v>
      </c>
      <c r="K200" s="57">
        <v>30</v>
      </c>
      <c r="L200" s="58">
        <v>30</v>
      </c>
    </row>
    <row r="201" spans="1:12" s="9" customFormat="1" ht="15">
      <c r="A201" s="105">
        <v>196</v>
      </c>
      <c r="B201" s="106" t="s">
        <v>1896</v>
      </c>
      <c r="C201" s="106"/>
      <c r="D201" s="8" t="s">
        <v>2157</v>
      </c>
      <c r="E201" s="189" t="s">
        <v>638</v>
      </c>
      <c r="F201" s="106"/>
      <c r="G201" s="106" t="s">
        <v>641</v>
      </c>
      <c r="H201" s="107">
        <v>4200</v>
      </c>
      <c r="I201" s="8" t="s">
        <v>310</v>
      </c>
      <c r="J201" s="110" t="s">
        <v>5287</v>
      </c>
      <c r="K201" s="57">
        <v>30</v>
      </c>
      <c r="L201" s="58">
        <v>30</v>
      </c>
    </row>
    <row r="202" spans="1:12" s="9" customFormat="1" ht="15">
      <c r="A202" s="105">
        <v>197</v>
      </c>
      <c r="B202" s="106" t="s">
        <v>1896</v>
      </c>
      <c r="C202" s="106"/>
      <c r="D202" s="8" t="s">
        <v>2158</v>
      </c>
      <c r="E202" s="190" t="s">
        <v>2827</v>
      </c>
      <c r="F202" s="106"/>
      <c r="G202" s="106" t="s">
        <v>642</v>
      </c>
      <c r="H202" s="107">
        <v>4200</v>
      </c>
      <c r="I202" s="8" t="s">
        <v>310</v>
      </c>
      <c r="J202" s="110" t="s">
        <v>5287</v>
      </c>
      <c r="K202" s="57">
        <v>30</v>
      </c>
      <c r="L202" s="58">
        <v>30</v>
      </c>
    </row>
    <row r="203" spans="1:12" s="9" customFormat="1" ht="15">
      <c r="A203" s="105">
        <v>198</v>
      </c>
      <c r="B203" s="106" t="s">
        <v>1896</v>
      </c>
      <c r="C203" s="106"/>
      <c r="D203" s="8" t="s">
        <v>2159</v>
      </c>
      <c r="E203" s="190" t="s">
        <v>2827</v>
      </c>
      <c r="F203" s="106"/>
      <c r="G203" s="106" t="s">
        <v>643</v>
      </c>
      <c r="H203" s="107">
        <v>4200</v>
      </c>
      <c r="I203" s="8" t="s">
        <v>310</v>
      </c>
      <c r="J203" s="110" t="s">
        <v>5287</v>
      </c>
      <c r="K203" s="57">
        <v>30</v>
      </c>
      <c r="L203" s="58">
        <v>30</v>
      </c>
    </row>
    <row r="204" spans="1:12" s="9" customFormat="1" ht="15">
      <c r="A204" s="105">
        <v>199</v>
      </c>
      <c r="B204" s="106" t="s">
        <v>1896</v>
      </c>
      <c r="C204" s="106"/>
      <c r="D204" s="8" t="s">
        <v>2160</v>
      </c>
      <c r="E204" s="190" t="s">
        <v>2827</v>
      </c>
      <c r="F204" s="106"/>
      <c r="G204" s="106" t="s">
        <v>644</v>
      </c>
      <c r="H204" s="107">
        <v>4200</v>
      </c>
      <c r="I204" s="8" t="s">
        <v>310</v>
      </c>
      <c r="J204" s="110" t="s">
        <v>5287</v>
      </c>
      <c r="K204" s="57">
        <v>30</v>
      </c>
      <c r="L204" s="58">
        <v>30</v>
      </c>
    </row>
    <row r="205" spans="1:12" s="9" customFormat="1" ht="15">
      <c r="A205" s="105">
        <v>200</v>
      </c>
      <c r="B205" s="106" t="s">
        <v>1896</v>
      </c>
      <c r="C205" s="106"/>
      <c r="D205" s="8" t="s">
        <v>2161</v>
      </c>
      <c r="E205" s="190" t="s">
        <v>2827</v>
      </c>
      <c r="F205" s="106"/>
      <c r="G205" s="106" t="s">
        <v>645</v>
      </c>
      <c r="H205" s="107">
        <v>4200</v>
      </c>
      <c r="I205" s="8" t="s">
        <v>310</v>
      </c>
      <c r="J205" s="110" t="s">
        <v>5287</v>
      </c>
      <c r="K205" s="57">
        <v>30</v>
      </c>
      <c r="L205" s="58">
        <v>30</v>
      </c>
    </row>
    <row r="206" spans="1:12" s="9" customFormat="1" ht="15">
      <c r="A206" s="105">
        <v>201</v>
      </c>
      <c r="B206" s="106" t="s">
        <v>1897</v>
      </c>
      <c r="C206" s="106"/>
      <c r="D206" s="8" t="s">
        <v>2162</v>
      </c>
      <c r="E206" s="190" t="s">
        <v>2827</v>
      </c>
      <c r="F206" s="106"/>
      <c r="G206" s="106" t="s">
        <v>1918</v>
      </c>
      <c r="H206" s="107">
        <v>4200</v>
      </c>
      <c r="I206" s="8" t="s">
        <v>310</v>
      </c>
      <c r="J206" s="110" t="s">
        <v>5287</v>
      </c>
      <c r="K206" s="57">
        <v>30</v>
      </c>
      <c r="L206" s="58">
        <v>30</v>
      </c>
    </row>
    <row r="207" spans="1:12" s="40" customFormat="1" ht="15">
      <c r="A207" s="105">
        <v>202</v>
      </c>
      <c r="B207" s="106" t="s">
        <v>1897</v>
      </c>
      <c r="C207" s="106"/>
      <c r="D207" s="8" t="s">
        <v>2163</v>
      </c>
      <c r="E207" s="190" t="s">
        <v>2827</v>
      </c>
      <c r="F207" s="106"/>
      <c r="G207" s="106" t="s">
        <v>1919</v>
      </c>
      <c r="H207" s="107">
        <v>4200</v>
      </c>
      <c r="I207" s="8" t="s">
        <v>310</v>
      </c>
      <c r="J207" s="110" t="s">
        <v>5287</v>
      </c>
      <c r="K207" s="57">
        <v>30</v>
      </c>
      <c r="L207" s="58">
        <v>30</v>
      </c>
    </row>
    <row r="208" spans="1:12" s="40" customFormat="1" ht="15">
      <c r="A208" s="105">
        <v>203</v>
      </c>
      <c r="B208" s="106" t="s">
        <v>1897</v>
      </c>
      <c r="C208" s="106"/>
      <c r="D208" s="8" t="s">
        <v>2164</v>
      </c>
      <c r="E208" s="190" t="s">
        <v>2827</v>
      </c>
      <c r="F208" s="106"/>
      <c r="G208" s="106" t="s">
        <v>1920</v>
      </c>
      <c r="H208" s="107">
        <v>4200</v>
      </c>
      <c r="I208" s="8" t="s">
        <v>310</v>
      </c>
      <c r="J208" s="110" t="s">
        <v>5287</v>
      </c>
      <c r="K208" s="57">
        <v>30</v>
      </c>
      <c r="L208" s="58">
        <v>30</v>
      </c>
    </row>
    <row r="209" spans="1:12" s="40" customFormat="1" ht="15">
      <c r="A209" s="105">
        <v>204</v>
      </c>
      <c r="B209" s="106" t="s">
        <v>1897</v>
      </c>
      <c r="C209" s="106"/>
      <c r="D209" s="8" t="s">
        <v>2165</v>
      </c>
      <c r="E209" s="190" t="s">
        <v>2827</v>
      </c>
      <c r="F209" s="106"/>
      <c r="G209" s="106" t="s">
        <v>1921</v>
      </c>
      <c r="H209" s="107">
        <v>4200</v>
      </c>
      <c r="I209" s="8" t="s">
        <v>310</v>
      </c>
      <c r="J209" s="110" t="s">
        <v>5287</v>
      </c>
      <c r="K209" s="57">
        <v>30</v>
      </c>
      <c r="L209" s="58">
        <v>30</v>
      </c>
    </row>
    <row r="210" spans="1:12" s="40" customFormat="1" ht="15">
      <c r="A210" s="105">
        <v>205</v>
      </c>
      <c r="B210" s="106" t="s">
        <v>1896</v>
      </c>
      <c r="C210" s="106"/>
      <c r="D210" s="8" t="s">
        <v>2166</v>
      </c>
      <c r="E210" s="189" t="s">
        <v>646</v>
      </c>
      <c r="F210" s="106"/>
      <c r="G210" s="107" t="s">
        <v>1712</v>
      </c>
      <c r="H210" s="107">
        <v>4200</v>
      </c>
      <c r="I210" s="8" t="s">
        <v>310</v>
      </c>
      <c r="J210" s="8" t="s">
        <v>373</v>
      </c>
      <c r="K210" s="57">
        <v>100</v>
      </c>
      <c r="L210" s="58">
        <v>100</v>
      </c>
    </row>
    <row r="211" spans="1:12" s="40" customFormat="1" ht="15">
      <c r="A211" s="105">
        <v>206</v>
      </c>
      <c r="B211" s="106" t="s">
        <v>1897</v>
      </c>
      <c r="C211" s="106"/>
      <c r="D211" s="8" t="s">
        <v>2167</v>
      </c>
      <c r="E211" s="189" t="s">
        <v>646</v>
      </c>
      <c r="F211" s="106"/>
      <c r="G211" s="107" t="s">
        <v>1924</v>
      </c>
      <c r="H211" s="107">
        <v>4200</v>
      </c>
      <c r="I211" s="8" t="s">
        <v>310</v>
      </c>
      <c r="J211" s="8" t="s">
        <v>4719</v>
      </c>
      <c r="K211" s="57">
        <v>100</v>
      </c>
      <c r="L211" s="58">
        <v>100</v>
      </c>
    </row>
    <row r="212" spans="1:12" s="40" customFormat="1" ht="15">
      <c r="A212" s="105">
        <v>207</v>
      </c>
      <c r="B212" s="106" t="s">
        <v>1897</v>
      </c>
      <c r="C212" s="106"/>
      <c r="D212" s="8" t="s">
        <v>2168</v>
      </c>
      <c r="E212" s="189" t="s">
        <v>2822</v>
      </c>
      <c r="F212" s="106"/>
      <c r="G212" s="107" t="s">
        <v>1913</v>
      </c>
      <c r="H212" s="107">
        <v>4200</v>
      </c>
      <c r="I212" s="8" t="s">
        <v>310</v>
      </c>
      <c r="J212" s="41" t="s">
        <v>2632</v>
      </c>
      <c r="K212" s="57">
        <v>30</v>
      </c>
      <c r="L212" s="58">
        <v>30</v>
      </c>
    </row>
    <row r="213" spans="1:12" s="40" customFormat="1" ht="15">
      <c r="A213" s="105">
        <v>208</v>
      </c>
      <c r="B213" s="106" t="s">
        <v>1896</v>
      </c>
      <c r="C213" s="106"/>
      <c r="D213" s="8">
        <v>42423200101</v>
      </c>
      <c r="E213" s="189" t="s">
        <v>2822</v>
      </c>
      <c r="F213" s="106"/>
      <c r="G213" s="107" t="s">
        <v>320</v>
      </c>
      <c r="H213" s="107">
        <v>4200</v>
      </c>
      <c r="I213" s="8" t="s">
        <v>310</v>
      </c>
      <c r="J213" s="41" t="s">
        <v>2632</v>
      </c>
      <c r="K213" s="57">
        <v>30</v>
      </c>
      <c r="L213" s="58">
        <v>30</v>
      </c>
    </row>
    <row r="214" spans="1:12" s="40" customFormat="1" ht="15">
      <c r="A214" s="105">
        <v>208</v>
      </c>
      <c r="B214" s="106" t="s">
        <v>1896</v>
      </c>
      <c r="C214" s="106"/>
      <c r="D214" s="8" t="str">
        <f>"4242320010"</f>
        <v>4242320010</v>
      </c>
      <c r="E214" s="189" t="s">
        <v>2822</v>
      </c>
      <c r="F214" s="106"/>
      <c r="G214" s="107" t="s">
        <v>4642</v>
      </c>
      <c r="H214" s="107">
        <v>4200</v>
      </c>
      <c r="I214" s="8" t="s">
        <v>310</v>
      </c>
      <c r="J214" s="41" t="s">
        <v>2632</v>
      </c>
      <c r="K214" s="57">
        <v>30</v>
      </c>
      <c r="L214" s="58">
        <v>30</v>
      </c>
    </row>
    <row r="215" spans="1:12" s="40" customFormat="1" ht="15">
      <c r="A215" s="105">
        <v>209</v>
      </c>
      <c r="B215" s="106" t="s">
        <v>1897</v>
      </c>
      <c r="C215" s="106"/>
      <c r="D215" s="8" t="s">
        <v>2169</v>
      </c>
      <c r="E215" s="189" t="s">
        <v>713</v>
      </c>
      <c r="F215" s="106"/>
      <c r="G215" s="106" t="s">
        <v>1922</v>
      </c>
      <c r="H215" s="107">
        <v>4200</v>
      </c>
      <c r="I215" s="8" t="s">
        <v>310</v>
      </c>
      <c r="J215" s="110" t="s">
        <v>5287</v>
      </c>
      <c r="K215" s="57">
        <v>30</v>
      </c>
      <c r="L215" s="58">
        <v>30</v>
      </c>
    </row>
    <row r="216" spans="1:12" s="40" customFormat="1" ht="15">
      <c r="A216" s="105">
        <v>210</v>
      </c>
      <c r="B216" s="106" t="s">
        <v>1897</v>
      </c>
      <c r="C216" s="106"/>
      <c r="D216" s="8" t="s">
        <v>2170</v>
      </c>
      <c r="E216" s="189" t="s">
        <v>713</v>
      </c>
      <c r="F216" s="106"/>
      <c r="G216" s="106" t="s">
        <v>1923</v>
      </c>
      <c r="H216" s="107">
        <v>4200</v>
      </c>
      <c r="I216" s="8" t="s">
        <v>310</v>
      </c>
      <c r="J216" s="110" t="s">
        <v>5287</v>
      </c>
      <c r="K216" s="57">
        <v>30</v>
      </c>
      <c r="L216" s="58">
        <v>30</v>
      </c>
    </row>
    <row r="217" spans="1:12" s="40" customFormat="1" ht="15">
      <c r="A217" s="105">
        <v>211</v>
      </c>
      <c r="B217" s="106" t="s">
        <v>1896</v>
      </c>
      <c r="C217" s="106"/>
      <c r="D217" s="8" t="s">
        <v>2602</v>
      </c>
      <c r="E217" s="189" t="s">
        <v>713</v>
      </c>
      <c r="F217" s="106"/>
      <c r="G217" s="106" t="s">
        <v>647</v>
      </c>
      <c r="H217" s="107">
        <v>4200</v>
      </c>
      <c r="I217" s="8" t="s">
        <v>310</v>
      </c>
      <c r="J217" s="110" t="s">
        <v>5287</v>
      </c>
      <c r="K217" s="57">
        <v>30</v>
      </c>
      <c r="L217" s="58">
        <v>30</v>
      </c>
    </row>
    <row r="218" spans="1:12" s="40" customFormat="1" ht="15">
      <c r="A218" s="105">
        <v>212</v>
      </c>
      <c r="B218" s="106" t="s">
        <v>1896</v>
      </c>
      <c r="C218" s="106"/>
      <c r="D218" s="8">
        <v>4244135020</v>
      </c>
      <c r="E218" s="189" t="s">
        <v>713</v>
      </c>
      <c r="F218" s="106"/>
      <c r="G218" s="106" t="s">
        <v>648</v>
      </c>
      <c r="H218" s="107">
        <v>4200</v>
      </c>
      <c r="I218" s="8" t="s">
        <v>310</v>
      </c>
      <c r="J218" s="110" t="s">
        <v>5287</v>
      </c>
      <c r="K218" s="57">
        <v>30</v>
      </c>
      <c r="L218" s="58">
        <v>30</v>
      </c>
    </row>
    <row r="219" spans="1:12" s="40" customFormat="1" ht="15">
      <c r="A219" s="105">
        <v>213</v>
      </c>
      <c r="B219" s="106" t="s">
        <v>1896</v>
      </c>
      <c r="C219" s="106"/>
      <c r="D219" s="8" t="s">
        <v>2603</v>
      </c>
      <c r="E219" s="189" t="s">
        <v>650</v>
      </c>
      <c r="F219" s="106"/>
      <c r="G219" s="106" t="s">
        <v>649</v>
      </c>
      <c r="H219" s="107">
        <v>4200</v>
      </c>
      <c r="I219" s="8" t="s">
        <v>310</v>
      </c>
      <c r="J219" s="110" t="s">
        <v>5287</v>
      </c>
      <c r="K219" s="57">
        <v>30</v>
      </c>
      <c r="L219" s="58">
        <v>30</v>
      </c>
    </row>
    <row r="220" spans="1:12" s="40" customFormat="1" ht="15">
      <c r="A220" s="105">
        <v>214</v>
      </c>
      <c r="B220" s="106" t="s">
        <v>1896</v>
      </c>
      <c r="C220" s="106"/>
      <c r="D220" s="8" t="s">
        <v>2604</v>
      </c>
      <c r="E220" s="189" t="s">
        <v>651</v>
      </c>
      <c r="F220" s="106"/>
      <c r="G220" s="106" t="s">
        <v>652</v>
      </c>
      <c r="H220" s="107">
        <v>4200</v>
      </c>
      <c r="I220" s="8" t="s">
        <v>310</v>
      </c>
      <c r="J220" s="110" t="s">
        <v>5287</v>
      </c>
      <c r="K220" s="57">
        <v>30</v>
      </c>
      <c r="L220" s="58">
        <v>30</v>
      </c>
    </row>
    <row r="221" spans="1:12" s="40" customFormat="1" ht="15">
      <c r="A221" s="105">
        <v>215</v>
      </c>
      <c r="B221" s="106" t="s">
        <v>1896</v>
      </c>
      <c r="C221" s="106"/>
      <c r="D221" s="8">
        <v>42444350701</v>
      </c>
      <c r="E221" s="189" t="s">
        <v>322</v>
      </c>
      <c r="F221" s="106"/>
      <c r="G221" s="107" t="s">
        <v>321</v>
      </c>
      <c r="H221" s="107">
        <v>4200</v>
      </c>
      <c r="I221" s="8" t="s">
        <v>310</v>
      </c>
      <c r="J221" s="8" t="s">
        <v>1690</v>
      </c>
      <c r="K221" s="57">
        <v>30</v>
      </c>
      <c r="L221" s="58">
        <v>30</v>
      </c>
    </row>
    <row r="222" spans="1:12" s="40" customFormat="1" ht="15">
      <c r="A222" s="105">
        <v>216</v>
      </c>
      <c r="B222" s="106" t="s">
        <v>1896</v>
      </c>
      <c r="C222" s="106"/>
      <c r="D222" s="8" t="s">
        <v>2171</v>
      </c>
      <c r="E222" s="186" t="s">
        <v>2956</v>
      </c>
      <c r="F222" s="106"/>
      <c r="G222" s="106" t="s">
        <v>653</v>
      </c>
      <c r="H222" s="107">
        <v>4300</v>
      </c>
      <c r="I222" s="8" t="s">
        <v>4604</v>
      </c>
      <c r="J222" s="108" t="s">
        <v>1110</v>
      </c>
      <c r="K222" s="57">
        <v>30</v>
      </c>
      <c r="L222" s="58">
        <v>30</v>
      </c>
    </row>
    <row r="223" spans="1:12" s="40" customFormat="1" ht="15">
      <c r="A223" s="105">
        <v>217</v>
      </c>
      <c r="B223" s="106" t="s">
        <v>1896</v>
      </c>
      <c r="C223" s="106"/>
      <c r="D223" s="8" t="s">
        <v>2172</v>
      </c>
      <c r="E223" s="186" t="s">
        <v>2956</v>
      </c>
      <c r="F223" s="106"/>
      <c r="G223" s="106" t="s">
        <v>654</v>
      </c>
      <c r="H223" s="107">
        <v>4300</v>
      </c>
      <c r="I223" s="8" t="s">
        <v>4604</v>
      </c>
      <c r="J223" s="108" t="s">
        <v>1110</v>
      </c>
      <c r="K223" s="57">
        <v>30</v>
      </c>
      <c r="L223" s="58">
        <v>30</v>
      </c>
    </row>
    <row r="224" spans="1:12" s="9" customFormat="1" ht="15">
      <c r="A224" s="105">
        <v>218</v>
      </c>
      <c r="B224" s="106" t="s">
        <v>1896</v>
      </c>
      <c r="C224" s="106"/>
      <c r="D224" s="8" t="s">
        <v>2173</v>
      </c>
      <c r="E224" s="186" t="s">
        <v>2958</v>
      </c>
      <c r="F224" s="106"/>
      <c r="G224" s="106" t="s">
        <v>655</v>
      </c>
      <c r="H224" s="107">
        <v>4300</v>
      </c>
      <c r="I224" s="8" t="s">
        <v>4604</v>
      </c>
      <c r="J224" s="108" t="s">
        <v>1110</v>
      </c>
      <c r="K224" s="57">
        <v>30</v>
      </c>
      <c r="L224" s="58">
        <v>30</v>
      </c>
    </row>
    <row r="225" spans="1:12" s="9" customFormat="1" ht="15">
      <c r="A225" s="105">
        <v>219</v>
      </c>
      <c r="B225" s="106" t="s">
        <v>1896</v>
      </c>
      <c r="C225" s="106"/>
      <c r="D225" s="8" t="s">
        <v>2174</v>
      </c>
      <c r="E225" s="186" t="s">
        <v>2958</v>
      </c>
      <c r="F225" s="106"/>
      <c r="G225" s="106" t="s">
        <v>656</v>
      </c>
      <c r="H225" s="107">
        <v>4300</v>
      </c>
      <c r="I225" s="8" t="s">
        <v>4604</v>
      </c>
      <c r="J225" s="108" t="s">
        <v>1110</v>
      </c>
      <c r="K225" s="57">
        <v>30</v>
      </c>
      <c r="L225" s="58">
        <v>30</v>
      </c>
    </row>
    <row r="226" spans="1:12" s="9" customFormat="1" ht="15">
      <c r="A226" s="105">
        <v>220</v>
      </c>
      <c r="B226" s="106" t="s">
        <v>1896</v>
      </c>
      <c r="C226" s="106"/>
      <c r="D226" s="185" t="s">
        <v>2175</v>
      </c>
      <c r="E226" s="191" t="s">
        <v>659</v>
      </c>
      <c r="F226" s="106"/>
      <c r="G226" s="106" t="s">
        <v>657</v>
      </c>
      <c r="H226" s="107">
        <v>4300</v>
      </c>
      <c r="I226" s="8" t="s">
        <v>4602</v>
      </c>
      <c r="J226" s="108" t="s">
        <v>1110</v>
      </c>
      <c r="K226" s="57">
        <v>30</v>
      </c>
      <c r="L226" s="58">
        <v>30</v>
      </c>
    </row>
    <row r="227" spans="1:12" s="9" customFormat="1" ht="15">
      <c r="A227" s="105">
        <v>221</v>
      </c>
      <c r="B227" s="106" t="s">
        <v>1896</v>
      </c>
      <c r="C227" s="106"/>
      <c r="D227" s="8" t="s">
        <v>2176</v>
      </c>
      <c r="E227" s="189" t="s">
        <v>2529</v>
      </c>
      <c r="F227" s="106"/>
      <c r="G227" s="106" t="s">
        <v>660</v>
      </c>
      <c r="H227" s="107">
        <v>4300</v>
      </c>
      <c r="I227" s="8" t="s">
        <v>4602</v>
      </c>
      <c r="J227" s="108" t="s">
        <v>1110</v>
      </c>
      <c r="K227" s="57">
        <v>30</v>
      </c>
      <c r="L227" s="58">
        <v>30</v>
      </c>
    </row>
    <row r="228" spans="1:12" s="9" customFormat="1" ht="15">
      <c r="A228" s="105">
        <v>222</v>
      </c>
      <c r="B228" s="106" t="s">
        <v>1896</v>
      </c>
      <c r="C228" s="106"/>
      <c r="D228" s="8" t="s">
        <v>2177</v>
      </c>
      <c r="E228" s="189" t="s">
        <v>659</v>
      </c>
      <c r="F228" s="106"/>
      <c r="G228" s="106" t="s">
        <v>661</v>
      </c>
      <c r="H228" s="107">
        <v>4300</v>
      </c>
      <c r="I228" s="8" t="s">
        <v>4602</v>
      </c>
      <c r="J228" s="108" t="s">
        <v>1110</v>
      </c>
      <c r="K228" s="57">
        <v>30</v>
      </c>
      <c r="L228" s="58">
        <v>30</v>
      </c>
    </row>
    <row r="229" spans="1:12" s="9" customFormat="1" ht="15">
      <c r="A229" s="105">
        <v>223</v>
      </c>
      <c r="B229" s="106" t="s">
        <v>1897</v>
      </c>
      <c r="C229" s="106"/>
      <c r="D229" s="8" t="s">
        <v>2178</v>
      </c>
      <c r="E229" s="189" t="s">
        <v>659</v>
      </c>
      <c r="F229" s="106"/>
      <c r="G229" s="106" t="s">
        <v>1857</v>
      </c>
      <c r="H229" s="107">
        <v>4300</v>
      </c>
      <c r="I229" s="8" t="s">
        <v>4602</v>
      </c>
      <c r="J229" s="108" t="s">
        <v>1110</v>
      </c>
      <c r="K229" s="57">
        <v>30</v>
      </c>
      <c r="L229" s="58">
        <v>30</v>
      </c>
    </row>
    <row r="230" spans="1:12" s="9" customFormat="1" ht="15">
      <c r="A230" s="105">
        <v>224</v>
      </c>
      <c r="B230" s="106" t="s">
        <v>1896</v>
      </c>
      <c r="C230" s="106"/>
      <c r="D230" s="8">
        <v>4351735010</v>
      </c>
      <c r="E230" s="189" t="s">
        <v>324</v>
      </c>
      <c r="F230" s="106"/>
      <c r="G230" s="107" t="s">
        <v>323</v>
      </c>
      <c r="H230" s="107">
        <v>4300</v>
      </c>
      <c r="I230" s="8" t="s">
        <v>310</v>
      </c>
      <c r="J230" s="8" t="s">
        <v>1690</v>
      </c>
      <c r="K230" s="57">
        <v>30</v>
      </c>
      <c r="L230" s="58">
        <v>30</v>
      </c>
    </row>
    <row r="231" spans="1:12" s="9" customFormat="1" ht="15">
      <c r="A231" s="105">
        <v>225</v>
      </c>
      <c r="B231" s="106" t="s">
        <v>1897</v>
      </c>
      <c r="C231" s="106"/>
      <c r="D231" s="41">
        <v>4351771010</v>
      </c>
      <c r="E231" s="189" t="s">
        <v>324</v>
      </c>
      <c r="F231" s="106"/>
      <c r="G231" s="107" t="s">
        <v>1308</v>
      </c>
      <c r="H231" s="107">
        <v>4200</v>
      </c>
      <c r="I231" s="8" t="s">
        <v>310</v>
      </c>
      <c r="J231" s="41" t="s">
        <v>2969</v>
      </c>
      <c r="K231" s="57">
        <v>30</v>
      </c>
      <c r="L231" s="58">
        <v>30</v>
      </c>
    </row>
    <row r="232" spans="1:12" s="9" customFormat="1" ht="15">
      <c r="A232" s="105">
        <v>226</v>
      </c>
      <c r="B232" s="106" t="s">
        <v>1897</v>
      </c>
      <c r="C232" s="106"/>
      <c r="D232" s="8" t="s">
        <v>2345</v>
      </c>
      <c r="E232" s="189" t="s">
        <v>1084</v>
      </c>
      <c r="F232" s="107"/>
      <c r="G232" s="107" t="s">
        <v>1083</v>
      </c>
      <c r="H232" s="107">
        <v>5110</v>
      </c>
      <c r="I232" s="8" t="s">
        <v>267</v>
      </c>
      <c r="J232" s="109" t="s">
        <v>275</v>
      </c>
      <c r="K232" s="57">
        <v>30</v>
      </c>
      <c r="L232" s="58">
        <v>30</v>
      </c>
    </row>
    <row r="233" spans="1:12" s="9" customFormat="1" ht="15">
      <c r="A233" s="105">
        <v>227</v>
      </c>
      <c r="B233" s="106" t="s">
        <v>1896</v>
      </c>
      <c r="C233" s="106"/>
      <c r="D233" s="8" t="s">
        <v>2179</v>
      </c>
      <c r="E233" s="189" t="s">
        <v>1936</v>
      </c>
      <c r="F233" s="106"/>
      <c r="G233" s="106" t="s">
        <v>1935</v>
      </c>
      <c r="H233" s="107">
        <v>4300</v>
      </c>
      <c r="I233" s="8" t="s">
        <v>4603</v>
      </c>
      <c r="J233" s="108" t="s">
        <v>1110</v>
      </c>
      <c r="K233" s="57">
        <v>30</v>
      </c>
      <c r="L233" s="58">
        <v>30</v>
      </c>
    </row>
    <row r="234" spans="1:12" s="9" customFormat="1" ht="15">
      <c r="A234" s="105">
        <v>228</v>
      </c>
      <c r="B234" s="106" t="s">
        <v>1896</v>
      </c>
      <c r="C234" s="106"/>
      <c r="D234" s="8" t="s">
        <v>2180</v>
      </c>
      <c r="E234" s="189" t="s">
        <v>1937</v>
      </c>
      <c r="F234" s="106"/>
      <c r="G234" s="106" t="s">
        <v>1938</v>
      </c>
      <c r="H234" s="107">
        <v>4300</v>
      </c>
      <c r="I234" s="8" t="s">
        <v>4603</v>
      </c>
      <c r="J234" s="108" t="s">
        <v>1110</v>
      </c>
      <c r="K234" s="57">
        <v>30</v>
      </c>
      <c r="L234" s="58">
        <v>30</v>
      </c>
    </row>
    <row r="235" spans="1:12" s="9" customFormat="1" ht="15">
      <c r="A235" s="105">
        <v>229</v>
      </c>
      <c r="B235" s="106" t="s">
        <v>1896</v>
      </c>
      <c r="C235" s="106"/>
      <c r="D235" s="8" t="s">
        <v>2181</v>
      </c>
      <c r="E235" s="189" t="s">
        <v>1942</v>
      </c>
      <c r="F235" s="106"/>
      <c r="G235" s="106" t="s">
        <v>1940</v>
      </c>
      <c r="H235" s="107">
        <v>4300</v>
      </c>
      <c r="I235" s="8" t="s">
        <v>4603</v>
      </c>
      <c r="J235" s="108" t="s">
        <v>1110</v>
      </c>
      <c r="K235" s="57">
        <v>30</v>
      </c>
      <c r="L235" s="58">
        <v>30</v>
      </c>
    </row>
    <row r="236" spans="1:12" s="9" customFormat="1" ht="15">
      <c r="A236" s="105">
        <v>230</v>
      </c>
      <c r="B236" s="106" t="s">
        <v>1896</v>
      </c>
      <c r="C236" s="106"/>
      <c r="D236" s="8" t="s">
        <v>2182</v>
      </c>
      <c r="E236" s="189" t="s">
        <v>1939</v>
      </c>
      <c r="F236" s="106"/>
      <c r="G236" s="106" t="s">
        <v>1941</v>
      </c>
      <c r="H236" s="107">
        <v>4300</v>
      </c>
      <c r="I236" s="8" t="s">
        <v>4603</v>
      </c>
      <c r="J236" s="108" t="s">
        <v>1110</v>
      </c>
      <c r="K236" s="57">
        <v>30</v>
      </c>
      <c r="L236" s="58">
        <v>30</v>
      </c>
    </row>
    <row r="237" spans="1:12" s="9" customFormat="1" ht="15">
      <c r="A237" s="105">
        <v>231</v>
      </c>
      <c r="B237" s="106" t="s">
        <v>1896</v>
      </c>
      <c r="C237" s="106"/>
      <c r="D237" s="8" t="s">
        <v>2183</v>
      </c>
      <c r="E237" s="189" t="s">
        <v>666</v>
      </c>
      <c r="F237" s="106"/>
      <c r="G237" s="106" t="s">
        <v>665</v>
      </c>
      <c r="H237" s="107">
        <v>5110</v>
      </c>
      <c r="I237" s="8" t="s">
        <v>267</v>
      </c>
      <c r="J237" s="109" t="s">
        <v>270</v>
      </c>
      <c r="K237" s="57">
        <v>30</v>
      </c>
      <c r="L237" s="58">
        <v>30</v>
      </c>
    </row>
    <row r="238" spans="1:12" s="9" customFormat="1" ht="15">
      <c r="A238" s="105">
        <v>232</v>
      </c>
      <c r="B238" s="106" t="s">
        <v>1896</v>
      </c>
      <c r="C238" s="106"/>
      <c r="D238" s="8" t="s">
        <v>2184</v>
      </c>
      <c r="E238" s="189" t="s">
        <v>666</v>
      </c>
      <c r="F238" s="106"/>
      <c r="G238" s="106" t="s">
        <v>667</v>
      </c>
      <c r="H238" s="107">
        <v>5110</v>
      </c>
      <c r="I238" s="8" t="s">
        <v>267</v>
      </c>
      <c r="J238" s="109" t="s">
        <v>270</v>
      </c>
      <c r="K238" s="57">
        <v>30</v>
      </c>
      <c r="L238" s="58">
        <v>30</v>
      </c>
    </row>
    <row r="239" spans="1:12" s="9" customFormat="1" ht="15">
      <c r="A239" s="105">
        <v>233</v>
      </c>
      <c r="B239" s="106" t="s">
        <v>1896</v>
      </c>
      <c r="C239" s="106"/>
      <c r="D239" s="8" t="s">
        <v>2185</v>
      </c>
      <c r="E239" s="189" t="s">
        <v>666</v>
      </c>
      <c r="F239" s="106"/>
      <c r="G239" s="106" t="s">
        <v>668</v>
      </c>
      <c r="H239" s="107">
        <v>5110</v>
      </c>
      <c r="I239" s="8" t="s">
        <v>267</v>
      </c>
      <c r="J239" s="109" t="s">
        <v>270</v>
      </c>
      <c r="K239" s="57">
        <v>30</v>
      </c>
      <c r="L239" s="58">
        <v>30</v>
      </c>
    </row>
    <row r="240" spans="1:12" s="9" customFormat="1" ht="15">
      <c r="A240" s="105">
        <v>234</v>
      </c>
      <c r="B240" s="106" t="s">
        <v>1896</v>
      </c>
      <c r="C240" s="106"/>
      <c r="D240" s="8" t="s">
        <v>2186</v>
      </c>
      <c r="E240" s="189" t="s">
        <v>666</v>
      </c>
      <c r="F240" s="106"/>
      <c r="G240" s="106" t="s">
        <v>1111</v>
      </c>
      <c r="H240" s="107">
        <v>5110</v>
      </c>
      <c r="I240" s="8" t="s">
        <v>267</v>
      </c>
      <c r="J240" s="109" t="s">
        <v>270</v>
      </c>
      <c r="K240" s="57">
        <v>30</v>
      </c>
      <c r="L240" s="58">
        <v>30</v>
      </c>
    </row>
    <row r="241" spans="1:12" s="9" customFormat="1" ht="15">
      <c r="A241" s="105">
        <v>235</v>
      </c>
      <c r="B241" s="106" t="s">
        <v>1896</v>
      </c>
      <c r="C241" s="106"/>
      <c r="D241" s="8" t="s">
        <v>2187</v>
      </c>
      <c r="E241" s="189" t="s">
        <v>670</v>
      </c>
      <c r="F241" s="106"/>
      <c r="G241" s="106" t="s">
        <v>669</v>
      </c>
      <c r="H241" s="107">
        <v>5110</v>
      </c>
      <c r="I241" s="8" t="s">
        <v>267</v>
      </c>
      <c r="J241" s="109" t="s">
        <v>270</v>
      </c>
      <c r="K241" s="57">
        <v>30</v>
      </c>
      <c r="L241" s="58">
        <v>30</v>
      </c>
    </row>
    <row r="242" spans="1:12" s="9" customFormat="1" ht="15">
      <c r="A242" s="105">
        <v>236</v>
      </c>
      <c r="B242" s="106" t="s">
        <v>1896</v>
      </c>
      <c r="C242" s="106"/>
      <c r="D242" s="8" t="s">
        <v>2346</v>
      </c>
      <c r="E242" s="189" t="s">
        <v>1303</v>
      </c>
      <c r="F242" s="107"/>
      <c r="G242" s="107" t="s">
        <v>1300</v>
      </c>
      <c r="H242" s="107">
        <v>4200</v>
      </c>
      <c r="I242" s="8" t="s">
        <v>267</v>
      </c>
      <c r="J242" s="8" t="s">
        <v>270</v>
      </c>
      <c r="K242" s="57">
        <v>30</v>
      </c>
      <c r="L242" s="58">
        <v>30</v>
      </c>
    </row>
    <row r="243" spans="1:12" s="9" customFormat="1" ht="15">
      <c r="A243" s="105">
        <v>237</v>
      </c>
      <c r="B243" s="106" t="s">
        <v>1896</v>
      </c>
      <c r="C243" s="106"/>
      <c r="D243" s="8" t="s">
        <v>2188</v>
      </c>
      <c r="E243" s="189" t="s">
        <v>672</v>
      </c>
      <c r="F243" s="106"/>
      <c r="G243" s="106" t="s">
        <v>671</v>
      </c>
      <c r="H243" s="107">
        <v>5110</v>
      </c>
      <c r="I243" s="8" t="s">
        <v>267</v>
      </c>
      <c r="J243" s="109" t="s">
        <v>270</v>
      </c>
      <c r="K243" s="57">
        <v>30</v>
      </c>
      <c r="L243" s="58">
        <v>30</v>
      </c>
    </row>
    <row r="244" spans="1:12" s="9" customFormat="1" ht="15">
      <c r="A244" s="105">
        <v>238</v>
      </c>
      <c r="B244" s="106" t="s">
        <v>1896</v>
      </c>
      <c r="C244" s="106"/>
      <c r="D244" s="8" t="s">
        <v>2189</v>
      </c>
      <c r="E244" s="189" t="s">
        <v>672</v>
      </c>
      <c r="F244" s="106"/>
      <c r="G244" s="106" t="s">
        <v>673</v>
      </c>
      <c r="H244" s="107">
        <v>5110</v>
      </c>
      <c r="I244" s="8" t="s">
        <v>267</v>
      </c>
      <c r="J244" s="109" t="s">
        <v>270</v>
      </c>
      <c r="K244" s="57">
        <v>30</v>
      </c>
      <c r="L244" s="58">
        <v>30</v>
      </c>
    </row>
    <row r="245" spans="1:12" s="9" customFormat="1" ht="15">
      <c r="A245" s="105">
        <v>239</v>
      </c>
      <c r="B245" s="106" t="s">
        <v>1896</v>
      </c>
      <c r="C245" s="106"/>
      <c r="D245" s="8" t="s">
        <v>2190</v>
      </c>
      <c r="E245" s="189" t="s">
        <v>672</v>
      </c>
      <c r="F245" s="106"/>
      <c r="G245" s="106" t="s">
        <v>674</v>
      </c>
      <c r="H245" s="107">
        <v>5110</v>
      </c>
      <c r="I245" s="8" t="s">
        <v>267</v>
      </c>
      <c r="J245" s="109" t="s">
        <v>270</v>
      </c>
      <c r="K245" s="57">
        <v>30</v>
      </c>
      <c r="L245" s="58">
        <v>30</v>
      </c>
    </row>
    <row r="246" spans="1:12" s="9" customFormat="1" ht="15">
      <c r="A246" s="105">
        <v>240</v>
      </c>
      <c r="B246" s="106" t="s">
        <v>1896</v>
      </c>
      <c r="C246" s="106"/>
      <c r="D246" s="8" t="s">
        <v>2191</v>
      </c>
      <c r="E246" s="189" t="s">
        <v>672</v>
      </c>
      <c r="F246" s="106"/>
      <c r="G246" s="106" t="s">
        <v>1112</v>
      </c>
      <c r="H246" s="107">
        <v>5110</v>
      </c>
      <c r="I246" s="8" t="s">
        <v>267</v>
      </c>
      <c r="J246" s="109" t="s">
        <v>270</v>
      </c>
      <c r="K246" s="57">
        <v>30</v>
      </c>
      <c r="L246" s="58">
        <v>30</v>
      </c>
    </row>
    <row r="247" spans="1:12" s="9" customFormat="1" ht="15">
      <c r="A247" s="105">
        <v>241</v>
      </c>
      <c r="B247" s="106" t="s">
        <v>1896</v>
      </c>
      <c r="C247" s="106"/>
      <c r="D247" s="8" t="s">
        <v>2192</v>
      </c>
      <c r="E247" s="189" t="s">
        <v>676</v>
      </c>
      <c r="F247" s="106"/>
      <c r="G247" s="106" t="s">
        <v>675</v>
      </c>
      <c r="H247" s="107">
        <v>5110</v>
      </c>
      <c r="I247" s="8" t="s">
        <v>267</v>
      </c>
      <c r="J247" s="109" t="s">
        <v>270</v>
      </c>
      <c r="K247" s="57">
        <v>30</v>
      </c>
      <c r="L247" s="58">
        <v>30</v>
      </c>
    </row>
    <row r="248" spans="1:12" s="9" customFormat="1" ht="15">
      <c r="A248" s="105">
        <v>242</v>
      </c>
      <c r="B248" s="106" t="s">
        <v>1896</v>
      </c>
      <c r="C248" s="106"/>
      <c r="D248" s="8" t="s">
        <v>2193</v>
      </c>
      <c r="E248" s="189" t="s">
        <v>678</v>
      </c>
      <c r="F248" s="106"/>
      <c r="G248" s="106" t="s">
        <v>677</v>
      </c>
      <c r="H248" s="107">
        <v>5110</v>
      </c>
      <c r="I248" s="8" t="s">
        <v>267</v>
      </c>
      <c r="J248" s="109" t="s">
        <v>270</v>
      </c>
      <c r="K248" s="57">
        <v>30</v>
      </c>
      <c r="L248" s="58">
        <v>30</v>
      </c>
    </row>
    <row r="249" spans="1:12" s="9" customFormat="1" ht="15">
      <c r="A249" s="105">
        <v>243</v>
      </c>
      <c r="B249" s="106" t="s">
        <v>1896</v>
      </c>
      <c r="C249" s="106"/>
      <c r="D249" s="8" t="s">
        <v>2347</v>
      </c>
      <c r="E249" s="189" t="s">
        <v>1301</v>
      </c>
      <c r="F249" s="107"/>
      <c r="G249" s="107" t="s">
        <v>1302</v>
      </c>
      <c r="H249" s="107">
        <v>4200</v>
      </c>
      <c r="I249" s="8" t="s">
        <v>310</v>
      </c>
      <c r="J249" s="8" t="s">
        <v>394</v>
      </c>
      <c r="K249" s="57">
        <v>30</v>
      </c>
      <c r="L249" s="58">
        <v>30</v>
      </c>
    </row>
    <row r="250" spans="1:12" s="9" customFormat="1" ht="15">
      <c r="A250" s="105">
        <v>244</v>
      </c>
      <c r="B250" s="106" t="s">
        <v>1896</v>
      </c>
      <c r="C250" s="106"/>
      <c r="D250" s="8" t="s">
        <v>2194</v>
      </c>
      <c r="E250" s="189" t="s">
        <v>4545</v>
      </c>
      <c r="F250" s="106"/>
      <c r="G250" s="106" t="s">
        <v>1947</v>
      </c>
      <c r="H250" s="107">
        <v>4300</v>
      </c>
      <c r="I250" s="8" t="s">
        <v>4603</v>
      </c>
      <c r="J250" s="108" t="s">
        <v>1110</v>
      </c>
      <c r="K250" s="57">
        <v>30</v>
      </c>
      <c r="L250" s="58">
        <v>30</v>
      </c>
    </row>
    <row r="251" spans="1:12" s="9" customFormat="1" ht="15">
      <c r="A251" s="105">
        <v>245</v>
      </c>
      <c r="B251" s="106" t="s">
        <v>1896</v>
      </c>
      <c r="C251" s="106"/>
      <c r="D251" s="8" t="s">
        <v>2195</v>
      </c>
      <c r="E251" s="189" t="s">
        <v>4544</v>
      </c>
      <c r="F251" s="106"/>
      <c r="G251" s="106" t="s">
        <v>1948</v>
      </c>
      <c r="H251" s="107">
        <v>4300</v>
      </c>
      <c r="I251" s="8" t="s">
        <v>4603</v>
      </c>
      <c r="J251" s="108" t="s">
        <v>1110</v>
      </c>
      <c r="K251" s="57">
        <v>30</v>
      </c>
      <c r="L251" s="58">
        <v>30</v>
      </c>
    </row>
    <row r="252" spans="1:12" s="9" customFormat="1" ht="15">
      <c r="A252" s="105">
        <v>245</v>
      </c>
      <c r="B252" s="106" t="s">
        <v>1896</v>
      </c>
      <c r="C252" s="106"/>
      <c r="D252" s="8" t="s">
        <v>4639</v>
      </c>
      <c r="E252" s="189" t="s">
        <v>4544</v>
      </c>
      <c r="F252" s="106"/>
      <c r="G252" s="106" t="s">
        <v>4640</v>
      </c>
      <c r="H252" s="107">
        <v>4300</v>
      </c>
      <c r="I252" s="8" t="s">
        <v>4603</v>
      </c>
      <c r="J252" s="108" t="s">
        <v>1110</v>
      </c>
      <c r="K252" s="57">
        <v>30</v>
      </c>
      <c r="L252" s="58">
        <v>30</v>
      </c>
    </row>
    <row r="253" spans="1:12" s="9" customFormat="1" ht="15">
      <c r="A253" s="105">
        <v>246</v>
      </c>
      <c r="B253" s="106" t="s">
        <v>1896</v>
      </c>
      <c r="C253" s="106"/>
      <c r="D253" s="8" t="s">
        <v>2196</v>
      </c>
      <c r="E253" s="189" t="s">
        <v>1949</v>
      </c>
      <c r="F253" s="106"/>
      <c r="G253" s="106" t="s">
        <v>1951</v>
      </c>
      <c r="H253" s="107">
        <v>4300</v>
      </c>
      <c r="I253" s="8" t="s">
        <v>4603</v>
      </c>
      <c r="J253" s="108" t="s">
        <v>1110</v>
      </c>
      <c r="K253" s="57">
        <v>30</v>
      </c>
      <c r="L253" s="58">
        <v>30</v>
      </c>
    </row>
    <row r="254" spans="1:12" s="9" customFormat="1" ht="15">
      <c r="A254" s="105">
        <v>247</v>
      </c>
      <c r="B254" s="106" t="s">
        <v>1896</v>
      </c>
      <c r="C254" s="106"/>
      <c r="D254" s="8" t="s">
        <v>2197</v>
      </c>
      <c r="E254" s="189" t="s">
        <v>1950</v>
      </c>
      <c r="F254" s="106"/>
      <c r="G254" s="106" t="s">
        <v>1952</v>
      </c>
      <c r="H254" s="107">
        <v>4300</v>
      </c>
      <c r="I254" s="8" t="s">
        <v>4603</v>
      </c>
      <c r="J254" s="108" t="s">
        <v>1110</v>
      </c>
      <c r="K254" s="57">
        <v>30</v>
      </c>
      <c r="L254" s="58">
        <v>30</v>
      </c>
    </row>
    <row r="255" spans="1:12" s="9" customFormat="1" ht="15">
      <c r="A255" s="105">
        <v>248</v>
      </c>
      <c r="B255" s="106" t="s">
        <v>1896</v>
      </c>
      <c r="C255" s="106"/>
      <c r="D255" s="8" t="s">
        <v>2348</v>
      </c>
      <c r="E255" s="189" t="s">
        <v>328</v>
      </c>
      <c r="F255" s="107"/>
      <c r="G255" s="107" t="s">
        <v>329</v>
      </c>
      <c r="H255" s="107">
        <v>4300</v>
      </c>
      <c r="I255" s="8" t="s">
        <v>4603</v>
      </c>
      <c r="J255" s="8" t="s">
        <v>1976</v>
      </c>
      <c r="K255" s="57">
        <v>30</v>
      </c>
      <c r="L255" s="58">
        <v>30</v>
      </c>
    </row>
    <row r="256" spans="1:12" s="9" customFormat="1" ht="15">
      <c r="A256" s="105">
        <v>249</v>
      </c>
      <c r="B256" s="106" t="s">
        <v>1896</v>
      </c>
      <c r="C256" s="106"/>
      <c r="D256" s="8" t="s">
        <v>2349</v>
      </c>
      <c r="E256" s="189" t="s">
        <v>328</v>
      </c>
      <c r="F256" s="107"/>
      <c r="G256" s="107" t="s">
        <v>330</v>
      </c>
      <c r="H256" s="107">
        <v>4300</v>
      </c>
      <c r="I256" s="8" t="s">
        <v>4603</v>
      </c>
      <c r="J256" s="8" t="s">
        <v>1976</v>
      </c>
      <c r="K256" s="57">
        <v>30</v>
      </c>
      <c r="L256" s="58">
        <v>30</v>
      </c>
    </row>
    <row r="257" spans="1:12" s="9" customFormat="1" ht="15">
      <c r="A257" s="105">
        <v>250</v>
      </c>
      <c r="B257" s="106" t="s">
        <v>1896</v>
      </c>
      <c r="C257" s="106"/>
      <c r="D257" s="8" t="s">
        <v>2350</v>
      </c>
      <c r="E257" s="189" t="s">
        <v>328</v>
      </c>
      <c r="F257" s="107"/>
      <c r="G257" s="107" t="s">
        <v>391</v>
      </c>
      <c r="H257" s="107">
        <v>4300</v>
      </c>
      <c r="I257" s="8" t="s">
        <v>4603</v>
      </c>
      <c r="J257" s="8" t="s">
        <v>1976</v>
      </c>
      <c r="K257" s="57">
        <v>30</v>
      </c>
      <c r="L257" s="58">
        <v>30</v>
      </c>
    </row>
    <row r="258" spans="1:12" s="9" customFormat="1" ht="15">
      <c r="A258" s="105">
        <v>251</v>
      </c>
      <c r="B258" s="106" t="s">
        <v>1896</v>
      </c>
      <c r="C258" s="106"/>
      <c r="D258" s="8" t="s">
        <v>2351</v>
      </c>
      <c r="E258" s="189" t="s">
        <v>328</v>
      </c>
      <c r="F258" s="107"/>
      <c r="G258" s="107" t="s">
        <v>392</v>
      </c>
      <c r="H258" s="107">
        <v>4300</v>
      </c>
      <c r="I258" s="8" t="s">
        <v>4603</v>
      </c>
      <c r="J258" s="8" t="s">
        <v>1976</v>
      </c>
      <c r="K258" s="57">
        <v>30</v>
      </c>
      <c r="L258" s="58">
        <v>30</v>
      </c>
    </row>
    <row r="259" spans="1:12" s="9" customFormat="1" ht="15">
      <c r="A259" s="105">
        <v>252</v>
      </c>
      <c r="B259" s="106" t="s">
        <v>1896</v>
      </c>
      <c r="C259" s="106"/>
      <c r="D259" s="8" t="s">
        <v>2352</v>
      </c>
      <c r="E259" s="189" t="s">
        <v>334</v>
      </c>
      <c r="F259" s="107"/>
      <c r="G259" s="107" t="s">
        <v>333</v>
      </c>
      <c r="H259" s="107">
        <v>4300</v>
      </c>
      <c r="I259" s="8" t="s">
        <v>4603</v>
      </c>
      <c r="J259" s="8" t="s">
        <v>1976</v>
      </c>
      <c r="K259" s="57">
        <v>30</v>
      </c>
      <c r="L259" s="58">
        <v>30</v>
      </c>
    </row>
    <row r="260" spans="1:12" s="9" customFormat="1" ht="15">
      <c r="A260" s="105">
        <v>253</v>
      </c>
      <c r="B260" s="106" t="s">
        <v>1896</v>
      </c>
      <c r="C260" s="106"/>
      <c r="D260" s="8" t="s">
        <v>2353</v>
      </c>
      <c r="E260" s="189" t="s">
        <v>334</v>
      </c>
      <c r="F260" s="107"/>
      <c r="G260" s="107" t="s">
        <v>335</v>
      </c>
      <c r="H260" s="107">
        <v>4300</v>
      </c>
      <c r="I260" s="8" t="s">
        <v>4603</v>
      </c>
      <c r="J260" s="8" t="s">
        <v>1976</v>
      </c>
      <c r="K260" s="57">
        <v>30</v>
      </c>
      <c r="L260" s="58">
        <v>30</v>
      </c>
    </row>
    <row r="261" spans="1:12" s="9" customFormat="1" ht="15">
      <c r="A261" s="105">
        <v>254</v>
      </c>
      <c r="B261" s="106" t="s">
        <v>1896</v>
      </c>
      <c r="C261" s="106"/>
      <c r="D261" s="8" t="s">
        <v>2198</v>
      </c>
      <c r="E261" s="189" t="s">
        <v>1954</v>
      </c>
      <c r="F261" s="106"/>
      <c r="G261" s="106" t="s">
        <v>1953</v>
      </c>
      <c r="H261" s="107">
        <v>4300</v>
      </c>
      <c r="I261" s="8" t="s">
        <v>4603</v>
      </c>
      <c r="J261" s="108" t="s">
        <v>1110</v>
      </c>
      <c r="K261" s="57">
        <v>30</v>
      </c>
      <c r="L261" s="58">
        <v>30</v>
      </c>
    </row>
    <row r="262" spans="1:12" s="9" customFormat="1" ht="15">
      <c r="A262" s="105"/>
      <c r="B262" s="106" t="s">
        <v>4547</v>
      </c>
      <c r="C262" s="106"/>
      <c r="D262" s="8" t="s">
        <v>4620</v>
      </c>
      <c r="E262" s="189" t="s">
        <v>1954</v>
      </c>
      <c r="F262" s="106"/>
      <c r="G262" s="106" t="s">
        <v>4619</v>
      </c>
      <c r="H262" s="107">
        <v>4300</v>
      </c>
      <c r="I262" s="8" t="s">
        <v>4603</v>
      </c>
      <c r="J262" s="108" t="s">
        <v>1110</v>
      </c>
      <c r="K262" s="57">
        <v>30</v>
      </c>
      <c r="L262" s="58">
        <v>30</v>
      </c>
    </row>
    <row r="263" spans="1:12" s="9" customFormat="1" ht="15">
      <c r="A263" s="105">
        <v>255</v>
      </c>
      <c r="B263" s="106" t="s">
        <v>1896</v>
      </c>
      <c r="C263" s="106"/>
      <c r="D263" s="8" t="s">
        <v>2199</v>
      </c>
      <c r="E263" s="189" t="s">
        <v>681</v>
      </c>
      <c r="F263" s="106"/>
      <c r="G263" s="106" t="s">
        <v>1988</v>
      </c>
      <c r="H263" s="107">
        <v>5110</v>
      </c>
      <c r="I263" s="8" t="s">
        <v>267</v>
      </c>
      <c r="J263" s="108" t="s">
        <v>1110</v>
      </c>
      <c r="K263" s="57">
        <v>30</v>
      </c>
      <c r="L263" s="58">
        <v>30</v>
      </c>
    </row>
    <row r="264" spans="1:12" s="9" customFormat="1" ht="15">
      <c r="A264" s="105">
        <v>256</v>
      </c>
      <c r="B264" s="106" t="s">
        <v>1896</v>
      </c>
      <c r="C264" s="106"/>
      <c r="D264" s="8" t="s">
        <v>2200</v>
      </c>
      <c r="E264" s="189" t="s">
        <v>681</v>
      </c>
      <c r="F264" s="106"/>
      <c r="G264" s="106" t="s">
        <v>1989</v>
      </c>
      <c r="H264" s="107">
        <v>5110</v>
      </c>
      <c r="I264" s="8" t="s">
        <v>267</v>
      </c>
      <c r="J264" s="108" t="s">
        <v>1110</v>
      </c>
      <c r="K264" s="57">
        <v>30</v>
      </c>
      <c r="L264" s="58">
        <v>30</v>
      </c>
    </row>
    <row r="265" spans="1:12" s="9" customFormat="1" ht="15">
      <c r="A265" s="105">
        <v>257</v>
      </c>
      <c r="B265" s="106" t="s">
        <v>1896</v>
      </c>
      <c r="C265" s="106"/>
      <c r="D265" s="8" t="s">
        <v>2201</v>
      </c>
      <c r="E265" s="189" t="s">
        <v>681</v>
      </c>
      <c r="F265" s="106"/>
      <c r="G265" s="106" t="s">
        <v>1990</v>
      </c>
      <c r="H265" s="107">
        <v>5110</v>
      </c>
      <c r="I265" s="8" t="s">
        <v>267</v>
      </c>
      <c r="J265" s="108" t="s">
        <v>1110</v>
      </c>
      <c r="K265" s="57">
        <v>30</v>
      </c>
      <c r="L265" s="58">
        <v>30</v>
      </c>
    </row>
    <row r="266" spans="1:12" s="9" customFormat="1" ht="15">
      <c r="A266" s="105">
        <v>258</v>
      </c>
      <c r="B266" s="106" t="s">
        <v>1896</v>
      </c>
      <c r="C266" s="106"/>
      <c r="D266" s="8" t="s">
        <v>2202</v>
      </c>
      <c r="E266" s="189" t="s">
        <v>681</v>
      </c>
      <c r="F266" s="106"/>
      <c r="G266" s="106" t="s">
        <v>1991</v>
      </c>
      <c r="H266" s="107">
        <v>5110</v>
      </c>
      <c r="I266" s="8" t="s">
        <v>267</v>
      </c>
      <c r="J266" s="108" t="s">
        <v>1110</v>
      </c>
      <c r="K266" s="57">
        <v>30</v>
      </c>
      <c r="L266" s="58">
        <v>30</v>
      </c>
    </row>
    <row r="267" spans="1:12" s="9" customFormat="1" ht="15">
      <c r="A267" s="105">
        <v>259</v>
      </c>
      <c r="B267" s="106" t="s">
        <v>1896</v>
      </c>
      <c r="C267" s="106"/>
      <c r="D267" s="8" t="s">
        <v>2203</v>
      </c>
      <c r="E267" s="189" t="s">
        <v>681</v>
      </c>
      <c r="F267" s="106"/>
      <c r="G267" s="106" t="s">
        <v>1992</v>
      </c>
      <c r="H267" s="107">
        <v>5110</v>
      </c>
      <c r="I267" s="8" t="s">
        <v>267</v>
      </c>
      <c r="J267" s="108" t="s">
        <v>1110</v>
      </c>
      <c r="K267" s="57">
        <v>30</v>
      </c>
      <c r="L267" s="58">
        <v>30</v>
      </c>
    </row>
    <row r="268" spans="1:12" s="9" customFormat="1" ht="15">
      <c r="A268" s="105">
        <v>260</v>
      </c>
      <c r="B268" s="106" t="s">
        <v>1896</v>
      </c>
      <c r="C268" s="106"/>
      <c r="D268" s="8" t="s">
        <v>2204</v>
      </c>
      <c r="E268" s="189" t="s">
        <v>681</v>
      </c>
      <c r="F268" s="106"/>
      <c r="G268" s="106" t="s">
        <v>1993</v>
      </c>
      <c r="H268" s="107">
        <v>5110</v>
      </c>
      <c r="I268" s="8" t="s">
        <v>267</v>
      </c>
      <c r="J268" s="108" t="s">
        <v>1110</v>
      </c>
      <c r="K268" s="57">
        <v>30</v>
      </c>
      <c r="L268" s="58">
        <v>30</v>
      </c>
    </row>
    <row r="269" spans="1:12" s="9" customFormat="1" ht="15">
      <c r="A269" s="105">
        <v>261</v>
      </c>
      <c r="B269" s="106" t="s">
        <v>1896</v>
      </c>
      <c r="C269" s="106"/>
      <c r="D269" s="8" t="s">
        <v>2205</v>
      </c>
      <c r="E269" s="189" t="s">
        <v>681</v>
      </c>
      <c r="F269" s="106"/>
      <c r="G269" s="106" t="s">
        <v>1994</v>
      </c>
      <c r="H269" s="107">
        <v>5110</v>
      </c>
      <c r="I269" s="8" t="s">
        <v>267</v>
      </c>
      <c r="J269" s="108" t="s">
        <v>1110</v>
      </c>
      <c r="K269" s="57">
        <v>30</v>
      </c>
      <c r="L269" s="58">
        <v>30</v>
      </c>
    </row>
    <row r="270" spans="1:12" s="9" customFormat="1" ht="15">
      <c r="A270" s="105">
        <v>262</v>
      </c>
      <c r="B270" s="106" t="s">
        <v>1896</v>
      </c>
      <c r="C270" s="106"/>
      <c r="D270" s="8" t="s">
        <v>2206</v>
      </c>
      <c r="E270" s="189" t="s">
        <v>681</v>
      </c>
      <c r="F270" s="106"/>
      <c r="G270" s="106" t="s">
        <v>1995</v>
      </c>
      <c r="H270" s="107">
        <v>5110</v>
      </c>
      <c r="I270" s="8" t="s">
        <v>267</v>
      </c>
      <c r="J270" s="108" t="s">
        <v>1110</v>
      </c>
      <c r="K270" s="57">
        <v>30</v>
      </c>
      <c r="L270" s="58">
        <v>30</v>
      </c>
    </row>
    <row r="271" spans="1:12" s="9" customFormat="1" ht="15">
      <c r="A271" s="105">
        <v>263</v>
      </c>
      <c r="B271" s="106" t="s">
        <v>1896</v>
      </c>
      <c r="C271" s="106"/>
      <c r="D271" s="8" t="s">
        <v>2207</v>
      </c>
      <c r="E271" s="189" t="s">
        <v>681</v>
      </c>
      <c r="F271" s="106"/>
      <c r="G271" s="106" t="s">
        <v>1996</v>
      </c>
      <c r="H271" s="107">
        <v>5110</v>
      </c>
      <c r="I271" s="8" t="s">
        <v>267</v>
      </c>
      <c r="J271" s="108" t="s">
        <v>1110</v>
      </c>
      <c r="K271" s="57">
        <v>30</v>
      </c>
      <c r="L271" s="58">
        <v>30</v>
      </c>
    </row>
    <row r="272" spans="1:12" s="9" customFormat="1" ht="15">
      <c r="A272" s="105">
        <v>264</v>
      </c>
      <c r="B272" s="106" t="s">
        <v>1896</v>
      </c>
      <c r="C272" s="106"/>
      <c r="D272" s="8" t="s">
        <v>2211</v>
      </c>
      <c r="E272" s="189" t="s">
        <v>681</v>
      </c>
      <c r="F272" s="106"/>
      <c r="G272" s="106" t="s">
        <v>1774</v>
      </c>
      <c r="H272" s="107">
        <v>5110</v>
      </c>
      <c r="I272" s="8" t="s">
        <v>267</v>
      </c>
      <c r="J272" s="108" t="s">
        <v>1110</v>
      </c>
      <c r="K272" s="57">
        <v>30</v>
      </c>
      <c r="L272" s="58">
        <v>30</v>
      </c>
    </row>
    <row r="273" spans="1:12" s="9" customFormat="1" ht="15">
      <c r="A273" s="105">
        <v>265</v>
      </c>
      <c r="B273" s="106" t="s">
        <v>1896</v>
      </c>
      <c r="C273" s="106"/>
      <c r="D273" s="8" t="s">
        <v>2212</v>
      </c>
      <c r="E273" s="189" t="s">
        <v>681</v>
      </c>
      <c r="F273" s="106"/>
      <c r="G273" s="106" t="s">
        <v>1997</v>
      </c>
      <c r="H273" s="107">
        <v>5110</v>
      </c>
      <c r="I273" s="8" t="s">
        <v>267</v>
      </c>
      <c r="J273" s="108" t="s">
        <v>1110</v>
      </c>
      <c r="K273" s="57">
        <v>30</v>
      </c>
      <c r="L273" s="58">
        <v>30</v>
      </c>
    </row>
    <row r="274" spans="1:12" s="9" customFormat="1" ht="15">
      <c r="A274" s="105">
        <v>266</v>
      </c>
      <c r="B274" s="106" t="s">
        <v>1896</v>
      </c>
      <c r="C274" s="106"/>
      <c r="D274" s="8" t="s">
        <v>2213</v>
      </c>
      <c r="E274" s="189" t="s">
        <v>681</v>
      </c>
      <c r="F274" s="106"/>
      <c r="G274" s="106" t="s">
        <v>1998</v>
      </c>
      <c r="H274" s="107">
        <v>5110</v>
      </c>
      <c r="I274" s="8" t="s">
        <v>267</v>
      </c>
      <c r="J274" s="108" t="s">
        <v>1110</v>
      </c>
      <c r="K274" s="57">
        <v>30</v>
      </c>
      <c r="L274" s="58">
        <v>30</v>
      </c>
    </row>
    <row r="275" spans="1:12" s="9" customFormat="1" ht="15">
      <c r="A275" s="105">
        <v>267</v>
      </c>
      <c r="B275" s="106" t="s">
        <v>1896</v>
      </c>
      <c r="C275" s="106"/>
      <c r="D275" s="8" t="s">
        <v>2214</v>
      </c>
      <c r="E275" s="189" t="s">
        <v>681</v>
      </c>
      <c r="F275" s="106"/>
      <c r="G275" s="106" t="s">
        <v>1999</v>
      </c>
      <c r="H275" s="107">
        <v>5110</v>
      </c>
      <c r="I275" s="8" t="s">
        <v>267</v>
      </c>
      <c r="J275" s="108" t="s">
        <v>1110</v>
      </c>
      <c r="K275" s="57">
        <v>30</v>
      </c>
      <c r="L275" s="58">
        <v>30</v>
      </c>
    </row>
    <row r="276" spans="1:12" s="9" customFormat="1" ht="15">
      <c r="A276" s="105">
        <v>268</v>
      </c>
      <c r="B276" s="106" t="s">
        <v>1896</v>
      </c>
      <c r="C276" s="106"/>
      <c r="D276" s="8" t="s">
        <v>2215</v>
      </c>
      <c r="E276" s="189" t="s">
        <v>681</v>
      </c>
      <c r="F276" s="106"/>
      <c r="G276" s="106" t="s">
        <v>2000</v>
      </c>
      <c r="H276" s="107">
        <v>5110</v>
      </c>
      <c r="I276" s="8" t="s">
        <v>267</v>
      </c>
      <c r="J276" s="108" t="s">
        <v>1110</v>
      </c>
      <c r="K276" s="57">
        <v>30</v>
      </c>
      <c r="L276" s="58">
        <v>30</v>
      </c>
    </row>
    <row r="277" spans="1:12" s="9" customFormat="1" ht="15">
      <c r="A277" s="105">
        <v>269</v>
      </c>
      <c r="B277" s="106" t="s">
        <v>1896</v>
      </c>
      <c r="C277" s="106"/>
      <c r="D277" s="8" t="s">
        <v>2216</v>
      </c>
      <c r="E277" s="189" t="s">
        <v>681</v>
      </c>
      <c r="F277" s="106"/>
      <c r="G277" s="106" t="s">
        <v>2001</v>
      </c>
      <c r="H277" s="107">
        <v>5110</v>
      </c>
      <c r="I277" s="8" t="s">
        <v>267</v>
      </c>
      <c r="J277" s="108" t="s">
        <v>1110</v>
      </c>
      <c r="K277" s="57">
        <v>30</v>
      </c>
      <c r="L277" s="58">
        <v>30</v>
      </c>
    </row>
    <row r="278" spans="1:12" s="9" customFormat="1" ht="15">
      <c r="A278" s="105">
        <v>270</v>
      </c>
      <c r="B278" s="106" t="s">
        <v>1896</v>
      </c>
      <c r="C278" s="106"/>
      <c r="D278" s="8" t="s">
        <v>2217</v>
      </c>
      <c r="E278" s="189" t="s">
        <v>681</v>
      </c>
      <c r="F278" s="106"/>
      <c r="G278" s="106" t="s">
        <v>2002</v>
      </c>
      <c r="H278" s="107">
        <v>5110</v>
      </c>
      <c r="I278" s="8" t="s">
        <v>267</v>
      </c>
      <c r="J278" s="108" t="s">
        <v>1110</v>
      </c>
      <c r="K278" s="57">
        <v>30</v>
      </c>
      <c r="L278" s="58">
        <v>30</v>
      </c>
    </row>
    <row r="279" spans="1:12" s="9" customFormat="1" ht="15">
      <c r="A279" s="105">
        <v>271</v>
      </c>
      <c r="B279" s="106" t="s">
        <v>1896</v>
      </c>
      <c r="C279" s="106"/>
      <c r="D279" s="8" t="s">
        <v>2218</v>
      </c>
      <c r="E279" s="189" t="s">
        <v>681</v>
      </c>
      <c r="F279" s="106"/>
      <c r="G279" s="106" t="s">
        <v>2003</v>
      </c>
      <c r="H279" s="107">
        <v>5110</v>
      </c>
      <c r="I279" s="8" t="s">
        <v>267</v>
      </c>
      <c r="J279" s="108" t="s">
        <v>1110</v>
      </c>
      <c r="K279" s="57">
        <v>30</v>
      </c>
      <c r="L279" s="58">
        <v>30</v>
      </c>
    </row>
    <row r="280" spans="1:12" s="9" customFormat="1" ht="15">
      <c r="A280" s="105">
        <v>272</v>
      </c>
      <c r="B280" s="106" t="s">
        <v>1896</v>
      </c>
      <c r="C280" s="106"/>
      <c r="D280" s="8" t="s">
        <v>2219</v>
      </c>
      <c r="E280" s="189" t="s">
        <v>681</v>
      </c>
      <c r="F280" s="106"/>
      <c r="G280" s="106" t="s">
        <v>2004</v>
      </c>
      <c r="H280" s="107">
        <v>5110</v>
      </c>
      <c r="I280" s="8" t="s">
        <v>267</v>
      </c>
      <c r="J280" s="108" t="s">
        <v>1110</v>
      </c>
      <c r="K280" s="57">
        <v>30</v>
      </c>
      <c r="L280" s="58">
        <v>30</v>
      </c>
    </row>
    <row r="281" spans="1:12" s="9" customFormat="1" ht="15">
      <c r="A281" s="105">
        <v>273</v>
      </c>
      <c r="B281" s="106" t="s">
        <v>1896</v>
      </c>
      <c r="C281" s="106"/>
      <c r="D281" s="8" t="s">
        <v>2220</v>
      </c>
      <c r="E281" s="189" t="s">
        <v>681</v>
      </c>
      <c r="F281" s="106"/>
      <c r="G281" s="106" t="s">
        <v>2005</v>
      </c>
      <c r="H281" s="107">
        <v>5110</v>
      </c>
      <c r="I281" s="8" t="s">
        <v>267</v>
      </c>
      <c r="J281" s="108" t="s">
        <v>1110</v>
      </c>
      <c r="K281" s="57">
        <v>30</v>
      </c>
      <c r="L281" s="58">
        <v>30</v>
      </c>
    </row>
    <row r="282" spans="1:12" s="9" customFormat="1" ht="15">
      <c r="A282" s="105">
        <v>274</v>
      </c>
      <c r="B282" s="106" t="s">
        <v>1896</v>
      </c>
      <c r="C282" s="106"/>
      <c r="D282" s="8" t="s">
        <v>2221</v>
      </c>
      <c r="E282" s="189" t="s">
        <v>681</v>
      </c>
      <c r="F282" s="106"/>
      <c r="G282" s="106" t="s">
        <v>2006</v>
      </c>
      <c r="H282" s="107">
        <v>5110</v>
      </c>
      <c r="I282" s="8" t="s">
        <v>267</v>
      </c>
      <c r="J282" s="108" t="s">
        <v>1110</v>
      </c>
      <c r="K282" s="57">
        <v>30</v>
      </c>
      <c r="L282" s="58">
        <v>30</v>
      </c>
    </row>
    <row r="283" spans="1:12" s="9" customFormat="1" ht="15">
      <c r="A283" s="105">
        <v>275</v>
      </c>
      <c r="B283" s="106" t="s">
        <v>1896</v>
      </c>
      <c r="C283" s="106"/>
      <c r="D283" s="8" t="s">
        <v>2222</v>
      </c>
      <c r="E283" s="189" t="s">
        <v>681</v>
      </c>
      <c r="F283" s="106"/>
      <c r="G283" s="106" t="s">
        <v>682</v>
      </c>
      <c r="H283" s="107">
        <v>5110</v>
      </c>
      <c r="I283" s="8" t="s">
        <v>267</v>
      </c>
      <c r="J283" s="108" t="s">
        <v>1110</v>
      </c>
      <c r="K283" s="57">
        <v>30</v>
      </c>
      <c r="L283" s="58">
        <v>30</v>
      </c>
    </row>
    <row r="284" spans="1:12" s="9" customFormat="1" ht="15">
      <c r="A284" s="105">
        <v>276</v>
      </c>
      <c r="B284" s="106" t="s">
        <v>1896</v>
      </c>
      <c r="C284" s="106"/>
      <c r="D284" s="8" t="s">
        <v>2223</v>
      </c>
      <c r="E284" s="189" t="s">
        <v>681</v>
      </c>
      <c r="F284" s="106"/>
      <c r="G284" s="106" t="s">
        <v>2007</v>
      </c>
      <c r="H284" s="107">
        <v>5110</v>
      </c>
      <c r="I284" s="8" t="s">
        <v>267</v>
      </c>
      <c r="J284" s="108" t="s">
        <v>1110</v>
      </c>
      <c r="K284" s="57">
        <v>30</v>
      </c>
      <c r="L284" s="58">
        <v>30</v>
      </c>
    </row>
    <row r="285" spans="1:12" s="9" customFormat="1" ht="15">
      <c r="A285" s="105">
        <v>277</v>
      </c>
      <c r="B285" s="106" t="s">
        <v>1896</v>
      </c>
      <c r="C285" s="106"/>
      <c r="D285" s="8" t="s">
        <v>2224</v>
      </c>
      <c r="E285" s="189" t="s">
        <v>681</v>
      </c>
      <c r="F285" s="106"/>
      <c r="G285" s="106" t="s">
        <v>2008</v>
      </c>
      <c r="H285" s="107">
        <v>5110</v>
      </c>
      <c r="I285" s="8" t="s">
        <v>267</v>
      </c>
      <c r="J285" s="108" t="s">
        <v>1110</v>
      </c>
      <c r="K285" s="57">
        <v>30</v>
      </c>
      <c r="L285" s="58">
        <v>30</v>
      </c>
    </row>
    <row r="286" spans="1:12" s="9" customFormat="1" ht="15">
      <c r="A286" s="105">
        <v>278</v>
      </c>
      <c r="B286" s="106" t="s">
        <v>1896</v>
      </c>
      <c r="C286" s="106"/>
      <c r="D286" s="8" t="s">
        <v>2225</v>
      </c>
      <c r="E286" s="189" t="s">
        <v>681</v>
      </c>
      <c r="F286" s="106"/>
      <c r="G286" s="106" t="s">
        <v>2009</v>
      </c>
      <c r="H286" s="107">
        <v>5110</v>
      </c>
      <c r="I286" s="8" t="s">
        <v>267</v>
      </c>
      <c r="J286" s="108" t="s">
        <v>1110</v>
      </c>
      <c r="K286" s="57">
        <v>30</v>
      </c>
      <c r="L286" s="58">
        <v>30</v>
      </c>
    </row>
    <row r="287" spans="1:12" s="9" customFormat="1" ht="15">
      <c r="A287" s="105">
        <v>279</v>
      </c>
      <c r="B287" s="106" t="s">
        <v>1896</v>
      </c>
      <c r="C287" s="106"/>
      <c r="D287" s="8" t="s">
        <v>2226</v>
      </c>
      <c r="E287" s="189" t="s">
        <v>681</v>
      </c>
      <c r="F287" s="106"/>
      <c r="G287" s="106" t="s">
        <v>2010</v>
      </c>
      <c r="H287" s="107">
        <v>5110</v>
      </c>
      <c r="I287" s="8" t="s">
        <v>267</v>
      </c>
      <c r="J287" s="108" t="s">
        <v>1110</v>
      </c>
      <c r="K287" s="57">
        <v>30</v>
      </c>
      <c r="L287" s="58">
        <v>30</v>
      </c>
    </row>
    <row r="288" spans="1:12" s="9" customFormat="1" ht="15">
      <c r="A288" s="105">
        <v>280</v>
      </c>
      <c r="B288" s="106" t="s">
        <v>1896</v>
      </c>
      <c r="C288" s="106"/>
      <c r="D288" s="8" t="s">
        <v>2227</v>
      </c>
      <c r="E288" s="189" t="s">
        <v>681</v>
      </c>
      <c r="F288" s="106"/>
      <c r="G288" s="106" t="s">
        <v>2011</v>
      </c>
      <c r="H288" s="107">
        <v>5110</v>
      </c>
      <c r="I288" s="8" t="s">
        <v>267</v>
      </c>
      <c r="J288" s="108" t="s">
        <v>1110</v>
      </c>
      <c r="K288" s="57">
        <v>30</v>
      </c>
      <c r="L288" s="58">
        <v>30</v>
      </c>
    </row>
    <row r="289" spans="1:12" s="9" customFormat="1" ht="15">
      <c r="A289" s="105">
        <v>281</v>
      </c>
      <c r="B289" s="106" t="s">
        <v>1896</v>
      </c>
      <c r="C289" s="106"/>
      <c r="D289" s="8" t="s">
        <v>2228</v>
      </c>
      <c r="E289" s="189" t="s">
        <v>681</v>
      </c>
      <c r="F289" s="106"/>
      <c r="G289" s="106" t="s">
        <v>2012</v>
      </c>
      <c r="H289" s="107">
        <v>5110</v>
      </c>
      <c r="I289" s="8" t="s">
        <v>267</v>
      </c>
      <c r="J289" s="108" t="s">
        <v>1110</v>
      </c>
      <c r="K289" s="57">
        <v>30</v>
      </c>
      <c r="L289" s="58">
        <v>30</v>
      </c>
    </row>
    <row r="290" spans="1:12" s="9" customFormat="1" ht="15">
      <c r="A290" s="105">
        <v>282</v>
      </c>
      <c r="B290" s="106" t="s">
        <v>1896</v>
      </c>
      <c r="C290" s="106"/>
      <c r="D290" s="8" t="s">
        <v>2229</v>
      </c>
      <c r="E290" s="189" t="s">
        <v>681</v>
      </c>
      <c r="F290" s="106"/>
      <c r="G290" s="106" t="s">
        <v>2013</v>
      </c>
      <c r="H290" s="107">
        <v>5110</v>
      </c>
      <c r="I290" s="8" t="s">
        <v>267</v>
      </c>
      <c r="J290" s="108" t="s">
        <v>1110</v>
      </c>
      <c r="K290" s="57">
        <v>30</v>
      </c>
      <c r="L290" s="58">
        <v>30</v>
      </c>
    </row>
    <row r="291" spans="1:12" s="9" customFormat="1" ht="15">
      <c r="A291" s="105">
        <v>283</v>
      </c>
      <c r="B291" s="106" t="s">
        <v>1896</v>
      </c>
      <c r="C291" s="106"/>
      <c r="D291" s="8" t="s">
        <v>2230</v>
      </c>
      <c r="E291" s="189" t="s">
        <v>681</v>
      </c>
      <c r="F291" s="106"/>
      <c r="G291" s="106" t="s">
        <v>2014</v>
      </c>
      <c r="H291" s="107">
        <v>5110</v>
      </c>
      <c r="I291" s="8" t="s">
        <v>267</v>
      </c>
      <c r="J291" s="108" t="s">
        <v>1110</v>
      </c>
      <c r="K291" s="57">
        <v>30</v>
      </c>
      <c r="L291" s="58">
        <v>30</v>
      </c>
    </row>
    <row r="292" spans="1:12" s="9" customFormat="1" ht="15">
      <c r="A292" s="105">
        <v>284</v>
      </c>
      <c r="B292" s="106" t="s">
        <v>1896</v>
      </c>
      <c r="C292" s="106"/>
      <c r="D292" s="8" t="s">
        <v>2231</v>
      </c>
      <c r="E292" s="189" t="s">
        <v>681</v>
      </c>
      <c r="F292" s="106"/>
      <c r="G292" s="106" t="s">
        <v>2015</v>
      </c>
      <c r="H292" s="107">
        <v>5110</v>
      </c>
      <c r="I292" s="8" t="s">
        <v>267</v>
      </c>
      <c r="J292" s="108" t="s">
        <v>1110</v>
      </c>
      <c r="K292" s="57">
        <v>30</v>
      </c>
      <c r="L292" s="58">
        <v>30</v>
      </c>
    </row>
    <row r="293" spans="1:12" s="9" customFormat="1" ht="15">
      <c r="A293" s="105">
        <v>285</v>
      </c>
      <c r="B293" s="106" t="s">
        <v>1896</v>
      </c>
      <c r="C293" s="106"/>
      <c r="D293" s="8" t="s">
        <v>2232</v>
      </c>
      <c r="E293" s="189" t="s">
        <v>681</v>
      </c>
      <c r="F293" s="106"/>
      <c r="G293" s="106" t="s">
        <v>2016</v>
      </c>
      <c r="H293" s="107">
        <v>5110</v>
      </c>
      <c r="I293" s="8" t="s">
        <v>267</v>
      </c>
      <c r="J293" s="108" t="s">
        <v>1110</v>
      </c>
      <c r="K293" s="57">
        <v>30</v>
      </c>
      <c r="L293" s="58">
        <v>30</v>
      </c>
    </row>
    <row r="294" spans="1:12" s="9" customFormat="1" ht="15">
      <c r="A294" s="105">
        <v>286</v>
      </c>
      <c r="B294" s="106" t="s">
        <v>1896</v>
      </c>
      <c r="C294" s="106"/>
      <c r="D294" s="8" t="s">
        <v>2233</v>
      </c>
      <c r="E294" s="189" t="s">
        <v>681</v>
      </c>
      <c r="F294" s="106"/>
      <c r="G294" s="106" t="s">
        <v>2017</v>
      </c>
      <c r="H294" s="107">
        <v>5110</v>
      </c>
      <c r="I294" s="8" t="s">
        <v>267</v>
      </c>
      <c r="J294" s="108" t="s">
        <v>1110</v>
      </c>
      <c r="K294" s="57">
        <v>30</v>
      </c>
      <c r="L294" s="58">
        <v>30</v>
      </c>
    </row>
    <row r="295" spans="1:12" s="9" customFormat="1" ht="15">
      <c r="A295" s="105">
        <v>287</v>
      </c>
      <c r="B295" s="106" t="s">
        <v>1896</v>
      </c>
      <c r="C295" s="106"/>
      <c r="D295" s="8" t="s">
        <v>2234</v>
      </c>
      <c r="E295" s="189" t="s">
        <v>681</v>
      </c>
      <c r="F295" s="106"/>
      <c r="G295" s="106" t="s">
        <v>2018</v>
      </c>
      <c r="H295" s="107">
        <v>5110</v>
      </c>
      <c r="I295" s="8" t="s">
        <v>267</v>
      </c>
      <c r="J295" s="108" t="s">
        <v>1110</v>
      </c>
      <c r="K295" s="57">
        <v>30</v>
      </c>
      <c r="L295" s="58">
        <v>30</v>
      </c>
    </row>
    <row r="296" spans="1:12" s="9" customFormat="1" ht="15">
      <c r="A296" s="105">
        <v>288</v>
      </c>
      <c r="B296" s="106" t="s">
        <v>1896</v>
      </c>
      <c r="C296" s="106"/>
      <c r="D296" s="8" t="s">
        <v>2235</v>
      </c>
      <c r="E296" s="189" t="s">
        <v>681</v>
      </c>
      <c r="F296" s="106"/>
      <c r="G296" s="106" t="s">
        <v>2019</v>
      </c>
      <c r="H296" s="107">
        <v>5110</v>
      </c>
      <c r="I296" s="8" t="s">
        <v>267</v>
      </c>
      <c r="J296" s="108" t="s">
        <v>1110</v>
      </c>
      <c r="K296" s="57">
        <v>30</v>
      </c>
      <c r="L296" s="58">
        <v>30</v>
      </c>
    </row>
    <row r="297" spans="1:12" s="9" customFormat="1" ht="15">
      <c r="A297" s="105">
        <v>289</v>
      </c>
      <c r="B297" s="106" t="s">
        <v>1896</v>
      </c>
      <c r="C297" s="106"/>
      <c r="D297" s="8" t="s">
        <v>2236</v>
      </c>
      <c r="E297" s="189" t="s">
        <v>681</v>
      </c>
      <c r="F297" s="106"/>
      <c r="G297" s="106" t="s">
        <v>2020</v>
      </c>
      <c r="H297" s="107">
        <v>5110</v>
      </c>
      <c r="I297" s="8" t="s">
        <v>267</v>
      </c>
      <c r="J297" s="108" t="s">
        <v>1110</v>
      </c>
      <c r="K297" s="57">
        <v>30</v>
      </c>
      <c r="L297" s="58">
        <v>30</v>
      </c>
    </row>
    <row r="298" spans="1:12" s="9" customFormat="1" ht="15">
      <c r="A298" s="105">
        <v>290</v>
      </c>
      <c r="B298" s="106" t="s">
        <v>1896</v>
      </c>
      <c r="C298" s="106"/>
      <c r="D298" s="8" t="s">
        <v>2237</v>
      </c>
      <c r="E298" s="189" t="s">
        <v>681</v>
      </c>
      <c r="F298" s="106"/>
      <c r="G298" s="106" t="s">
        <v>2021</v>
      </c>
      <c r="H298" s="107">
        <v>5110</v>
      </c>
      <c r="I298" s="8" t="s">
        <v>267</v>
      </c>
      <c r="J298" s="108" t="s">
        <v>1110</v>
      </c>
      <c r="K298" s="57">
        <v>30</v>
      </c>
      <c r="L298" s="58">
        <v>30</v>
      </c>
    </row>
    <row r="299" spans="1:12" s="9" customFormat="1" ht="15">
      <c r="A299" s="105">
        <v>291</v>
      </c>
      <c r="B299" s="106" t="s">
        <v>1896</v>
      </c>
      <c r="C299" s="106"/>
      <c r="D299" s="8" t="s">
        <v>2238</v>
      </c>
      <c r="E299" s="189" t="s">
        <v>681</v>
      </c>
      <c r="F299" s="106"/>
      <c r="G299" s="106" t="s">
        <v>2022</v>
      </c>
      <c r="H299" s="107">
        <v>5110</v>
      </c>
      <c r="I299" s="8" t="s">
        <v>267</v>
      </c>
      <c r="J299" s="108" t="s">
        <v>1110</v>
      </c>
      <c r="K299" s="57">
        <v>30</v>
      </c>
      <c r="L299" s="58">
        <v>30</v>
      </c>
    </row>
    <row r="300" spans="1:12" s="9" customFormat="1" ht="15">
      <c r="A300" s="105">
        <v>292</v>
      </c>
      <c r="B300" s="106" t="s">
        <v>1896</v>
      </c>
      <c r="C300" s="106"/>
      <c r="D300" s="8" t="s">
        <v>2239</v>
      </c>
      <c r="E300" s="189" t="s">
        <v>681</v>
      </c>
      <c r="F300" s="106"/>
      <c r="G300" s="106" t="s">
        <v>2023</v>
      </c>
      <c r="H300" s="107">
        <v>5110</v>
      </c>
      <c r="I300" s="8" t="s">
        <v>267</v>
      </c>
      <c r="J300" s="108" t="s">
        <v>1110</v>
      </c>
      <c r="K300" s="57">
        <v>30</v>
      </c>
      <c r="L300" s="58">
        <v>30</v>
      </c>
    </row>
    <row r="301" spans="1:12" s="9" customFormat="1" ht="15">
      <c r="A301" s="105">
        <v>293</v>
      </c>
      <c r="B301" s="106" t="s">
        <v>1896</v>
      </c>
      <c r="C301" s="106"/>
      <c r="D301" s="8" t="s">
        <v>2240</v>
      </c>
      <c r="E301" s="189" t="s">
        <v>681</v>
      </c>
      <c r="F301" s="106"/>
      <c r="G301" s="106" t="s">
        <v>2024</v>
      </c>
      <c r="H301" s="107">
        <v>5110</v>
      </c>
      <c r="I301" s="8" t="s">
        <v>267</v>
      </c>
      <c r="J301" s="108" t="s">
        <v>1110</v>
      </c>
      <c r="K301" s="57">
        <v>30</v>
      </c>
      <c r="L301" s="58">
        <v>30</v>
      </c>
    </row>
    <row r="302" spans="1:12" s="9" customFormat="1" ht="15">
      <c r="A302" s="105">
        <v>294</v>
      </c>
      <c r="B302" s="106" t="s">
        <v>1896</v>
      </c>
      <c r="C302" s="106"/>
      <c r="D302" s="8" t="s">
        <v>2241</v>
      </c>
      <c r="E302" s="189" t="s">
        <v>681</v>
      </c>
      <c r="F302" s="106"/>
      <c r="G302" s="106" t="s">
        <v>2025</v>
      </c>
      <c r="H302" s="107">
        <v>5110</v>
      </c>
      <c r="I302" s="8" t="s">
        <v>267</v>
      </c>
      <c r="J302" s="108" t="s">
        <v>1110</v>
      </c>
      <c r="K302" s="57">
        <v>30</v>
      </c>
      <c r="L302" s="58">
        <v>30</v>
      </c>
    </row>
    <row r="303" spans="1:12" s="9" customFormat="1" ht="15">
      <c r="A303" s="105">
        <v>295</v>
      </c>
      <c r="B303" s="106" t="s">
        <v>1896</v>
      </c>
      <c r="C303" s="106"/>
      <c r="D303" s="8" t="s">
        <v>2242</v>
      </c>
      <c r="E303" s="189" t="s">
        <v>681</v>
      </c>
      <c r="F303" s="106"/>
      <c r="G303" s="106" t="s">
        <v>2026</v>
      </c>
      <c r="H303" s="107">
        <v>5110</v>
      </c>
      <c r="I303" s="8" t="s">
        <v>267</v>
      </c>
      <c r="J303" s="108" t="s">
        <v>1110</v>
      </c>
      <c r="K303" s="57">
        <v>30</v>
      </c>
      <c r="L303" s="58">
        <v>30</v>
      </c>
    </row>
    <row r="304" spans="1:12" s="9" customFormat="1" ht="15">
      <c r="A304" s="105">
        <v>296</v>
      </c>
      <c r="B304" s="106" t="s">
        <v>1896</v>
      </c>
      <c r="C304" s="106"/>
      <c r="D304" s="8" t="s">
        <v>1350</v>
      </c>
      <c r="E304" s="189" t="s">
        <v>681</v>
      </c>
      <c r="F304" s="106"/>
      <c r="G304" s="106" t="s">
        <v>2026</v>
      </c>
      <c r="H304" s="107">
        <v>5110</v>
      </c>
      <c r="I304" s="8" t="s">
        <v>267</v>
      </c>
      <c r="J304" s="108" t="s">
        <v>1110</v>
      </c>
      <c r="K304" s="57">
        <v>30</v>
      </c>
      <c r="L304" s="58">
        <v>30</v>
      </c>
    </row>
    <row r="305" spans="1:12" s="9" customFormat="1" ht="15">
      <c r="A305" s="105">
        <v>297</v>
      </c>
      <c r="B305" s="106" t="s">
        <v>1896</v>
      </c>
      <c r="C305" s="106"/>
      <c r="D305" s="8" t="s">
        <v>2243</v>
      </c>
      <c r="E305" s="189" t="s">
        <v>681</v>
      </c>
      <c r="F305" s="106"/>
      <c r="G305" s="106" t="s">
        <v>1086</v>
      </c>
      <c r="H305" s="107">
        <v>5110</v>
      </c>
      <c r="I305" s="8" t="s">
        <v>267</v>
      </c>
      <c r="J305" s="108" t="s">
        <v>1110</v>
      </c>
      <c r="K305" s="57">
        <v>30</v>
      </c>
      <c r="L305" s="58">
        <v>30</v>
      </c>
    </row>
    <row r="306" spans="1:12" s="9" customFormat="1" ht="15">
      <c r="A306" s="105">
        <v>298</v>
      </c>
      <c r="B306" s="106" t="s">
        <v>1896</v>
      </c>
      <c r="C306" s="106"/>
      <c r="D306" s="8" t="s">
        <v>2244</v>
      </c>
      <c r="E306" s="189" t="s">
        <v>681</v>
      </c>
      <c r="F306" s="106"/>
      <c r="G306" s="106" t="s">
        <v>2027</v>
      </c>
      <c r="H306" s="107">
        <v>5110</v>
      </c>
      <c r="I306" s="8" t="s">
        <v>267</v>
      </c>
      <c r="J306" s="108" t="s">
        <v>1110</v>
      </c>
      <c r="K306" s="57">
        <v>30</v>
      </c>
      <c r="L306" s="58">
        <v>30</v>
      </c>
    </row>
    <row r="307" spans="1:12" s="9" customFormat="1" ht="15">
      <c r="A307" s="105">
        <v>299</v>
      </c>
      <c r="B307" s="106" t="s">
        <v>1896</v>
      </c>
      <c r="C307" s="106"/>
      <c r="D307" s="8" t="s">
        <v>2245</v>
      </c>
      <c r="E307" s="189" t="s">
        <v>681</v>
      </c>
      <c r="F307" s="106"/>
      <c r="G307" s="106" t="s">
        <v>2028</v>
      </c>
      <c r="H307" s="107">
        <v>5110</v>
      </c>
      <c r="I307" s="8" t="s">
        <v>267</v>
      </c>
      <c r="J307" s="108" t="s">
        <v>1110</v>
      </c>
      <c r="K307" s="57">
        <v>30</v>
      </c>
      <c r="L307" s="58">
        <v>30</v>
      </c>
    </row>
    <row r="308" spans="1:12" s="9" customFormat="1" ht="15">
      <c r="A308" s="105">
        <v>300</v>
      </c>
      <c r="B308" s="106" t="s">
        <v>1896</v>
      </c>
      <c r="C308" s="106"/>
      <c r="D308" s="8" t="s">
        <v>2246</v>
      </c>
      <c r="E308" s="189" t="s">
        <v>681</v>
      </c>
      <c r="F308" s="106"/>
      <c r="G308" s="106" t="s">
        <v>2029</v>
      </c>
      <c r="H308" s="107">
        <v>5110</v>
      </c>
      <c r="I308" s="8" t="s">
        <v>267</v>
      </c>
      <c r="J308" s="108" t="s">
        <v>1110</v>
      </c>
      <c r="K308" s="57">
        <v>30</v>
      </c>
      <c r="L308" s="58">
        <v>30</v>
      </c>
    </row>
    <row r="309" spans="1:12" s="9" customFormat="1" ht="15">
      <c r="A309" s="105">
        <v>301</v>
      </c>
      <c r="B309" s="106" t="s">
        <v>1896</v>
      </c>
      <c r="C309" s="106"/>
      <c r="D309" s="8" t="s">
        <v>2247</v>
      </c>
      <c r="E309" s="189" t="s">
        <v>681</v>
      </c>
      <c r="F309" s="106"/>
      <c r="G309" s="106" t="s">
        <v>2030</v>
      </c>
      <c r="H309" s="107">
        <v>5110</v>
      </c>
      <c r="I309" s="8" t="s">
        <v>267</v>
      </c>
      <c r="J309" s="108" t="s">
        <v>1110</v>
      </c>
      <c r="K309" s="57">
        <v>30</v>
      </c>
      <c r="L309" s="58">
        <v>30</v>
      </c>
    </row>
    <row r="310" spans="1:12" s="9" customFormat="1" ht="15">
      <c r="A310" s="105">
        <v>302</v>
      </c>
      <c r="B310" s="106" t="s">
        <v>1896</v>
      </c>
      <c r="C310" s="106"/>
      <c r="D310" s="8" t="s">
        <v>2248</v>
      </c>
      <c r="E310" s="189" t="s">
        <v>681</v>
      </c>
      <c r="F310" s="106"/>
      <c r="G310" s="106" t="s">
        <v>2031</v>
      </c>
      <c r="H310" s="107">
        <v>5110</v>
      </c>
      <c r="I310" s="8" t="s">
        <v>267</v>
      </c>
      <c r="J310" s="108" t="s">
        <v>1110</v>
      </c>
      <c r="K310" s="57">
        <v>30</v>
      </c>
      <c r="L310" s="58">
        <v>30</v>
      </c>
    </row>
    <row r="311" spans="1:12" s="9" customFormat="1" ht="15">
      <c r="A311" s="105">
        <v>303</v>
      </c>
      <c r="B311" s="106" t="s">
        <v>1896</v>
      </c>
      <c r="C311" s="106"/>
      <c r="D311" s="8" t="s">
        <v>2249</v>
      </c>
      <c r="E311" s="189" t="s">
        <v>681</v>
      </c>
      <c r="F311" s="106"/>
      <c r="G311" s="106" t="s">
        <v>2032</v>
      </c>
      <c r="H311" s="107">
        <v>5110</v>
      </c>
      <c r="I311" s="8" t="s">
        <v>267</v>
      </c>
      <c r="J311" s="108" t="s">
        <v>1110</v>
      </c>
      <c r="K311" s="57">
        <v>30</v>
      </c>
      <c r="L311" s="58">
        <v>30</v>
      </c>
    </row>
    <row r="312" spans="1:12" s="9" customFormat="1" ht="15">
      <c r="A312" s="105">
        <v>304</v>
      </c>
      <c r="B312" s="106" t="s">
        <v>1896</v>
      </c>
      <c r="C312" s="106"/>
      <c r="D312" s="8" t="s">
        <v>2250</v>
      </c>
      <c r="E312" s="189" t="s">
        <v>681</v>
      </c>
      <c r="F312" s="106"/>
      <c r="G312" s="106" t="s">
        <v>1070</v>
      </c>
      <c r="H312" s="107">
        <v>5110</v>
      </c>
      <c r="I312" s="8" t="s">
        <v>267</v>
      </c>
      <c r="J312" s="108" t="s">
        <v>1110</v>
      </c>
      <c r="K312" s="57">
        <v>30</v>
      </c>
      <c r="L312" s="58">
        <v>30</v>
      </c>
    </row>
    <row r="313" spans="1:12" s="9" customFormat="1" ht="15">
      <c r="A313" s="105">
        <v>305</v>
      </c>
      <c r="B313" s="106" t="s">
        <v>1896</v>
      </c>
      <c r="C313" s="106"/>
      <c r="D313" s="8" t="s">
        <v>2251</v>
      </c>
      <c r="E313" s="189" t="s">
        <v>681</v>
      </c>
      <c r="F313" s="106"/>
      <c r="G313" s="106" t="s">
        <v>1071</v>
      </c>
      <c r="H313" s="107">
        <v>5110</v>
      </c>
      <c r="I313" s="8" t="s">
        <v>267</v>
      </c>
      <c r="J313" s="108" t="s">
        <v>1110</v>
      </c>
      <c r="K313" s="57">
        <v>30</v>
      </c>
      <c r="L313" s="58">
        <v>30</v>
      </c>
    </row>
    <row r="314" spans="1:12" s="9" customFormat="1" ht="15">
      <c r="A314" s="105">
        <v>306</v>
      </c>
      <c r="B314" s="106" t="s">
        <v>1896</v>
      </c>
      <c r="C314" s="106"/>
      <c r="D314" s="8" t="s">
        <v>2252</v>
      </c>
      <c r="E314" s="189" t="s">
        <v>681</v>
      </c>
      <c r="F314" s="106"/>
      <c r="G314" s="106" t="s">
        <v>1072</v>
      </c>
      <c r="H314" s="107">
        <v>5110</v>
      </c>
      <c r="I314" s="8" t="s">
        <v>267</v>
      </c>
      <c r="J314" s="108" t="s">
        <v>1110</v>
      </c>
      <c r="K314" s="57">
        <v>30</v>
      </c>
      <c r="L314" s="58">
        <v>30</v>
      </c>
    </row>
    <row r="315" spans="1:12" s="9" customFormat="1" ht="15">
      <c r="A315" s="105">
        <v>307</v>
      </c>
      <c r="B315" s="106" t="s">
        <v>1896</v>
      </c>
      <c r="C315" s="106"/>
      <c r="D315" s="8" t="s">
        <v>1351</v>
      </c>
      <c r="E315" s="189" t="s">
        <v>681</v>
      </c>
      <c r="F315" s="106"/>
      <c r="G315" s="106" t="s">
        <v>1072</v>
      </c>
      <c r="H315" s="107">
        <v>5110</v>
      </c>
      <c r="I315" s="8" t="s">
        <v>267</v>
      </c>
      <c r="J315" s="108" t="s">
        <v>1110</v>
      </c>
      <c r="K315" s="57">
        <v>30</v>
      </c>
      <c r="L315" s="58">
        <v>30</v>
      </c>
    </row>
    <row r="316" spans="1:12" s="9" customFormat="1" ht="15">
      <c r="A316" s="105">
        <v>308</v>
      </c>
      <c r="B316" s="106" t="s">
        <v>1896</v>
      </c>
      <c r="C316" s="106"/>
      <c r="D316" s="8" t="s">
        <v>2253</v>
      </c>
      <c r="E316" s="189" t="s">
        <v>681</v>
      </c>
      <c r="F316" s="106"/>
      <c r="G316" s="106" t="s">
        <v>1073</v>
      </c>
      <c r="H316" s="107">
        <v>5110</v>
      </c>
      <c r="I316" s="8" t="s">
        <v>267</v>
      </c>
      <c r="J316" s="108" t="s">
        <v>1110</v>
      </c>
      <c r="K316" s="57">
        <v>30</v>
      </c>
      <c r="L316" s="58">
        <v>30</v>
      </c>
    </row>
    <row r="317" spans="1:12" s="9" customFormat="1" ht="15">
      <c r="A317" s="105">
        <v>309</v>
      </c>
      <c r="B317" s="106" t="s">
        <v>1896</v>
      </c>
      <c r="C317" s="106"/>
      <c r="D317" s="8" t="s">
        <v>1349</v>
      </c>
      <c r="E317" s="189" t="s">
        <v>681</v>
      </c>
      <c r="F317" s="106"/>
      <c r="G317" s="106" t="s">
        <v>1073</v>
      </c>
      <c r="H317" s="107">
        <v>5110</v>
      </c>
      <c r="I317" s="8" t="s">
        <v>267</v>
      </c>
      <c r="J317" s="108" t="s">
        <v>1110</v>
      </c>
      <c r="K317" s="57">
        <v>30</v>
      </c>
      <c r="L317" s="58">
        <v>30</v>
      </c>
    </row>
    <row r="318" spans="1:12" s="9" customFormat="1" ht="15">
      <c r="A318" s="105">
        <v>310</v>
      </c>
      <c r="B318" s="106" t="s">
        <v>1896</v>
      </c>
      <c r="C318" s="106"/>
      <c r="D318" s="8" t="s">
        <v>2254</v>
      </c>
      <c r="E318" s="189" t="s">
        <v>681</v>
      </c>
      <c r="F318" s="106"/>
      <c r="G318" s="106" t="s">
        <v>1074</v>
      </c>
      <c r="H318" s="107">
        <v>5110</v>
      </c>
      <c r="I318" s="8" t="s">
        <v>267</v>
      </c>
      <c r="J318" s="108" t="s">
        <v>1110</v>
      </c>
      <c r="K318" s="57">
        <v>30</v>
      </c>
      <c r="L318" s="58">
        <v>30</v>
      </c>
    </row>
    <row r="319" spans="1:12" s="9" customFormat="1" ht="15">
      <c r="A319" s="105">
        <v>311</v>
      </c>
      <c r="B319" s="106" t="s">
        <v>1896</v>
      </c>
      <c r="C319" s="106"/>
      <c r="D319" s="8" t="s">
        <v>2255</v>
      </c>
      <c r="E319" s="189" t="s">
        <v>681</v>
      </c>
      <c r="F319" s="106"/>
      <c r="G319" s="106" t="s">
        <v>1075</v>
      </c>
      <c r="H319" s="107">
        <v>5110</v>
      </c>
      <c r="I319" s="8" t="s">
        <v>267</v>
      </c>
      <c r="J319" s="108" t="s">
        <v>1110</v>
      </c>
      <c r="K319" s="57">
        <v>30</v>
      </c>
      <c r="L319" s="58">
        <v>30</v>
      </c>
    </row>
    <row r="320" spans="1:12" s="9" customFormat="1" ht="15">
      <c r="A320" s="105">
        <v>312</v>
      </c>
      <c r="B320" s="106" t="s">
        <v>1896</v>
      </c>
      <c r="C320" s="106"/>
      <c r="D320" s="8" t="s">
        <v>2256</v>
      </c>
      <c r="E320" s="189" t="s">
        <v>681</v>
      </c>
      <c r="F320" s="106"/>
      <c r="G320" s="106" t="s">
        <v>1077</v>
      </c>
      <c r="H320" s="107">
        <v>5110</v>
      </c>
      <c r="I320" s="8" t="s">
        <v>267</v>
      </c>
      <c r="J320" s="108" t="s">
        <v>1110</v>
      </c>
      <c r="K320" s="57">
        <v>30</v>
      </c>
      <c r="L320" s="58">
        <v>30</v>
      </c>
    </row>
    <row r="321" spans="1:12" s="9" customFormat="1" ht="15">
      <c r="A321" s="105">
        <v>313</v>
      </c>
      <c r="B321" s="106" t="s">
        <v>1896</v>
      </c>
      <c r="C321" s="106"/>
      <c r="D321" s="8" t="s">
        <v>2257</v>
      </c>
      <c r="E321" s="189" t="s">
        <v>681</v>
      </c>
      <c r="F321" s="106"/>
      <c r="G321" s="106" t="s">
        <v>1076</v>
      </c>
      <c r="H321" s="107">
        <v>5110</v>
      </c>
      <c r="I321" s="8" t="s">
        <v>267</v>
      </c>
      <c r="J321" s="108" t="s">
        <v>1110</v>
      </c>
      <c r="K321" s="57">
        <v>30</v>
      </c>
      <c r="L321" s="58">
        <v>30</v>
      </c>
    </row>
    <row r="322" spans="1:12" s="9" customFormat="1" ht="15">
      <c r="A322" s="105">
        <v>314</v>
      </c>
      <c r="B322" s="106" t="s">
        <v>1896</v>
      </c>
      <c r="C322" s="106"/>
      <c r="D322" s="8" t="s">
        <v>2258</v>
      </c>
      <c r="E322" s="189" t="s">
        <v>681</v>
      </c>
      <c r="F322" s="106"/>
      <c r="G322" s="106" t="s">
        <v>1085</v>
      </c>
      <c r="H322" s="107">
        <v>5110</v>
      </c>
      <c r="I322" s="8" t="s">
        <v>267</v>
      </c>
      <c r="J322" s="108" t="s">
        <v>1110</v>
      </c>
      <c r="K322" s="57">
        <v>30</v>
      </c>
      <c r="L322" s="58">
        <v>30</v>
      </c>
    </row>
    <row r="323" spans="1:12" s="9" customFormat="1" ht="15">
      <c r="A323" s="105">
        <v>315</v>
      </c>
      <c r="B323" s="106" t="s">
        <v>1896</v>
      </c>
      <c r="C323" s="106"/>
      <c r="D323" s="8" t="s">
        <v>2259</v>
      </c>
      <c r="E323" s="189" t="s">
        <v>681</v>
      </c>
      <c r="F323" s="106"/>
      <c r="G323" s="106" t="s">
        <v>1078</v>
      </c>
      <c r="H323" s="107">
        <v>5110</v>
      </c>
      <c r="I323" s="8" t="s">
        <v>267</v>
      </c>
      <c r="J323" s="108" t="s">
        <v>1110</v>
      </c>
      <c r="K323" s="57">
        <v>30</v>
      </c>
      <c r="L323" s="58">
        <v>30</v>
      </c>
    </row>
    <row r="324" spans="1:12" s="9" customFormat="1" ht="15">
      <c r="A324" s="105">
        <v>316</v>
      </c>
      <c r="B324" s="106" t="s">
        <v>1897</v>
      </c>
      <c r="C324" s="106"/>
      <c r="D324" s="8" t="s">
        <v>2260</v>
      </c>
      <c r="E324" s="189" t="s">
        <v>681</v>
      </c>
      <c r="F324" s="106"/>
      <c r="G324" s="106" t="s">
        <v>397</v>
      </c>
      <c r="H324" s="107">
        <v>5110</v>
      </c>
      <c r="I324" s="8" t="s">
        <v>267</v>
      </c>
      <c r="J324" s="108" t="s">
        <v>1110</v>
      </c>
      <c r="K324" s="57">
        <v>30</v>
      </c>
      <c r="L324" s="58">
        <v>30</v>
      </c>
    </row>
    <row r="325" spans="1:12" s="9" customFormat="1" ht="15">
      <c r="A325" s="105">
        <v>317</v>
      </c>
      <c r="B325" s="106" t="s">
        <v>1897</v>
      </c>
      <c r="C325" s="106"/>
      <c r="D325" s="8" t="s">
        <v>2261</v>
      </c>
      <c r="E325" s="189" t="s">
        <v>681</v>
      </c>
      <c r="F325" s="106"/>
      <c r="G325" s="106" t="s">
        <v>398</v>
      </c>
      <c r="H325" s="107">
        <v>5110</v>
      </c>
      <c r="I325" s="8" t="s">
        <v>267</v>
      </c>
      <c r="J325" s="108" t="s">
        <v>1110</v>
      </c>
      <c r="K325" s="57">
        <v>30</v>
      </c>
      <c r="L325" s="58">
        <v>30</v>
      </c>
    </row>
    <row r="326" spans="1:12" s="9" customFormat="1" ht="15">
      <c r="A326" s="105">
        <v>318</v>
      </c>
      <c r="B326" s="106" t="s">
        <v>1897</v>
      </c>
      <c r="C326" s="106"/>
      <c r="D326" s="8" t="s">
        <v>2262</v>
      </c>
      <c r="E326" s="189" t="s">
        <v>681</v>
      </c>
      <c r="F326" s="106"/>
      <c r="G326" s="106" t="s">
        <v>399</v>
      </c>
      <c r="H326" s="107">
        <v>5110</v>
      </c>
      <c r="I326" s="8" t="s">
        <v>267</v>
      </c>
      <c r="J326" s="108" t="s">
        <v>1110</v>
      </c>
      <c r="K326" s="57">
        <v>30</v>
      </c>
      <c r="L326" s="58">
        <v>30</v>
      </c>
    </row>
    <row r="327" spans="1:12" s="9" customFormat="1" ht="15">
      <c r="A327" s="105">
        <v>319</v>
      </c>
      <c r="B327" s="106" t="s">
        <v>1896</v>
      </c>
      <c r="C327" s="106"/>
      <c r="D327" s="8" t="s">
        <v>1079</v>
      </c>
      <c r="E327" s="189" t="s">
        <v>681</v>
      </c>
      <c r="F327" s="106"/>
      <c r="G327" s="106" t="s">
        <v>1079</v>
      </c>
      <c r="H327" s="107">
        <v>5110</v>
      </c>
      <c r="I327" s="8" t="s">
        <v>267</v>
      </c>
      <c r="J327" s="108" t="s">
        <v>1110</v>
      </c>
      <c r="K327" s="57">
        <v>30</v>
      </c>
      <c r="L327" s="58">
        <v>30</v>
      </c>
    </row>
    <row r="328" spans="1:12" s="9" customFormat="1" ht="15">
      <c r="A328" s="105">
        <v>320</v>
      </c>
      <c r="B328" s="106" t="s">
        <v>1897</v>
      </c>
      <c r="C328" s="106"/>
      <c r="D328" s="8" t="s">
        <v>2263</v>
      </c>
      <c r="E328" s="189" t="s">
        <v>681</v>
      </c>
      <c r="F328" s="106"/>
      <c r="G328" s="106" t="s">
        <v>400</v>
      </c>
      <c r="H328" s="107">
        <v>5110</v>
      </c>
      <c r="I328" s="8" t="s">
        <v>267</v>
      </c>
      <c r="J328" s="108" t="s">
        <v>1110</v>
      </c>
      <c r="K328" s="57">
        <v>30</v>
      </c>
      <c r="L328" s="58">
        <v>30</v>
      </c>
    </row>
    <row r="329" spans="1:12" s="9" customFormat="1" ht="15">
      <c r="A329" s="105">
        <v>321</v>
      </c>
      <c r="B329" s="106" t="s">
        <v>1897</v>
      </c>
      <c r="C329" s="106"/>
      <c r="D329" s="8" t="s">
        <v>2264</v>
      </c>
      <c r="E329" s="189" t="s">
        <v>681</v>
      </c>
      <c r="F329" s="106"/>
      <c r="G329" s="106" t="s">
        <v>401</v>
      </c>
      <c r="H329" s="107">
        <v>5110</v>
      </c>
      <c r="I329" s="8" t="s">
        <v>267</v>
      </c>
      <c r="J329" s="108" t="s">
        <v>1110</v>
      </c>
      <c r="K329" s="57">
        <v>30</v>
      </c>
      <c r="L329" s="58">
        <v>30</v>
      </c>
    </row>
    <row r="330" spans="1:12" s="9" customFormat="1" ht="15">
      <c r="A330" s="105">
        <v>322</v>
      </c>
      <c r="B330" s="106" t="s">
        <v>1897</v>
      </c>
      <c r="C330" s="106"/>
      <c r="D330" s="8" t="s">
        <v>2265</v>
      </c>
      <c r="E330" s="189" t="s">
        <v>681</v>
      </c>
      <c r="F330" s="106"/>
      <c r="G330" s="106" t="s">
        <v>402</v>
      </c>
      <c r="H330" s="107">
        <v>5110</v>
      </c>
      <c r="I330" s="8" t="s">
        <v>267</v>
      </c>
      <c r="J330" s="108" t="s">
        <v>1110</v>
      </c>
      <c r="K330" s="57">
        <v>30</v>
      </c>
      <c r="L330" s="58">
        <v>30</v>
      </c>
    </row>
    <row r="331" spans="1:12" s="9" customFormat="1" ht="15">
      <c r="A331" s="105">
        <v>323</v>
      </c>
      <c r="B331" s="106" t="s">
        <v>1897</v>
      </c>
      <c r="C331" s="106"/>
      <c r="D331" s="8" t="s">
        <v>2266</v>
      </c>
      <c r="E331" s="189" t="s">
        <v>681</v>
      </c>
      <c r="F331" s="106"/>
      <c r="G331" s="106" t="s">
        <v>403</v>
      </c>
      <c r="H331" s="107">
        <v>5110</v>
      </c>
      <c r="I331" s="8" t="s">
        <v>267</v>
      </c>
      <c r="J331" s="108" t="s">
        <v>1110</v>
      </c>
      <c r="K331" s="57">
        <v>30</v>
      </c>
      <c r="L331" s="58">
        <v>30</v>
      </c>
    </row>
    <row r="332" spans="1:12" s="9" customFormat="1" ht="15">
      <c r="A332" s="105">
        <v>324</v>
      </c>
      <c r="B332" s="106" t="s">
        <v>1897</v>
      </c>
      <c r="C332" s="106"/>
      <c r="D332" s="8" t="s">
        <v>2267</v>
      </c>
      <c r="E332" s="189" t="s">
        <v>681</v>
      </c>
      <c r="F332" s="106"/>
      <c r="G332" s="106" t="s">
        <v>404</v>
      </c>
      <c r="H332" s="107">
        <v>5110</v>
      </c>
      <c r="I332" s="8" t="s">
        <v>267</v>
      </c>
      <c r="J332" s="108" t="s">
        <v>1110</v>
      </c>
      <c r="K332" s="57">
        <v>30</v>
      </c>
      <c r="L332" s="58">
        <v>30</v>
      </c>
    </row>
    <row r="333" spans="1:12" s="9" customFormat="1" ht="15">
      <c r="A333" s="105">
        <v>325</v>
      </c>
      <c r="B333" s="106" t="s">
        <v>1897</v>
      </c>
      <c r="C333" s="106"/>
      <c r="D333" s="8" t="s">
        <v>2268</v>
      </c>
      <c r="E333" s="189" t="s">
        <v>681</v>
      </c>
      <c r="F333" s="106"/>
      <c r="G333" s="106" t="s">
        <v>405</v>
      </c>
      <c r="H333" s="107">
        <v>5110</v>
      </c>
      <c r="I333" s="8" t="s">
        <v>267</v>
      </c>
      <c r="J333" s="108" t="s">
        <v>1110</v>
      </c>
      <c r="K333" s="57">
        <v>30</v>
      </c>
      <c r="L333" s="58">
        <v>30</v>
      </c>
    </row>
    <row r="334" spans="1:12" s="9" customFormat="1" ht="15">
      <c r="A334" s="105">
        <v>326</v>
      </c>
      <c r="B334" s="106" t="s">
        <v>1897</v>
      </c>
      <c r="C334" s="106"/>
      <c r="D334" s="8" t="s">
        <v>2269</v>
      </c>
      <c r="E334" s="189" t="s">
        <v>681</v>
      </c>
      <c r="F334" s="106"/>
      <c r="G334" s="106" t="s">
        <v>406</v>
      </c>
      <c r="H334" s="107">
        <v>5110</v>
      </c>
      <c r="I334" s="8" t="s">
        <v>267</v>
      </c>
      <c r="J334" s="108" t="s">
        <v>1110</v>
      </c>
      <c r="K334" s="57">
        <v>30</v>
      </c>
      <c r="L334" s="58">
        <v>30</v>
      </c>
    </row>
    <row r="335" spans="1:12" s="9" customFormat="1" ht="15">
      <c r="A335" s="105">
        <v>327</v>
      </c>
      <c r="B335" s="106" t="s">
        <v>1897</v>
      </c>
      <c r="C335" s="106"/>
      <c r="D335" s="8" t="s">
        <v>2270</v>
      </c>
      <c r="E335" s="189" t="s">
        <v>681</v>
      </c>
      <c r="F335" s="106"/>
      <c r="G335" s="106" t="s">
        <v>407</v>
      </c>
      <c r="H335" s="107">
        <v>5110</v>
      </c>
      <c r="I335" s="8" t="s">
        <v>267</v>
      </c>
      <c r="J335" s="108" t="s">
        <v>1110</v>
      </c>
      <c r="K335" s="57">
        <v>30</v>
      </c>
      <c r="L335" s="58">
        <v>30</v>
      </c>
    </row>
    <row r="336" spans="1:12" s="9" customFormat="1" ht="15">
      <c r="A336" s="105">
        <v>328</v>
      </c>
      <c r="B336" s="106" t="s">
        <v>1897</v>
      </c>
      <c r="C336" s="106"/>
      <c r="D336" s="8" t="s">
        <v>2271</v>
      </c>
      <c r="E336" s="189" t="s">
        <v>681</v>
      </c>
      <c r="F336" s="106"/>
      <c r="G336" s="106" t="s">
        <v>408</v>
      </c>
      <c r="H336" s="107">
        <v>5110</v>
      </c>
      <c r="I336" s="8" t="s">
        <v>267</v>
      </c>
      <c r="J336" s="108" t="s">
        <v>1110</v>
      </c>
      <c r="K336" s="57">
        <v>30</v>
      </c>
      <c r="L336" s="58">
        <v>30</v>
      </c>
    </row>
    <row r="337" spans="1:12" s="9" customFormat="1" ht="15">
      <c r="A337" s="105">
        <v>329</v>
      </c>
      <c r="B337" s="106" t="s">
        <v>1897</v>
      </c>
      <c r="C337" s="106"/>
      <c r="D337" s="8" t="s">
        <v>2272</v>
      </c>
      <c r="E337" s="189" t="s">
        <v>681</v>
      </c>
      <c r="F337" s="106"/>
      <c r="G337" s="106" t="s">
        <v>409</v>
      </c>
      <c r="H337" s="107">
        <v>5110</v>
      </c>
      <c r="I337" s="8" t="s">
        <v>267</v>
      </c>
      <c r="J337" s="108" t="s">
        <v>1110</v>
      </c>
      <c r="K337" s="57">
        <v>30</v>
      </c>
      <c r="L337" s="58">
        <v>30</v>
      </c>
    </row>
    <row r="338" spans="1:12" s="9" customFormat="1" ht="15">
      <c r="A338" s="105">
        <v>330</v>
      </c>
      <c r="B338" s="106" t="s">
        <v>1896</v>
      </c>
      <c r="C338" s="106"/>
      <c r="D338" s="8" t="s">
        <v>2354</v>
      </c>
      <c r="E338" s="189" t="s">
        <v>1972</v>
      </c>
      <c r="F338" s="107"/>
      <c r="G338" s="107" t="s">
        <v>395</v>
      </c>
      <c r="H338" s="107">
        <v>5110</v>
      </c>
      <c r="I338" s="8" t="s">
        <v>267</v>
      </c>
      <c r="J338" s="108" t="s">
        <v>1110</v>
      </c>
      <c r="K338" s="57">
        <v>30</v>
      </c>
      <c r="L338" s="58">
        <v>30</v>
      </c>
    </row>
    <row r="339" spans="1:12" s="9" customFormat="1" ht="15">
      <c r="A339" s="105">
        <v>331</v>
      </c>
      <c r="B339" s="106" t="s">
        <v>1896</v>
      </c>
      <c r="C339" s="106"/>
      <c r="D339" s="8" t="s">
        <v>2355</v>
      </c>
      <c r="E339" s="189" t="s">
        <v>1972</v>
      </c>
      <c r="F339" s="107"/>
      <c r="G339" s="107" t="s">
        <v>1971</v>
      </c>
      <c r="H339" s="107">
        <v>5110</v>
      </c>
      <c r="I339" s="8" t="s">
        <v>267</v>
      </c>
      <c r="J339" s="108" t="s">
        <v>1110</v>
      </c>
      <c r="K339" s="57">
        <v>30</v>
      </c>
      <c r="L339" s="58">
        <v>30</v>
      </c>
    </row>
    <row r="340" spans="1:12" s="9" customFormat="1" ht="15">
      <c r="A340" s="105">
        <v>332</v>
      </c>
      <c r="B340" s="106" t="s">
        <v>1896</v>
      </c>
      <c r="C340" s="106"/>
      <c r="D340" s="8" t="s">
        <v>2356</v>
      </c>
      <c r="E340" s="189" t="s">
        <v>1975</v>
      </c>
      <c r="F340" s="107"/>
      <c r="G340" s="107" t="s">
        <v>396</v>
      </c>
      <c r="H340" s="107">
        <v>5110</v>
      </c>
      <c r="I340" s="8" t="s">
        <v>267</v>
      </c>
      <c r="J340" s="108" t="s">
        <v>1110</v>
      </c>
      <c r="K340" s="57">
        <v>30</v>
      </c>
      <c r="L340" s="58">
        <v>30</v>
      </c>
    </row>
    <row r="341" spans="1:12" s="9" customFormat="1" ht="15">
      <c r="A341" s="105">
        <v>333</v>
      </c>
      <c r="B341" s="106" t="s">
        <v>1896</v>
      </c>
      <c r="C341" s="106"/>
      <c r="D341" s="8" t="s">
        <v>2357</v>
      </c>
      <c r="E341" s="189" t="s">
        <v>1975</v>
      </c>
      <c r="F341" s="107"/>
      <c r="G341" s="107" t="s">
        <v>1973</v>
      </c>
      <c r="H341" s="107">
        <v>5110</v>
      </c>
      <c r="I341" s="8" t="s">
        <v>267</v>
      </c>
      <c r="J341" s="108" t="s">
        <v>1110</v>
      </c>
      <c r="K341" s="57">
        <v>30</v>
      </c>
      <c r="L341" s="58">
        <v>30</v>
      </c>
    </row>
    <row r="342" spans="1:12" s="9" customFormat="1" ht="15">
      <c r="A342" s="105">
        <v>334</v>
      </c>
      <c r="B342" s="106" t="s">
        <v>1896</v>
      </c>
      <c r="C342" s="106"/>
      <c r="D342" s="8" t="s">
        <v>2273</v>
      </c>
      <c r="E342" s="189" t="s">
        <v>1809</v>
      </c>
      <c r="F342" s="106"/>
      <c r="G342" s="106" t="s">
        <v>1808</v>
      </c>
      <c r="H342" s="107">
        <v>5110</v>
      </c>
      <c r="I342" s="8" t="s">
        <v>267</v>
      </c>
      <c r="J342" s="109" t="s">
        <v>258</v>
      </c>
      <c r="K342" s="57">
        <v>30</v>
      </c>
      <c r="L342" s="58">
        <v>30</v>
      </c>
    </row>
    <row r="343" spans="1:12" s="9" customFormat="1" ht="15">
      <c r="A343" s="105">
        <v>335</v>
      </c>
      <c r="B343" s="106" t="s">
        <v>1896</v>
      </c>
      <c r="C343" s="106"/>
      <c r="D343" s="8" t="s">
        <v>2274</v>
      </c>
      <c r="E343" s="189" t="s">
        <v>1814</v>
      </c>
      <c r="F343" s="106"/>
      <c r="G343" s="106" t="s">
        <v>1810</v>
      </c>
      <c r="H343" s="107">
        <v>5110</v>
      </c>
      <c r="I343" s="8" t="s">
        <v>267</v>
      </c>
      <c r="J343" s="109" t="s">
        <v>258</v>
      </c>
      <c r="K343" s="57">
        <v>30</v>
      </c>
      <c r="L343" s="58">
        <v>30</v>
      </c>
    </row>
    <row r="344" spans="1:12" s="9" customFormat="1" ht="15">
      <c r="A344" s="105">
        <v>336</v>
      </c>
      <c r="B344" s="106" t="s">
        <v>1896</v>
      </c>
      <c r="C344" s="106"/>
      <c r="D344" s="8" t="s">
        <v>2275</v>
      </c>
      <c r="E344" s="189" t="s">
        <v>1809</v>
      </c>
      <c r="F344" s="106"/>
      <c r="G344" s="106" t="s">
        <v>1815</v>
      </c>
      <c r="H344" s="107">
        <v>5110</v>
      </c>
      <c r="I344" s="8" t="s">
        <v>267</v>
      </c>
      <c r="J344" s="109" t="s">
        <v>258</v>
      </c>
      <c r="K344" s="57">
        <v>30</v>
      </c>
      <c r="L344" s="58">
        <v>30</v>
      </c>
    </row>
    <row r="345" spans="1:12" s="9" customFormat="1" ht="15">
      <c r="A345" s="105">
        <v>337</v>
      </c>
      <c r="B345" s="106" t="s">
        <v>1896</v>
      </c>
      <c r="C345" s="106"/>
      <c r="D345" s="8" t="s">
        <v>2276</v>
      </c>
      <c r="E345" s="189" t="s">
        <v>1814</v>
      </c>
      <c r="F345" s="106"/>
      <c r="G345" s="106" t="s">
        <v>1816</v>
      </c>
      <c r="H345" s="107">
        <v>5110</v>
      </c>
      <c r="I345" s="8" t="s">
        <v>267</v>
      </c>
      <c r="J345" s="109" t="s">
        <v>258</v>
      </c>
      <c r="K345" s="57">
        <v>30</v>
      </c>
      <c r="L345" s="58">
        <v>30</v>
      </c>
    </row>
    <row r="346" spans="1:12" s="9" customFormat="1" ht="15">
      <c r="A346" s="105">
        <v>338</v>
      </c>
      <c r="B346" s="106" t="s">
        <v>1896</v>
      </c>
      <c r="C346" s="106"/>
      <c r="D346" s="8" t="s">
        <v>1663</v>
      </c>
      <c r="E346" s="189" t="s">
        <v>684</v>
      </c>
      <c r="F346" s="106"/>
      <c r="G346" s="106" t="s">
        <v>683</v>
      </c>
      <c r="H346" s="107">
        <v>5110</v>
      </c>
      <c r="I346" s="8" t="s">
        <v>267</v>
      </c>
      <c r="J346" s="108" t="s">
        <v>275</v>
      </c>
      <c r="K346" s="57">
        <v>30</v>
      </c>
      <c r="L346" s="58">
        <v>30</v>
      </c>
    </row>
    <row r="347" spans="1:12" s="9" customFormat="1" ht="15">
      <c r="A347" s="105">
        <v>339</v>
      </c>
      <c r="B347" s="106" t="s">
        <v>1896</v>
      </c>
      <c r="C347" s="106"/>
      <c r="D347" s="8" t="s">
        <v>2277</v>
      </c>
      <c r="E347" s="189" t="s">
        <v>684</v>
      </c>
      <c r="F347" s="106"/>
      <c r="G347" s="106" t="s">
        <v>685</v>
      </c>
      <c r="H347" s="107">
        <v>5110</v>
      </c>
      <c r="I347" s="8" t="s">
        <v>267</v>
      </c>
      <c r="J347" s="109" t="s">
        <v>275</v>
      </c>
      <c r="K347" s="57">
        <v>30</v>
      </c>
      <c r="L347" s="58">
        <v>30</v>
      </c>
    </row>
    <row r="348" spans="1:12" s="9" customFormat="1" ht="15">
      <c r="A348" s="105">
        <v>340</v>
      </c>
      <c r="B348" s="106" t="s">
        <v>1896</v>
      </c>
      <c r="C348" s="106"/>
      <c r="D348" s="8" t="s">
        <v>2278</v>
      </c>
      <c r="E348" s="189" t="s">
        <v>687</v>
      </c>
      <c r="F348" s="106"/>
      <c r="G348" s="106" t="s">
        <v>686</v>
      </c>
      <c r="H348" s="107">
        <v>5110</v>
      </c>
      <c r="I348" s="8" t="s">
        <v>267</v>
      </c>
      <c r="J348" s="109" t="s">
        <v>275</v>
      </c>
      <c r="K348" s="57">
        <v>30</v>
      </c>
      <c r="L348" s="58">
        <v>30</v>
      </c>
    </row>
    <row r="349" spans="1:12" s="9" customFormat="1" ht="15">
      <c r="A349" s="105">
        <v>341</v>
      </c>
      <c r="B349" s="106" t="s">
        <v>1896</v>
      </c>
      <c r="C349" s="106"/>
      <c r="D349" s="8" t="s">
        <v>2279</v>
      </c>
      <c r="E349" s="189" t="s">
        <v>689</v>
      </c>
      <c r="F349" s="106"/>
      <c r="G349" s="106" t="s">
        <v>688</v>
      </c>
      <c r="H349" s="107">
        <v>5110</v>
      </c>
      <c r="I349" s="8" t="s">
        <v>267</v>
      </c>
      <c r="J349" s="109" t="s">
        <v>275</v>
      </c>
      <c r="K349" s="57">
        <v>30</v>
      </c>
      <c r="L349" s="58">
        <v>30</v>
      </c>
    </row>
    <row r="350" spans="1:12" s="9" customFormat="1" ht="15">
      <c r="A350" s="105">
        <v>342</v>
      </c>
      <c r="B350" s="106" t="s">
        <v>1896</v>
      </c>
      <c r="C350" s="106"/>
      <c r="D350" s="8" t="s">
        <v>2280</v>
      </c>
      <c r="E350" s="189" t="s">
        <v>691</v>
      </c>
      <c r="F350" s="106"/>
      <c r="G350" s="106" t="s">
        <v>690</v>
      </c>
      <c r="H350" s="107">
        <v>5110</v>
      </c>
      <c r="I350" s="8" t="s">
        <v>267</v>
      </c>
      <c r="J350" s="109" t="s">
        <v>270</v>
      </c>
      <c r="K350" s="57">
        <v>30</v>
      </c>
      <c r="L350" s="58">
        <v>30</v>
      </c>
    </row>
    <row r="351" spans="1:12" s="9" customFormat="1" ht="15">
      <c r="A351" s="105">
        <v>343</v>
      </c>
      <c r="B351" s="106" t="s">
        <v>1896</v>
      </c>
      <c r="C351" s="106"/>
      <c r="D351" s="8" t="s">
        <v>2281</v>
      </c>
      <c r="E351" s="189" t="s">
        <v>693</v>
      </c>
      <c r="F351" s="106"/>
      <c r="G351" s="106" t="s">
        <v>692</v>
      </c>
      <c r="H351" s="107">
        <v>5110</v>
      </c>
      <c r="I351" s="8" t="s">
        <v>267</v>
      </c>
      <c r="J351" s="109" t="s">
        <v>270</v>
      </c>
      <c r="K351" s="57">
        <v>30</v>
      </c>
      <c r="L351" s="58">
        <v>30</v>
      </c>
    </row>
    <row r="352" spans="1:12" s="9" customFormat="1" ht="15">
      <c r="A352" s="105">
        <v>344</v>
      </c>
      <c r="B352" s="106" t="s">
        <v>1896</v>
      </c>
      <c r="C352" s="106"/>
      <c r="D352" s="8" t="s">
        <v>2282</v>
      </c>
      <c r="E352" s="189" t="s">
        <v>695</v>
      </c>
      <c r="F352" s="106"/>
      <c r="G352" s="106" t="s">
        <v>1966</v>
      </c>
      <c r="H352" s="107">
        <v>5110</v>
      </c>
      <c r="I352" s="8" t="s">
        <v>267</v>
      </c>
      <c r="J352" s="109" t="s">
        <v>394</v>
      </c>
      <c r="K352" s="57">
        <v>30</v>
      </c>
      <c r="L352" s="58">
        <v>30</v>
      </c>
    </row>
    <row r="353" spans="1:12" s="9" customFormat="1" ht="15">
      <c r="A353" s="105">
        <v>345</v>
      </c>
      <c r="B353" s="106" t="s">
        <v>1896</v>
      </c>
      <c r="C353" s="106"/>
      <c r="D353" s="8" t="s">
        <v>2283</v>
      </c>
      <c r="E353" s="189" t="s">
        <v>695</v>
      </c>
      <c r="F353" s="106"/>
      <c r="G353" s="106" t="s">
        <v>694</v>
      </c>
      <c r="H353" s="107">
        <v>5110</v>
      </c>
      <c r="I353" s="8" t="s">
        <v>267</v>
      </c>
      <c r="J353" s="109" t="s">
        <v>394</v>
      </c>
      <c r="K353" s="57">
        <v>30</v>
      </c>
      <c r="L353" s="58">
        <v>30</v>
      </c>
    </row>
    <row r="354" spans="1:12" s="9" customFormat="1" ht="15">
      <c r="A354" s="105">
        <v>346</v>
      </c>
      <c r="B354" s="106" t="s">
        <v>1896</v>
      </c>
      <c r="C354" s="106"/>
      <c r="D354" s="8" t="s">
        <v>2284</v>
      </c>
      <c r="E354" s="189" t="s">
        <v>695</v>
      </c>
      <c r="F354" s="106"/>
      <c r="G354" s="106" t="s">
        <v>696</v>
      </c>
      <c r="H354" s="107">
        <v>5110</v>
      </c>
      <c r="I354" s="8" t="s">
        <v>267</v>
      </c>
      <c r="J354" s="109" t="s">
        <v>394</v>
      </c>
      <c r="K354" s="57">
        <v>30</v>
      </c>
      <c r="L354" s="58">
        <v>30</v>
      </c>
    </row>
    <row r="355" spans="1:12" s="9" customFormat="1" ht="15">
      <c r="A355" s="105">
        <v>346</v>
      </c>
      <c r="B355" s="106" t="s">
        <v>4547</v>
      </c>
      <c r="C355" s="106"/>
      <c r="D355" s="118" t="s">
        <v>4600</v>
      </c>
      <c r="E355" s="189" t="s">
        <v>695</v>
      </c>
      <c r="F355" s="106"/>
      <c r="G355" s="106" t="s">
        <v>4601</v>
      </c>
      <c r="H355" s="107">
        <v>5110</v>
      </c>
      <c r="I355" s="8" t="s">
        <v>267</v>
      </c>
      <c r="J355" s="109" t="s">
        <v>293</v>
      </c>
      <c r="K355" s="57">
        <v>30</v>
      </c>
      <c r="L355" s="58">
        <v>30</v>
      </c>
    </row>
    <row r="356" spans="1:12" s="9" customFormat="1" ht="15">
      <c r="A356" s="105">
        <v>347</v>
      </c>
      <c r="B356" s="106" t="s">
        <v>1896</v>
      </c>
      <c r="C356" s="106"/>
      <c r="D356" s="8" t="s">
        <v>1124</v>
      </c>
      <c r="E356" s="189" t="s">
        <v>1967</v>
      </c>
      <c r="F356" s="106"/>
      <c r="G356" s="106" t="s">
        <v>1968</v>
      </c>
      <c r="H356" s="107">
        <v>5110</v>
      </c>
      <c r="I356" s="8" t="s">
        <v>267</v>
      </c>
      <c r="J356" s="109" t="s">
        <v>394</v>
      </c>
      <c r="K356" s="57">
        <v>30</v>
      </c>
      <c r="L356" s="58">
        <v>30</v>
      </c>
    </row>
    <row r="357" spans="1:12" s="9" customFormat="1" ht="15">
      <c r="A357" s="105">
        <v>348</v>
      </c>
      <c r="B357" s="106" t="s">
        <v>1896</v>
      </c>
      <c r="C357" s="106"/>
      <c r="D357" s="8" t="s">
        <v>2358</v>
      </c>
      <c r="E357" s="189" t="s">
        <v>1967</v>
      </c>
      <c r="F357" s="107"/>
      <c r="G357" s="107" t="s">
        <v>697</v>
      </c>
      <c r="H357" s="107">
        <v>5110</v>
      </c>
      <c r="I357" s="8" t="s">
        <v>267</v>
      </c>
      <c r="J357" s="8" t="s">
        <v>394</v>
      </c>
      <c r="K357" s="57">
        <v>30</v>
      </c>
      <c r="L357" s="58">
        <v>30</v>
      </c>
    </row>
    <row r="358" spans="1:12" s="9" customFormat="1" ht="15">
      <c r="A358" s="105">
        <v>347</v>
      </c>
      <c r="B358" s="106" t="s">
        <v>1896</v>
      </c>
      <c r="C358" s="106"/>
      <c r="D358" s="8" t="s">
        <v>4713</v>
      </c>
      <c r="E358" s="189" t="s">
        <v>1967</v>
      </c>
      <c r="F358" s="106"/>
      <c r="G358" s="106" t="s">
        <v>1968</v>
      </c>
      <c r="H358" s="107">
        <v>5110</v>
      </c>
      <c r="I358" s="8" t="s">
        <v>267</v>
      </c>
      <c r="J358" s="109" t="s">
        <v>394</v>
      </c>
      <c r="K358" s="57">
        <v>30</v>
      </c>
      <c r="L358" s="58">
        <v>30</v>
      </c>
    </row>
    <row r="359" spans="1:12" s="9" customFormat="1" ht="15">
      <c r="A359" s="105">
        <v>348</v>
      </c>
      <c r="B359" s="106" t="s">
        <v>1896</v>
      </c>
      <c r="C359" s="106"/>
      <c r="D359" s="8" t="s">
        <v>4714</v>
      </c>
      <c r="E359" s="189" t="s">
        <v>1967</v>
      </c>
      <c r="F359" s="107"/>
      <c r="G359" s="107" t="s">
        <v>697</v>
      </c>
      <c r="H359" s="107">
        <v>5110</v>
      </c>
      <c r="I359" s="8" t="s">
        <v>267</v>
      </c>
      <c r="J359" s="8" t="s">
        <v>394</v>
      </c>
      <c r="K359" s="57">
        <v>30</v>
      </c>
      <c r="L359" s="58">
        <v>30</v>
      </c>
    </row>
    <row r="360" spans="1:12" s="9" customFormat="1" ht="15">
      <c r="A360" s="105">
        <v>349</v>
      </c>
      <c r="B360" s="106" t="s">
        <v>1896</v>
      </c>
      <c r="C360" s="106"/>
      <c r="D360" s="8" t="s">
        <v>2285</v>
      </c>
      <c r="E360" s="189" t="s">
        <v>699</v>
      </c>
      <c r="F360" s="106"/>
      <c r="G360" s="106" t="s">
        <v>698</v>
      </c>
      <c r="H360" s="107">
        <v>5110</v>
      </c>
      <c r="I360" s="8" t="s">
        <v>267</v>
      </c>
      <c r="J360" s="109" t="s">
        <v>394</v>
      </c>
      <c r="K360" s="57">
        <v>30</v>
      </c>
      <c r="L360" s="58">
        <v>30</v>
      </c>
    </row>
    <row r="361" spans="1:12" s="9" customFormat="1" ht="15">
      <c r="A361" s="105">
        <v>350</v>
      </c>
      <c r="B361" s="106" t="s">
        <v>1896</v>
      </c>
      <c r="C361" s="106"/>
      <c r="D361" s="8" t="s">
        <v>2286</v>
      </c>
      <c r="E361" s="189" t="s">
        <v>701</v>
      </c>
      <c r="F361" s="106"/>
      <c r="G361" s="106" t="s">
        <v>700</v>
      </c>
      <c r="H361" s="107">
        <v>5110</v>
      </c>
      <c r="I361" s="8" t="s">
        <v>267</v>
      </c>
      <c r="J361" s="109" t="s">
        <v>394</v>
      </c>
      <c r="K361" s="57">
        <v>30</v>
      </c>
      <c r="L361" s="58">
        <v>30</v>
      </c>
    </row>
    <row r="362" spans="1:12" s="9" customFormat="1" ht="15">
      <c r="A362" s="105">
        <v>351</v>
      </c>
      <c r="B362" s="106" t="s">
        <v>1896</v>
      </c>
      <c r="C362" s="106"/>
      <c r="D362" s="8" t="s">
        <v>2287</v>
      </c>
      <c r="E362" s="189" t="s">
        <v>703</v>
      </c>
      <c r="F362" s="106"/>
      <c r="G362" s="106" t="s">
        <v>702</v>
      </c>
      <c r="H362" s="107">
        <v>5110</v>
      </c>
      <c r="I362" s="8" t="s">
        <v>267</v>
      </c>
      <c r="J362" s="109" t="s">
        <v>394</v>
      </c>
      <c r="K362" s="57">
        <v>30</v>
      </c>
      <c r="L362" s="58">
        <v>30</v>
      </c>
    </row>
    <row r="363" spans="1:12" s="9" customFormat="1" ht="15">
      <c r="A363" s="105">
        <v>352</v>
      </c>
      <c r="B363" s="106" t="s">
        <v>1896</v>
      </c>
      <c r="C363" s="106"/>
      <c r="D363" s="8" t="s">
        <v>2288</v>
      </c>
      <c r="E363" s="189" t="s">
        <v>714</v>
      </c>
      <c r="F363" s="106"/>
      <c r="G363" s="106" t="s">
        <v>1081</v>
      </c>
      <c r="H363" s="107">
        <v>5110</v>
      </c>
      <c r="I363" s="8" t="s">
        <v>267</v>
      </c>
      <c r="J363" s="109" t="s">
        <v>394</v>
      </c>
      <c r="K363" s="57">
        <v>30</v>
      </c>
      <c r="L363" s="58">
        <v>30</v>
      </c>
    </row>
    <row r="364" spans="1:12" s="9" customFormat="1" ht="15">
      <c r="A364" s="105">
        <v>353</v>
      </c>
      <c r="B364" s="106" t="s">
        <v>1896</v>
      </c>
      <c r="C364" s="106"/>
      <c r="D364" s="8" t="s">
        <v>2289</v>
      </c>
      <c r="E364" s="189" t="s">
        <v>716</v>
      </c>
      <c r="F364" s="106"/>
      <c r="G364" s="106" t="s">
        <v>715</v>
      </c>
      <c r="H364" s="107">
        <v>5110</v>
      </c>
      <c r="I364" s="8" t="s">
        <v>267</v>
      </c>
      <c r="J364" s="8" t="s">
        <v>275</v>
      </c>
      <c r="K364" s="57">
        <v>30</v>
      </c>
      <c r="L364" s="58">
        <v>30</v>
      </c>
    </row>
    <row r="365" spans="1:12" s="9" customFormat="1" ht="15">
      <c r="A365" s="105">
        <v>354</v>
      </c>
      <c r="B365" s="106" t="s">
        <v>1896</v>
      </c>
      <c r="C365" s="106"/>
      <c r="D365" s="8" t="s">
        <v>2290</v>
      </c>
      <c r="E365" s="189" t="s">
        <v>269</v>
      </c>
      <c r="F365" s="107"/>
      <c r="G365" s="107" t="s">
        <v>268</v>
      </c>
      <c r="H365" s="107">
        <v>5110</v>
      </c>
      <c r="I365" s="8" t="s">
        <v>267</v>
      </c>
      <c r="J365" s="108" t="s">
        <v>270</v>
      </c>
      <c r="K365" s="57">
        <v>30</v>
      </c>
      <c r="L365" s="58">
        <v>30</v>
      </c>
    </row>
    <row r="366" spans="1:12" s="9" customFormat="1" ht="15">
      <c r="A366" s="105">
        <v>355</v>
      </c>
      <c r="B366" s="106" t="s">
        <v>1896</v>
      </c>
      <c r="C366" s="106"/>
      <c r="D366" s="8" t="s">
        <v>2291</v>
      </c>
      <c r="E366" s="189" t="s">
        <v>273</v>
      </c>
      <c r="F366" s="107"/>
      <c r="G366" s="107" t="s">
        <v>271</v>
      </c>
      <c r="H366" s="107">
        <v>5110</v>
      </c>
      <c r="I366" s="8" t="s">
        <v>267</v>
      </c>
      <c r="J366" s="108" t="s">
        <v>270</v>
      </c>
      <c r="K366" s="57">
        <v>30</v>
      </c>
      <c r="L366" s="58">
        <v>30</v>
      </c>
    </row>
    <row r="367" spans="1:12" s="9" customFormat="1" ht="15">
      <c r="A367" s="105">
        <v>356</v>
      </c>
      <c r="B367" s="106" t="s">
        <v>1896</v>
      </c>
      <c r="C367" s="106"/>
      <c r="D367" s="8" t="s">
        <v>2360</v>
      </c>
      <c r="E367" s="189" t="s">
        <v>337</v>
      </c>
      <c r="F367" s="107"/>
      <c r="G367" s="107" t="s">
        <v>336</v>
      </c>
      <c r="H367" s="107">
        <v>5110</v>
      </c>
      <c r="I367" s="8" t="s">
        <v>267</v>
      </c>
      <c r="J367" s="8" t="s">
        <v>258</v>
      </c>
      <c r="K367" s="57">
        <v>30</v>
      </c>
      <c r="L367" s="58">
        <v>30</v>
      </c>
    </row>
    <row r="368" spans="1:12" s="9" customFormat="1" ht="15">
      <c r="A368" s="105">
        <v>357</v>
      </c>
      <c r="B368" s="106" t="s">
        <v>1896</v>
      </c>
      <c r="C368" s="106"/>
      <c r="D368" s="8" t="s">
        <v>2359</v>
      </c>
      <c r="E368" s="189" t="s">
        <v>339</v>
      </c>
      <c r="F368" s="107"/>
      <c r="G368" s="107" t="s">
        <v>338</v>
      </c>
      <c r="H368" s="107">
        <v>5110</v>
      </c>
      <c r="I368" s="8" t="s">
        <v>267</v>
      </c>
      <c r="J368" s="8" t="s">
        <v>258</v>
      </c>
      <c r="K368" s="57">
        <v>30</v>
      </c>
      <c r="L368" s="58">
        <v>30</v>
      </c>
    </row>
    <row r="369" spans="1:12" s="9" customFormat="1" ht="15">
      <c r="A369" s="105">
        <v>358</v>
      </c>
      <c r="B369" s="106" t="s">
        <v>1896</v>
      </c>
      <c r="C369" s="106"/>
      <c r="D369" s="8" t="s">
        <v>2292</v>
      </c>
      <c r="E369" s="189" t="s">
        <v>1840</v>
      </c>
      <c r="F369" s="106"/>
      <c r="G369" s="106" t="s">
        <v>1817</v>
      </c>
      <c r="H369" s="107">
        <v>5110</v>
      </c>
      <c r="I369" s="8" t="s">
        <v>267</v>
      </c>
      <c r="J369" s="109" t="s">
        <v>258</v>
      </c>
      <c r="K369" s="57">
        <v>30</v>
      </c>
      <c r="L369" s="58">
        <v>30</v>
      </c>
    </row>
    <row r="370" spans="1:12" s="9" customFormat="1" ht="15">
      <c r="A370" s="105">
        <v>359</v>
      </c>
      <c r="B370" s="106" t="s">
        <v>1896</v>
      </c>
      <c r="C370" s="106"/>
      <c r="D370" s="8" t="s">
        <v>2293</v>
      </c>
      <c r="E370" s="189" t="s">
        <v>1841</v>
      </c>
      <c r="F370" s="106"/>
      <c r="G370" s="106" t="s">
        <v>1818</v>
      </c>
      <c r="H370" s="107">
        <v>5110</v>
      </c>
      <c r="I370" s="8" t="s">
        <v>267</v>
      </c>
      <c r="J370" s="109" t="s">
        <v>258</v>
      </c>
      <c r="K370" s="57">
        <v>30</v>
      </c>
      <c r="L370" s="58">
        <v>30</v>
      </c>
    </row>
    <row r="371" spans="1:12" s="9" customFormat="1" ht="15">
      <c r="A371" s="105"/>
      <c r="B371" s="106" t="s">
        <v>5254</v>
      </c>
      <c r="C371" s="106"/>
      <c r="D371" s="8" t="s">
        <v>5251</v>
      </c>
      <c r="E371" s="189" t="s">
        <v>5253</v>
      </c>
      <c r="F371" s="106"/>
      <c r="G371" s="106" t="s">
        <v>5255</v>
      </c>
      <c r="H371" s="107">
        <v>5110</v>
      </c>
      <c r="I371" s="8" t="s">
        <v>267</v>
      </c>
      <c r="J371" s="109" t="s">
        <v>2767</v>
      </c>
      <c r="K371" s="57">
        <v>30</v>
      </c>
      <c r="L371" s="58">
        <v>30</v>
      </c>
    </row>
    <row r="372" spans="1:12" s="9" customFormat="1" ht="15">
      <c r="A372" s="105"/>
      <c r="B372" s="106" t="s">
        <v>5254</v>
      </c>
      <c r="C372" s="106"/>
      <c r="D372" s="8" t="s">
        <v>5252</v>
      </c>
      <c r="E372" s="189" t="s">
        <v>5253</v>
      </c>
      <c r="F372" s="106"/>
      <c r="G372" s="106" t="s">
        <v>5256</v>
      </c>
      <c r="H372" s="107">
        <v>5110</v>
      </c>
      <c r="I372" s="8" t="s">
        <v>267</v>
      </c>
      <c r="J372" s="109" t="s">
        <v>2767</v>
      </c>
      <c r="K372" s="57">
        <v>30</v>
      </c>
      <c r="L372" s="58">
        <v>30</v>
      </c>
    </row>
    <row r="373" spans="1:12" s="9" customFormat="1" ht="15">
      <c r="A373" s="105">
        <v>360</v>
      </c>
      <c r="B373" s="106" t="s">
        <v>1896</v>
      </c>
      <c r="C373" s="106"/>
      <c r="D373" s="8" t="s">
        <v>2294</v>
      </c>
      <c r="E373" s="189" t="s">
        <v>1840</v>
      </c>
      <c r="F373" s="106"/>
      <c r="G373" s="106" t="s">
        <v>1838</v>
      </c>
      <c r="H373" s="107">
        <v>5110</v>
      </c>
      <c r="I373" s="8" t="s">
        <v>267</v>
      </c>
      <c r="J373" s="109" t="s">
        <v>258</v>
      </c>
      <c r="K373" s="57">
        <v>30</v>
      </c>
      <c r="L373" s="58">
        <v>30</v>
      </c>
    </row>
    <row r="374" spans="1:12" s="9" customFormat="1" ht="15">
      <c r="A374" s="105">
        <v>361</v>
      </c>
      <c r="B374" s="106" t="s">
        <v>1896</v>
      </c>
      <c r="C374" s="106"/>
      <c r="D374" s="8" t="s">
        <v>2295</v>
      </c>
      <c r="E374" s="189" t="s">
        <v>1841</v>
      </c>
      <c r="F374" s="106"/>
      <c r="G374" s="106" t="s">
        <v>1839</v>
      </c>
      <c r="H374" s="107">
        <v>5110</v>
      </c>
      <c r="I374" s="8" t="s">
        <v>267</v>
      </c>
      <c r="J374" s="109" t="s">
        <v>258</v>
      </c>
      <c r="K374" s="57">
        <v>30</v>
      </c>
      <c r="L374" s="58">
        <v>30</v>
      </c>
    </row>
    <row r="375" spans="1:12" s="9" customFormat="1" ht="15">
      <c r="A375" s="105">
        <v>362</v>
      </c>
      <c r="B375" s="106" t="s">
        <v>1896</v>
      </c>
      <c r="C375" s="106"/>
      <c r="D375" s="8" t="s">
        <v>2361</v>
      </c>
      <c r="E375" s="189" t="s">
        <v>342</v>
      </c>
      <c r="F375" s="107"/>
      <c r="G375" s="107" t="s">
        <v>341</v>
      </c>
      <c r="H375" s="107">
        <v>5110</v>
      </c>
      <c r="I375" s="8" t="s">
        <v>267</v>
      </c>
      <c r="J375" s="8" t="s">
        <v>258</v>
      </c>
      <c r="K375" s="57">
        <v>30</v>
      </c>
      <c r="L375" s="58">
        <v>30</v>
      </c>
    </row>
    <row r="376" spans="1:12" s="9" customFormat="1" ht="15">
      <c r="A376" s="105">
        <v>363</v>
      </c>
      <c r="B376" s="106" t="s">
        <v>1896</v>
      </c>
      <c r="C376" s="106"/>
      <c r="D376" s="8" t="s">
        <v>2362</v>
      </c>
      <c r="E376" s="189" t="s">
        <v>1305</v>
      </c>
      <c r="F376" s="107"/>
      <c r="G376" s="107" t="s">
        <v>1304</v>
      </c>
      <c r="H376" s="107">
        <v>5110</v>
      </c>
      <c r="I376" s="8" t="s">
        <v>267</v>
      </c>
      <c r="J376" s="8" t="s">
        <v>293</v>
      </c>
      <c r="K376" s="57">
        <v>30</v>
      </c>
      <c r="L376" s="58">
        <v>30</v>
      </c>
    </row>
    <row r="377" spans="1:12" s="9" customFormat="1" ht="15">
      <c r="A377" s="105">
        <v>364</v>
      </c>
      <c r="B377" s="106" t="s">
        <v>1896</v>
      </c>
      <c r="C377" s="106"/>
      <c r="D377" s="8" t="s">
        <v>2364</v>
      </c>
      <c r="E377" s="189" t="s">
        <v>220</v>
      </c>
      <c r="F377" s="107"/>
      <c r="G377" s="107" t="s">
        <v>219</v>
      </c>
      <c r="H377" s="107">
        <v>5110</v>
      </c>
      <c r="I377" s="8" t="s">
        <v>267</v>
      </c>
      <c r="J377" s="8" t="s">
        <v>293</v>
      </c>
      <c r="K377" s="57">
        <v>30</v>
      </c>
      <c r="L377" s="58">
        <v>30</v>
      </c>
    </row>
    <row r="378" spans="1:12" s="9" customFormat="1" ht="15">
      <c r="A378" s="105">
        <v>365</v>
      </c>
      <c r="B378" s="106" t="s">
        <v>1896</v>
      </c>
      <c r="C378" s="106"/>
      <c r="D378" s="8" t="s">
        <v>2363</v>
      </c>
      <c r="E378" s="189" t="s">
        <v>222</v>
      </c>
      <c r="F378" s="107"/>
      <c r="G378" s="107" t="s">
        <v>221</v>
      </c>
      <c r="H378" s="107">
        <v>5110</v>
      </c>
      <c r="I378" s="8" t="s">
        <v>267</v>
      </c>
      <c r="J378" s="8" t="s">
        <v>258</v>
      </c>
      <c r="K378" s="57">
        <v>30</v>
      </c>
      <c r="L378" s="58">
        <v>30</v>
      </c>
    </row>
    <row r="379" spans="1:12" s="9" customFormat="1" ht="15">
      <c r="A379" s="105">
        <v>366</v>
      </c>
      <c r="B379" s="106" t="s">
        <v>1896</v>
      </c>
      <c r="C379" s="106"/>
      <c r="D379" s="8" t="s">
        <v>2365</v>
      </c>
      <c r="E379" s="189" t="s">
        <v>224</v>
      </c>
      <c r="F379" s="107"/>
      <c r="G379" s="107" t="s">
        <v>223</v>
      </c>
      <c r="H379" s="107">
        <v>5110</v>
      </c>
      <c r="I379" s="8" t="s">
        <v>267</v>
      </c>
      <c r="J379" s="8" t="s">
        <v>258</v>
      </c>
      <c r="K379" s="57">
        <v>30</v>
      </c>
      <c r="L379" s="58">
        <v>30</v>
      </c>
    </row>
    <row r="380" spans="1:12" s="9" customFormat="1" ht="15">
      <c r="A380" s="105">
        <v>367</v>
      </c>
      <c r="B380" s="106" t="s">
        <v>1896</v>
      </c>
      <c r="C380" s="106"/>
      <c r="D380" s="8" t="s">
        <v>194</v>
      </c>
      <c r="E380" s="189" t="s">
        <v>195</v>
      </c>
      <c r="F380" s="106"/>
      <c r="G380" s="106" t="s">
        <v>196</v>
      </c>
      <c r="H380" s="107">
        <v>5120</v>
      </c>
      <c r="I380" s="8" t="s">
        <v>197</v>
      </c>
      <c r="J380" s="109" t="s">
        <v>1110</v>
      </c>
      <c r="K380" s="57">
        <v>30</v>
      </c>
      <c r="L380" s="58">
        <v>30</v>
      </c>
    </row>
    <row r="381" spans="1:12" s="9" customFormat="1" ht="15">
      <c r="A381" s="105">
        <v>368</v>
      </c>
      <c r="B381" s="106" t="s">
        <v>1896</v>
      </c>
      <c r="C381" s="106"/>
      <c r="D381" s="8" t="s">
        <v>198</v>
      </c>
      <c r="E381" s="189" t="s">
        <v>195</v>
      </c>
      <c r="F381" s="106"/>
      <c r="G381" s="106" t="s">
        <v>199</v>
      </c>
      <c r="H381" s="107">
        <v>5120</v>
      </c>
      <c r="I381" s="8" t="s">
        <v>197</v>
      </c>
      <c r="J381" s="109" t="s">
        <v>1110</v>
      </c>
      <c r="K381" s="57">
        <v>30</v>
      </c>
      <c r="L381" s="58">
        <v>30</v>
      </c>
    </row>
    <row r="382" spans="1:12" s="9" customFormat="1" ht="15">
      <c r="A382" s="105">
        <v>369</v>
      </c>
      <c r="B382" s="106" t="s">
        <v>1896</v>
      </c>
      <c r="C382" s="106"/>
      <c r="D382" s="8" t="s">
        <v>2296</v>
      </c>
      <c r="E382" s="189" t="s">
        <v>1125</v>
      </c>
      <c r="F382" s="106"/>
      <c r="G382" s="106" t="s">
        <v>717</v>
      </c>
      <c r="H382" s="107">
        <v>5110</v>
      </c>
      <c r="I382" s="8" t="s">
        <v>267</v>
      </c>
      <c r="J382" s="109" t="s">
        <v>275</v>
      </c>
      <c r="K382" s="57">
        <v>30</v>
      </c>
      <c r="L382" s="58">
        <v>30</v>
      </c>
    </row>
    <row r="383" spans="1:12" s="9" customFormat="1" ht="15">
      <c r="A383" s="105">
        <v>370</v>
      </c>
      <c r="B383" s="106" t="s">
        <v>1896</v>
      </c>
      <c r="C383" s="106"/>
      <c r="D383" s="8" t="s">
        <v>2297</v>
      </c>
      <c r="E383" s="189" t="s">
        <v>1125</v>
      </c>
      <c r="F383" s="106"/>
      <c r="G383" s="106" t="s">
        <v>1787</v>
      </c>
      <c r="H383" s="107">
        <v>5110</v>
      </c>
      <c r="I383" s="8" t="s">
        <v>267</v>
      </c>
      <c r="J383" s="109" t="s">
        <v>275</v>
      </c>
      <c r="K383" s="57">
        <v>30</v>
      </c>
      <c r="L383" s="58">
        <v>30</v>
      </c>
    </row>
    <row r="384" spans="1:12" s="9" customFormat="1" ht="15">
      <c r="A384" s="105">
        <v>371</v>
      </c>
      <c r="B384" s="106" t="s">
        <v>1896</v>
      </c>
      <c r="C384" s="106"/>
      <c r="D384" s="8" t="s">
        <v>2298</v>
      </c>
      <c r="E384" s="189" t="s">
        <v>1125</v>
      </c>
      <c r="F384" s="106"/>
      <c r="G384" s="106" t="s">
        <v>1969</v>
      </c>
      <c r="H384" s="107">
        <v>5110</v>
      </c>
      <c r="I384" s="8" t="s">
        <v>267</v>
      </c>
      <c r="J384" s="109" t="s">
        <v>275</v>
      </c>
      <c r="K384" s="57">
        <v>30</v>
      </c>
      <c r="L384" s="58">
        <v>30</v>
      </c>
    </row>
    <row r="385" spans="1:12" s="9" customFormat="1" ht="15">
      <c r="A385" s="105">
        <v>372</v>
      </c>
      <c r="B385" s="106" t="s">
        <v>1896</v>
      </c>
      <c r="C385" s="106"/>
      <c r="D385" s="8" t="s">
        <v>2299</v>
      </c>
      <c r="E385" s="189" t="s">
        <v>1126</v>
      </c>
      <c r="F385" s="106"/>
      <c r="G385" s="106" t="s">
        <v>718</v>
      </c>
      <c r="H385" s="107">
        <v>5110</v>
      </c>
      <c r="I385" s="8" t="s">
        <v>267</v>
      </c>
      <c r="J385" s="109" t="s">
        <v>275</v>
      </c>
      <c r="K385" s="57">
        <v>30</v>
      </c>
      <c r="L385" s="58">
        <v>30</v>
      </c>
    </row>
    <row r="386" spans="1:12" s="9" customFormat="1" ht="15">
      <c r="A386" s="105">
        <v>373</v>
      </c>
      <c r="B386" s="106" t="s">
        <v>1896</v>
      </c>
      <c r="C386" s="106"/>
      <c r="D386" s="8" t="s">
        <v>2303</v>
      </c>
      <c r="E386" s="189" t="s">
        <v>1126</v>
      </c>
      <c r="F386" s="106"/>
      <c r="G386" s="106" t="s">
        <v>1788</v>
      </c>
      <c r="H386" s="107">
        <v>5110</v>
      </c>
      <c r="I386" s="8" t="s">
        <v>267</v>
      </c>
      <c r="J386" s="109" t="s">
        <v>275</v>
      </c>
      <c r="K386" s="57">
        <v>30</v>
      </c>
      <c r="L386" s="58">
        <v>30</v>
      </c>
    </row>
    <row r="387" spans="1:12" s="9" customFormat="1" ht="15">
      <c r="A387" s="105"/>
      <c r="B387" s="106" t="s">
        <v>4547</v>
      </c>
      <c r="C387" s="106"/>
      <c r="D387" s="8" t="s">
        <v>4611</v>
      </c>
      <c r="E387" s="189" t="s">
        <v>1125</v>
      </c>
      <c r="F387" s="106"/>
      <c r="G387" s="106" t="s">
        <v>4614</v>
      </c>
      <c r="H387" s="107">
        <v>5110</v>
      </c>
      <c r="I387" s="8" t="s">
        <v>267</v>
      </c>
      <c r="J387" s="109" t="s">
        <v>275</v>
      </c>
      <c r="K387" s="57">
        <v>30</v>
      </c>
      <c r="L387" s="58">
        <v>30</v>
      </c>
    </row>
    <row r="388" spans="1:12" s="9" customFormat="1" ht="15">
      <c r="A388" s="105"/>
      <c r="B388" s="106" t="s">
        <v>4547</v>
      </c>
      <c r="C388" s="106"/>
      <c r="D388" s="8" t="s">
        <v>4612</v>
      </c>
      <c r="E388" s="189" t="s">
        <v>1125</v>
      </c>
      <c r="F388" s="106"/>
      <c r="G388" s="106" t="s">
        <v>4615</v>
      </c>
      <c r="H388" s="107">
        <v>5110</v>
      </c>
      <c r="I388" s="8" t="s">
        <v>267</v>
      </c>
      <c r="J388" s="109" t="s">
        <v>275</v>
      </c>
      <c r="K388" s="57">
        <v>30</v>
      </c>
      <c r="L388" s="58">
        <v>30</v>
      </c>
    </row>
    <row r="389" spans="1:12" s="9" customFormat="1" ht="15">
      <c r="A389" s="105"/>
      <c r="B389" s="106" t="s">
        <v>4547</v>
      </c>
      <c r="C389" s="106"/>
      <c r="D389" s="8" t="s">
        <v>4613</v>
      </c>
      <c r="E389" s="189" t="s">
        <v>1126</v>
      </c>
      <c r="F389" s="106"/>
      <c r="G389" s="106" t="s">
        <v>4616</v>
      </c>
      <c r="H389" s="107">
        <v>5110</v>
      </c>
      <c r="I389" s="8" t="s">
        <v>267</v>
      </c>
      <c r="J389" s="109" t="s">
        <v>275</v>
      </c>
      <c r="K389" s="57">
        <v>30</v>
      </c>
      <c r="L389" s="58">
        <v>30</v>
      </c>
    </row>
    <row r="390" spans="1:12" s="9" customFormat="1" ht="15">
      <c r="A390" s="105"/>
      <c r="B390" s="106" t="s">
        <v>4547</v>
      </c>
      <c r="C390" s="106"/>
      <c r="D390" s="8" t="s">
        <v>4613</v>
      </c>
      <c r="E390" s="189" t="s">
        <v>1126</v>
      </c>
      <c r="F390" s="106"/>
      <c r="G390" s="106" t="s">
        <v>4616</v>
      </c>
      <c r="H390" s="107">
        <v>5110</v>
      </c>
      <c r="I390" s="8" t="s">
        <v>267</v>
      </c>
      <c r="J390" s="109" t="s">
        <v>275</v>
      </c>
      <c r="K390" s="57">
        <v>30</v>
      </c>
      <c r="L390" s="58">
        <v>30</v>
      </c>
    </row>
    <row r="391" spans="1:12" s="9" customFormat="1" ht="15">
      <c r="A391" s="105">
        <v>374</v>
      </c>
      <c r="B391" s="106" t="s">
        <v>1896</v>
      </c>
      <c r="C391" s="106"/>
      <c r="D391" s="8" t="s">
        <v>2304</v>
      </c>
      <c r="E391" s="189" t="s">
        <v>720</v>
      </c>
      <c r="F391" s="106"/>
      <c r="G391" s="106" t="s">
        <v>719</v>
      </c>
      <c r="H391" s="107">
        <v>5110</v>
      </c>
      <c r="I391" s="8" t="s">
        <v>267</v>
      </c>
      <c r="J391" s="109" t="s">
        <v>275</v>
      </c>
      <c r="K391" s="57">
        <v>30</v>
      </c>
      <c r="L391" s="58">
        <v>30</v>
      </c>
    </row>
    <row r="392" spans="1:12" s="9" customFormat="1" ht="15">
      <c r="A392" s="105">
        <v>375</v>
      </c>
      <c r="B392" s="106" t="s">
        <v>1896</v>
      </c>
      <c r="C392" s="106"/>
      <c r="D392" s="8" t="s">
        <v>2305</v>
      </c>
      <c r="E392" s="189" t="s">
        <v>720</v>
      </c>
      <c r="F392" s="106"/>
      <c r="G392" s="106" t="s">
        <v>1082</v>
      </c>
      <c r="H392" s="107">
        <v>5110</v>
      </c>
      <c r="I392" s="8" t="s">
        <v>267</v>
      </c>
      <c r="J392" s="109" t="s">
        <v>275</v>
      </c>
      <c r="K392" s="57">
        <v>30</v>
      </c>
      <c r="L392" s="58">
        <v>30</v>
      </c>
    </row>
    <row r="393" spans="1:12" s="9" customFormat="1" ht="15">
      <c r="A393" s="105">
        <v>376</v>
      </c>
      <c r="B393" s="106" t="s">
        <v>1896</v>
      </c>
      <c r="C393" s="106"/>
      <c r="D393" s="8" t="s">
        <v>2306</v>
      </c>
      <c r="E393" s="189" t="s">
        <v>1437</v>
      </c>
      <c r="F393" s="107"/>
      <c r="G393" s="107" t="s">
        <v>1436</v>
      </c>
      <c r="H393" s="107">
        <v>5110</v>
      </c>
      <c r="I393" s="8" t="s">
        <v>267</v>
      </c>
      <c r="J393" s="8" t="s">
        <v>275</v>
      </c>
      <c r="K393" s="57">
        <v>30</v>
      </c>
      <c r="L393" s="58">
        <v>30</v>
      </c>
    </row>
    <row r="394" spans="1:12" s="9" customFormat="1" ht="15">
      <c r="A394" s="105">
        <v>376</v>
      </c>
      <c r="B394" s="106" t="s">
        <v>1896</v>
      </c>
      <c r="C394" s="106"/>
      <c r="D394" s="8" t="s">
        <v>4649</v>
      </c>
      <c r="E394" s="189" t="s">
        <v>1437</v>
      </c>
      <c r="F394" s="107"/>
      <c r="G394" s="107" t="s">
        <v>4650</v>
      </c>
      <c r="H394" s="107">
        <v>5110</v>
      </c>
      <c r="I394" s="8" t="s">
        <v>267</v>
      </c>
      <c r="J394" s="8" t="s">
        <v>275</v>
      </c>
      <c r="K394" s="57">
        <v>30</v>
      </c>
      <c r="L394" s="58">
        <v>30</v>
      </c>
    </row>
    <row r="395" spans="1:12" s="9" customFormat="1" ht="15">
      <c r="A395" s="105">
        <v>377</v>
      </c>
      <c r="B395" s="106" t="s">
        <v>1896</v>
      </c>
      <c r="C395" s="106"/>
      <c r="D395" s="8" t="s">
        <v>2307</v>
      </c>
      <c r="E395" s="189" t="s">
        <v>1437</v>
      </c>
      <c r="F395" s="107"/>
      <c r="G395" s="107" t="s">
        <v>88</v>
      </c>
      <c r="H395" s="107">
        <v>5110</v>
      </c>
      <c r="I395" s="8" t="s">
        <v>267</v>
      </c>
      <c r="J395" s="8" t="s">
        <v>275</v>
      </c>
      <c r="K395" s="57">
        <v>30</v>
      </c>
      <c r="L395" s="58">
        <v>30</v>
      </c>
    </row>
    <row r="396" spans="1:12" s="9" customFormat="1" ht="15">
      <c r="A396" s="105">
        <v>378</v>
      </c>
      <c r="B396" s="106" t="s">
        <v>1896</v>
      </c>
      <c r="C396" s="106"/>
      <c r="D396" s="8" t="s">
        <v>2308</v>
      </c>
      <c r="E396" s="189" t="s">
        <v>1437</v>
      </c>
      <c r="F396" s="107"/>
      <c r="G396" s="107" t="s">
        <v>706</v>
      </c>
      <c r="H396" s="107">
        <v>5110</v>
      </c>
      <c r="I396" s="8" t="s">
        <v>267</v>
      </c>
      <c r="J396" s="8" t="s">
        <v>275</v>
      </c>
      <c r="K396" s="57">
        <v>30</v>
      </c>
      <c r="L396" s="58">
        <v>30</v>
      </c>
    </row>
    <row r="397" spans="1:12" s="9" customFormat="1" ht="15">
      <c r="A397" s="105">
        <v>379</v>
      </c>
      <c r="B397" s="106" t="s">
        <v>1896</v>
      </c>
      <c r="C397" s="106"/>
      <c r="D397" s="8" t="s">
        <v>2309</v>
      </c>
      <c r="E397" s="189" t="s">
        <v>274</v>
      </c>
      <c r="F397" s="106"/>
      <c r="G397" s="106" t="s">
        <v>721</v>
      </c>
      <c r="H397" s="107">
        <v>5110</v>
      </c>
      <c r="I397" s="8" t="s">
        <v>267</v>
      </c>
      <c r="J397" s="109" t="s">
        <v>275</v>
      </c>
      <c r="K397" s="57">
        <v>30</v>
      </c>
      <c r="L397" s="58">
        <v>30</v>
      </c>
    </row>
    <row r="398" spans="1:12" s="9" customFormat="1" ht="15">
      <c r="A398" s="105">
        <v>380</v>
      </c>
      <c r="B398" s="106" t="s">
        <v>1896</v>
      </c>
      <c r="C398" s="106"/>
      <c r="D398" s="8" t="s">
        <v>2310</v>
      </c>
      <c r="E398" s="189" t="s">
        <v>274</v>
      </c>
      <c r="F398" s="106"/>
      <c r="G398" s="107" t="s">
        <v>707</v>
      </c>
      <c r="H398" s="107">
        <v>5110</v>
      </c>
      <c r="I398" s="8" t="s">
        <v>267</v>
      </c>
      <c r="J398" s="8" t="s">
        <v>275</v>
      </c>
      <c r="K398" s="57">
        <v>30</v>
      </c>
      <c r="L398" s="58">
        <v>30</v>
      </c>
    </row>
    <row r="399" spans="1:12" s="9" customFormat="1" ht="15">
      <c r="A399" s="105">
        <v>381</v>
      </c>
      <c r="B399" s="106" t="s">
        <v>1896</v>
      </c>
      <c r="C399" s="106"/>
      <c r="D399" s="8" t="s">
        <v>2311</v>
      </c>
      <c r="E399" s="189" t="s">
        <v>274</v>
      </c>
      <c r="F399" s="106"/>
      <c r="G399" s="106" t="s">
        <v>1835</v>
      </c>
      <c r="H399" s="107">
        <v>5110</v>
      </c>
      <c r="I399" s="8" t="s">
        <v>267</v>
      </c>
      <c r="J399" s="109" t="s">
        <v>275</v>
      </c>
      <c r="K399" s="57">
        <v>30</v>
      </c>
      <c r="L399" s="58">
        <v>30</v>
      </c>
    </row>
    <row r="400" spans="1:12" s="9" customFormat="1" ht="15">
      <c r="A400" s="105">
        <v>382</v>
      </c>
      <c r="B400" s="106" t="s">
        <v>1896</v>
      </c>
      <c r="C400" s="106"/>
      <c r="D400" s="8" t="s">
        <v>709</v>
      </c>
      <c r="E400" s="189" t="s">
        <v>274</v>
      </c>
      <c r="F400" s="106"/>
      <c r="G400" s="106" t="s">
        <v>1835</v>
      </c>
      <c r="H400" s="107">
        <v>5110</v>
      </c>
      <c r="I400" s="8" t="s">
        <v>267</v>
      </c>
      <c r="J400" s="109" t="s">
        <v>275</v>
      </c>
      <c r="K400" s="57">
        <v>30</v>
      </c>
      <c r="L400" s="58">
        <v>30</v>
      </c>
    </row>
    <row r="401" spans="1:12" s="9" customFormat="1" ht="15">
      <c r="A401" s="105">
        <v>383</v>
      </c>
      <c r="B401" s="106" t="s">
        <v>1896</v>
      </c>
      <c r="C401" s="106"/>
      <c r="D401" s="8" t="s">
        <v>2312</v>
      </c>
      <c r="E401" s="189" t="s">
        <v>274</v>
      </c>
      <c r="F401" s="106"/>
      <c r="G401" s="106" t="s">
        <v>708</v>
      </c>
      <c r="H401" s="107">
        <v>5111</v>
      </c>
      <c r="I401" s="8" t="s">
        <v>267</v>
      </c>
      <c r="J401" s="109" t="s">
        <v>275</v>
      </c>
      <c r="K401" s="57">
        <v>30</v>
      </c>
      <c r="L401" s="58">
        <v>30</v>
      </c>
    </row>
    <row r="402" spans="1:12" s="9" customFormat="1" ht="15">
      <c r="A402" s="105">
        <v>384</v>
      </c>
      <c r="B402" s="106" t="s">
        <v>1896</v>
      </c>
      <c r="C402" s="106"/>
      <c r="D402" s="8" t="s">
        <v>2313</v>
      </c>
      <c r="E402" s="189" t="s">
        <v>274</v>
      </c>
      <c r="F402" s="106"/>
      <c r="G402" s="106" t="s">
        <v>722</v>
      </c>
      <c r="H402" s="107">
        <v>5110</v>
      </c>
      <c r="I402" s="8" t="s">
        <v>267</v>
      </c>
      <c r="J402" s="109" t="s">
        <v>275</v>
      </c>
      <c r="K402" s="57">
        <v>30</v>
      </c>
      <c r="L402" s="58">
        <v>30</v>
      </c>
    </row>
    <row r="403" spans="1:12" s="9" customFormat="1" ht="15">
      <c r="A403" s="105">
        <v>385</v>
      </c>
      <c r="B403" s="106" t="s">
        <v>1896</v>
      </c>
      <c r="C403" s="106"/>
      <c r="D403" s="8" t="s">
        <v>2314</v>
      </c>
      <c r="E403" s="189" t="s">
        <v>274</v>
      </c>
      <c r="F403" s="106"/>
      <c r="G403" s="106" t="s">
        <v>1836</v>
      </c>
      <c r="H403" s="107">
        <v>5110</v>
      </c>
      <c r="I403" s="8" t="s">
        <v>267</v>
      </c>
      <c r="J403" s="109" t="s">
        <v>275</v>
      </c>
      <c r="K403" s="57">
        <v>30</v>
      </c>
      <c r="L403" s="58">
        <v>30</v>
      </c>
    </row>
    <row r="404" spans="1:12" s="9" customFormat="1" ht="15">
      <c r="A404" s="105">
        <v>386</v>
      </c>
      <c r="B404" s="106" t="s">
        <v>1896</v>
      </c>
      <c r="C404" s="106"/>
      <c r="D404" s="8" t="s">
        <v>2315</v>
      </c>
      <c r="E404" s="189" t="s">
        <v>274</v>
      </c>
      <c r="F404" s="106"/>
      <c r="G404" s="106" t="s">
        <v>1497</v>
      </c>
      <c r="H404" s="107">
        <v>5110</v>
      </c>
      <c r="I404" s="8" t="s">
        <v>267</v>
      </c>
      <c r="J404" s="109" t="s">
        <v>275</v>
      </c>
      <c r="K404" s="57">
        <v>30</v>
      </c>
      <c r="L404" s="58">
        <v>30</v>
      </c>
    </row>
    <row r="405" spans="1:12" s="9" customFormat="1" ht="15">
      <c r="A405" s="105">
        <v>387</v>
      </c>
      <c r="B405" s="106" t="s">
        <v>1896</v>
      </c>
      <c r="C405" s="106"/>
      <c r="D405" s="8" t="s">
        <v>2316</v>
      </c>
      <c r="E405" s="189" t="s">
        <v>274</v>
      </c>
      <c r="F405" s="106"/>
      <c r="G405" s="106" t="s">
        <v>1080</v>
      </c>
      <c r="H405" s="107">
        <v>5110</v>
      </c>
      <c r="I405" s="8" t="s">
        <v>267</v>
      </c>
      <c r="J405" s="109" t="s">
        <v>275</v>
      </c>
      <c r="K405" s="57">
        <v>30</v>
      </c>
      <c r="L405" s="58">
        <v>30</v>
      </c>
    </row>
    <row r="406" spans="1:12" s="9" customFormat="1" ht="15">
      <c r="A406" s="105">
        <v>388</v>
      </c>
      <c r="B406" s="106" t="s">
        <v>1896</v>
      </c>
      <c r="C406" s="106"/>
      <c r="D406" s="8" t="s">
        <v>2317</v>
      </c>
      <c r="E406" s="189" t="s">
        <v>1127</v>
      </c>
      <c r="F406" s="106"/>
      <c r="G406" s="106" t="s">
        <v>723</v>
      </c>
      <c r="H406" s="107">
        <v>5110</v>
      </c>
      <c r="I406" s="8" t="s">
        <v>267</v>
      </c>
      <c r="J406" s="109" t="s">
        <v>275</v>
      </c>
      <c r="K406" s="57">
        <v>30</v>
      </c>
      <c r="L406" s="58">
        <v>30</v>
      </c>
    </row>
    <row r="407" spans="1:12" s="9" customFormat="1" ht="15">
      <c r="A407" s="105">
        <v>389</v>
      </c>
      <c r="B407" s="106" t="s">
        <v>1896</v>
      </c>
      <c r="C407" s="106"/>
      <c r="D407" s="8" t="s">
        <v>2318</v>
      </c>
      <c r="E407" s="189" t="s">
        <v>1127</v>
      </c>
      <c r="F407" s="106"/>
      <c r="G407" s="107" t="s">
        <v>276</v>
      </c>
      <c r="H407" s="107">
        <v>5110</v>
      </c>
      <c r="I407" s="8" t="s">
        <v>267</v>
      </c>
      <c r="J407" s="8" t="s">
        <v>275</v>
      </c>
      <c r="K407" s="57">
        <v>30</v>
      </c>
      <c r="L407" s="58">
        <v>30</v>
      </c>
    </row>
    <row r="408" spans="1:12" s="9" customFormat="1" ht="15">
      <c r="A408" s="105">
        <v>390</v>
      </c>
      <c r="B408" s="106" t="s">
        <v>1896</v>
      </c>
      <c r="C408" s="106"/>
      <c r="D408" s="8" t="s">
        <v>2319</v>
      </c>
      <c r="E408" s="189" t="s">
        <v>1127</v>
      </c>
      <c r="F408" s="106"/>
      <c r="G408" s="107" t="s">
        <v>1696</v>
      </c>
      <c r="H408" s="107">
        <v>5110</v>
      </c>
      <c r="I408" s="8" t="s">
        <v>267</v>
      </c>
      <c r="J408" s="8" t="s">
        <v>275</v>
      </c>
      <c r="K408" s="57">
        <v>30</v>
      </c>
      <c r="L408" s="58">
        <v>30</v>
      </c>
    </row>
    <row r="409" spans="1:12" s="9" customFormat="1" ht="15">
      <c r="A409" s="105">
        <v>391</v>
      </c>
      <c r="B409" s="106" t="s">
        <v>1896</v>
      </c>
      <c r="C409" s="106"/>
      <c r="D409" s="8" t="s">
        <v>2366</v>
      </c>
      <c r="E409" s="189" t="s">
        <v>1127</v>
      </c>
      <c r="F409" s="106"/>
      <c r="G409" s="107" t="s">
        <v>1258</v>
      </c>
      <c r="H409" s="107">
        <v>5110</v>
      </c>
      <c r="I409" s="8" t="s">
        <v>267</v>
      </c>
      <c r="J409" s="8" t="s">
        <v>275</v>
      </c>
      <c r="K409" s="57">
        <v>30</v>
      </c>
      <c r="L409" s="58">
        <v>30</v>
      </c>
    </row>
    <row r="410" spans="1:12" s="9" customFormat="1" ht="15">
      <c r="A410" s="105">
        <v>392</v>
      </c>
      <c r="B410" s="106" t="s">
        <v>1896</v>
      </c>
      <c r="C410" s="106"/>
      <c r="D410" s="8" t="s">
        <v>2320</v>
      </c>
      <c r="E410" s="189" t="s">
        <v>278</v>
      </c>
      <c r="F410" s="107"/>
      <c r="G410" s="107" t="s">
        <v>277</v>
      </c>
      <c r="H410" s="107">
        <v>5110</v>
      </c>
      <c r="I410" s="8" t="s">
        <v>267</v>
      </c>
      <c r="J410" s="8" t="s">
        <v>275</v>
      </c>
      <c r="K410" s="57">
        <v>30</v>
      </c>
      <c r="L410" s="58">
        <v>30</v>
      </c>
    </row>
    <row r="411" spans="1:12" s="9" customFormat="1" ht="15">
      <c r="A411" s="105">
        <v>393</v>
      </c>
      <c r="B411" s="106" t="s">
        <v>1897</v>
      </c>
      <c r="C411" s="106"/>
      <c r="D411" s="8" t="s">
        <v>2321</v>
      </c>
      <c r="E411" s="189" t="s">
        <v>278</v>
      </c>
      <c r="F411" s="107"/>
      <c r="G411" s="107" t="s">
        <v>410</v>
      </c>
      <c r="H411" s="107">
        <v>5110</v>
      </c>
      <c r="I411" s="8" t="s">
        <v>267</v>
      </c>
      <c r="J411" s="8" t="s">
        <v>275</v>
      </c>
      <c r="K411" s="57">
        <v>30</v>
      </c>
      <c r="L411" s="58">
        <v>30</v>
      </c>
    </row>
    <row r="412" spans="1:12" s="9" customFormat="1" ht="15">
      <c r="A412" s="105">
        <v>394</v>
      </c>
      <c r="B412" s="106" t="s">
        <v>1896</v>
      </c>
      <c r="C412" s="106"/>
      <c r="D412" s="8" t="s">
        <v>2322</v>
      </c>
      <c r="E412" s="189" t="s">
        <v>853</v>
      </c>
      <c r="F412" s="106"/>
      <c r="G412" s="106" t="s">
        <v>852</v>
      </c>
      <c r="H412" s="107">
        <v>5110</v>
      </c>
      <c r="I412" s="8" t="s">
        <v>267</v>
      </c>
      <c r="J412" s="109" t="s">
        <v>275</v>
      </c>
      <c r="K412" s="57">
        <v>30</v>
      </c>
      <c r="L412" s="58">
        <v>30</v>
      </c>
    </row>
    <row r="413" spans="1:12" s="9" customFormat="1" ht="15">
      <c r="A413" s="105">
        <v>395</v>
      </c>
      <c r="B413" s="106" t="s">
        <v>1896</v>
      </c>
      <c r="C413" s="106"/>
      <c r="D413" s="8" t="s">
        <v>2323</v>
      </c>
      <c r="E413" s="189" t="s">
        <v>853</v>
      </c>
      <c r="F413" s="106"/>
      <c r="G413" s="106" t="s">
        <v>1934</v>
      </c>
      <c r="H413" s="107">
        <v>5110</v>
      </c>
      <c r="I413" s="8" t="s">
        <v>267</v>
      </c>
      <c r="J413" s="109" t="s">
        <v>275</v>
      </c>
      <c r="K413" s="57">
        <v>30</v>
      </c>
      <c r="L413" s="58">
        <v>30</v>
      </c>
    </row>
    <row r="414" spans="1:12" s="9" customFormat="1" ht="15">
      <c r="A414" s="105">
        <v>396</v>
      </c>
      <c r="B414" s="106" t="s">
        <v>1896</v>
      </c>
      <c r="C414" s="106"/>
      <c r="D414" s="8" t="s">
        <v>2367</v>
      </c>
      <c r="E414" s="189" t="s">
        <v>21</v>
      </c>
      <c r="F414" s="107"/>
      <c r="G414" s="107" t="s">
        <v>867</v>
      </c>
      <c r="H414" s="107">
        <v>5110</v>
      </c>
      <c r="I414" s="8" t="s">
        <v>267</v>
      </c>
      <c r="J414" s="8" t="s">
        <v>275</v>
      </c>
      <c r="K414" s="57">
        <v>30</v>
      </c>
      <c r="L414" s="58">
        <v>30</v>
      </c>
    </row>
    <row r="415" spans="1:12" s="9" customFormat="1" ht="15">
      <c r="A415" s="105">
        <v>397</v>
      </c>
      <c r="B415" s="106" t="s">
        <v>1896</v>
      </c>
      <c r="C415" s="106"/>
      <c r="D415" s="8" t="s">
        <v>2368</v>
      </c>
      <c r="E415" s="189" t="s">
        <v>21</v>
      </c>
      <c r="F415" s="107"/>
      <c r="G415" s="107" t="s">
        <v>868</v>
      </c>
      <c r="H415" s="107">
        <v>5110</v>
      </c>
      <c r="I415" s="8" t="s">
        <v>267</v>
      </c>
      <c r="J415" s="8" t="s">
        <v>275</v>
      </c>
      <c r="K415" s="57">
        <v>30</v>
      </c>
      <c r="L415" s="58">
        <v>30</v>
      </c>
    </row>
    <row r="416" spans="1:12" s="9" customFormat="1" ht="15">
      <c r="A416" s="105">
        <v>398</v>
      </c>
      <c r="B416" s="106" t="s">
        <v>1896</v>
      </c>
      <c r="C416" s="106"/>
      <c r="D416" s="8" t="s">
        <v>2369</v>
      </c>
      <c r="E416" s="189" t="s">
        <v>344</v>
      </c>
      <c r="F416" s="107"/>
      <c r="G416" s="107" t="s">
        <v>343</v>
      </c>
      <c r="H416" s="107">
        <v>5110</v>
      </c>
      <c r="I416" s="8" t="s">
        <v>267</v>
      </c>
      <c r="J416" s="8" t="s">
        <v>275</v>
      </c>
      <c r="K416" s="57">
        <v>30</v>
      </c>
      <c r="L416" s="58">
        <v>30</v>
      </c>
    </row>
    <row r="417" spans="1:12" s="9" customFormat="1" ht="15">
      <c r="A417" s="105">
        <v>399</v>
      </c>
      <c r="B417" s="106" t="s">
        <v>1896</v>
      </c>
      <c r="C417" s="106"/>
      <c r="D417" s="8" t="s">
        <v>2370</v>
      </c>
      <c r="E417" s="189" t="s">
        <v>855</v>
      </c>
      <c r="F417" s="106"/>
      <c r="G417" s="106" t="s">
        <v>854</v>
      </c>
      <c r="H417" s="107">
        <v>5110</v>
      </c>
      <c r="I417" s="8" t="s">
        <v>267</v>
      </c>
      <c r="J417" s="108" t="s">
        <v>856</v>
      </c>
      <c r="K417" s="57">
        <v>30</v>
      </c>
      <c r="L417" s="58">
        <v>30</v>
      </c>
    </row>
    <row r="418" spans="1:12" s="9" customFormat="1" ht="15">
      <c r="A418" s="105">
        <v>400</v>
      </c>
      <c r="B418" s="106" t="s">
        <v>1896</v>
      </c>
      <c r="C418" s="106"/>
      <c r="D418" s="8" t="s">
        <v>2371</v>
      </c>
      <c r="E418" s="189" t="s">
        <v>346</v>
      </c>
      <c r="F418" s="107"/>
      <c r="G418" s="107" t="s">
        <v>345</v>
      </c>
      <c r="H418" s="107">
        <v>5110</v>
      </c>
      <c r="I418" s="8" t="s">
        <v>267</v>
      </c>
      <c r="J418" s="8" t="s">
        <v>275</v>
      </c>
      <c r="K418" s="57">
        <v>30</v>
      </c>
      <c r="L418" s="58">
        <v>30</v>
      </c>
    </row>
    <row r="419" spans="1:12" s="9" customFormat="1" ht="15">
      <c r="A419" s="105">
        <v>401</v>
      </c>
      <c r="B419" s="106" t="s">
        <v>1896</v>
      </c>
      <c r="C419" s="106"/>
      <c r="D419" s="8" t="s">
        <v>2372</v>
      </c>
      <c r="E419" s="189" t="s">
        <v>348</v>
      </c>
      <c r="F419" s="107"/>
      <c r="G419" s="107" t="s">
        <v>347</v>
      </c>
      <c r="H419" s="107">
        <v>5110</v>
      </c>
      <c r="I419" s="8" t="s">
        <v>267</v>
      </c>
      <c r="J419" s="8" t="s">
        <v>275</v>
      </c>
      <c r="K419" s="57">
        <v>30</v>
      </c>
      <c r="L419" s="58">
        <v>30</v>
      </c>
    </row>
    <row r="420" spans="1:12" s="9" customFormat="1" ht="15">
      <c r="A420" s="105">
        <v>402</v>
      </c>
      <c r="B420" s="106" t="s">
        <v>1896</v>
      </c>
      <c r="C420" s="106"/>
      <c r="D420" s="8" t="s">
        <v>2374</v>
      </c>
      <c r="E420" s="189" t="s">
        <v>349</v>
      </c>
      <c r="F420" s="107"/>
      <c r="G420" s="107" t="s">
        <v>22</v>
      </c>
      <c r="H420" s="107">
        <v>5110</v>
      </c>
      <c r="I420" s="8" t="s">
        <v>267</v>
      </c>
      <c r="J420" s="8" t="s">
        <v>275</v>
      </c>
      <c r="K420" s="57">
        <v>30</v>
      </c>
      <c r="L420" s="58">
        <v>30</v>
      </c>
    </row>
    <row r="421" spans="1:12" s="9" customFormat="1" ht="15">
      <c r="A421" s="105">
        <v>403</v>
      </c>
      <c r="B421" s="106" t="s">
        <v>1896</v>
      </c>
      <c r="C421" s="106"/>
      <c r="D421" s="8" t="s">
        <v>2373</v>
      </c>
      <c r="E421" s="189" t="s">
        <v>352</v>
      </c>
      <c r="F421" s="107"/>
      <c r="G421" s="107" t="s">
        <v>351</v>
      </c>
      <c r="H421" s="107">
        <v>5110</v>
      </c>
      <c r="I421" s="8" t="s">
        <v>267</v>
      </c>
      <c r="J421" s="8" t="s">
        <v>275</v>
      </c>
      <c r="K421" s="57">
        <v>30</v>
      </c>
      <c r="L421" s="58">
        <v>30</v>
      </c>
    </row>
    <row r="422" spans="1:12" s="9" customFormat="1" ht="15">
      <c r="A422" s="105">
        <v>404</v>
      </c>
      <c r="B422" s="106" t="s">
        <v>1896</v>
      </c>
      <c r="C422" s="106"/>
      <c r="D422" s="8" t="s">
        <v>2375</v>
      </c>
      <c r="E422" s="189" t="s">
        <v>353</v>
      </c>
      <c r="F422" s="107"/>
      <c r="G422" s="107" t="s">
        <v>354</v>
      </c>
      <c r="H422" s="107">
        <v>5110</v>
      </c>
      <c r="I422" s="8" t="s">
        <v>267</v>
      </c>
      <c r="J422" s="8" t="s">
        <v>275</v>
      </c>
      <c r="K422" s="57">
        <v>30</v>
      </c>
      <c r="L422" s="58">
        <v>30</v>
      </c>
    </row>
    <row r="423" spans="1:12" s="9" customFormat="1" ht="15">
      <c r="A423" s="105">
        <v>405</v>
      </c>
      <c r="B423" s="106" t="s">
        <v>1896</v>
      </c>
      <c r="C423" s="106"/>
      <c r="D423" s="8" t="s">
        <v>2376</v>
      </c>
      <c r="E423" s="189" t="s">
        <v>858</v>
      </c>
      <c r="F423" s="106"/>
      <c r="G423" s="106" t="s">
        <v>857</v>
      </c>
      <c r="H423" s="107">
        <v>5110</v>
      </c>
      <c r="I423" s="8" t="s">
        <v>267</v>
      </c>
      <c r="J423" s="108" t="s">
        <v>293</v>
      </c>
      <c r="K423" s="57">
        <v>30</v>
      </c>
      <c r="L423" s="58">
        <v>30</v>
      </c>
    </row>
    <row r="424" spans="1:12" s="9" customFormat="1" ht="15">
      <c r="A424" s="105">
        <v>406</v>
      </c>
      <c r="B424" s="106" t="s">
        <v>1896</v>
      </c>
      <c r="C424" s="106"/>
      <c r="D424" s="8" t="s">
        <v>2377</v>
      </c>
      <c r="E424" s="189" t="s">
        <v>858</v>
      </c>
      <c r="F424" s="106"/>
      <c r="G424" s="106" t="s">
        <v>859</v>
      </c>
      <c r="H424" s="107">
        <v>5110</v>
      </c>
      <c r="I424" s="8" t="s">
        <v>267</v>
      </c>
      <c r="J424" s="108" t="s">
        <v>293</v>
      </c>
      <c r="K424" s="57">
        <v>30</v>
      </c>
      <c r="L424" s="58">
        <v>30</v>
      </c>
    </row>
    <row r="425" spans="1:12" s="9" customFormat="1" ht="15">
      <c r="A425" s="105">
        <v>407</v>
      </c>
      <c r="B425" s="106" t="s">
        <v>1896</v>
      </c>
      <c r="C425" s="106"/>
      <c r="D425" s="8" t="s">
        <v>2378</v>
      </c>
      <c r="E425" s="189" t="s">
        <v>858</v>
      </c>
      <c r="F425" s="106"/>
      <c r="G425" s="106" t="s">
        <v>1885</v>
      </c>
      <c r="H425" s="107">
        <v>5110</v>
      </c>
      <c r="I425" s="8" t="s">
        <v>267</v>
      </c>
      <c r="J425" s="108" t="s">
        <v>293</v>
      </c>
      <c r="K425" s="57">
        <v>30</v>
      </c>
      <c r="L425" s="58">
        <v>30</v>
      </c>
    </row>
    <row r="426" spans="1:12" s="9" customFormat="1" ht="15">
      <c r="A426" s="105">
        <v>408</v>
      </c>
      <c r="B426" s="106" t="s">
        <v>1896</v>
      </c>
      <c r="C426" s="106"/>
      <c r="D426" s="8" t="s">
        <v>2379</v>
      </c>
      <c r="E426" s="189" t="s">
        <v>861</v>
      </c>
      <c r="F426" s="106"/>
      <c r="G426" s="106" t="s">
        <v>860</v>
      </c>
      <c r="H426" s="107">
        <v>5110</v>
      </c>
      <c r="I426" s="8" t="s">
        <v>267</v>
      </c>
      <c r="J426" s="108" t="s">
        <v>293</v>
      </c>
      <c r="K426" s="57">
        <v>30</v>
      </c>
      <c r="L426" s="58">
        <v>30</v>
      </c>
    </row>
    <row r="427" spans="1:12" s="9" customFormat="1" ht="15">
      <c r="A427" s="105">
        <v>409</v>
      </c>
      <c r="B427" s="106" t="s">
        <v>1896</v>
      </c>
      <c r="C427" s="106"/>
      <c r="D427" s="8" t="s">
        <v>2380</v>
      </c>
      <c r="E427" s="189" t="s">
        <v>861</v>
      </c>
      <c r="F427" s="106"/>
      <c r="G427" s="106" t="s">
        <v>862</v>
      </c>
      <c r="H427" s="107">
        <v>5110</v>
      </c>
      <c r="I427" s="8" t="s">
        <v>267</v>
      </c>
      <c r="J427" s="108" t="s">
        <v>293</v>
      </c>
      <c r="K427" s="57">
        <v>30</v>
      </c>
      <c r="L427" s="58">
        <v>30</v>
      </c>
    </row>
    <row r="428" spans="1:12" s="9" customFormat="1" ht="15">
      <c r="A428" s="105">
        <v>410</v>
      </c>
      <c r="B428" s="106" t="s">
        <v>1896</v>
      </c>
      <c r="C428" s="106"/>
      <c r="D428" s="8" t="s">
        <v>2381</v>
      </c>
      <c r="E428" s="189" t="s">
        <v>861</v>
      </c>
      <c r="F428" s="107"/>
      <c r="G428" s="107" t="s">
        <v>4559</v>
      </c>
      <c r="H428" s="107">
        <v>5110</v>
      </c>
      <c r="I428" s="8" t="s">
        <v>267</v>
      </c>
      <c r="J428" s="8" t="s">
        <v>293</v>
      </c>
      <c r="K428" s="57">
        <v>30</v>
      </c>
      <c r="L428" s="58">
        <v>30</v>
      </c>
    </row>
    <row r="429" spans="1:12" s="9" customFormat="1" ht="15">
      <c r="A429" s="105">
        <v>410</v>
      </c>
      <c r="B429" s="106" t="s">
        <v>1896</v>
      </c>
      <c r="C429" s="106"/>
      <c r="D429" s="8" t="s">
        <v>4558</v>
      </c>
      <c r="E429" s="189" t="s">
        <v>861</v>
      </c>
      <c r="F429" s="107"/>
      <c r="G429" s="107" t="s">
        <v>4560</v>
      </c>
      <c r="H429" s="107">
        <v>5110</v>
      </c>
      <c r="I429" s="8" t="s">
        <v>267</v>
      </c>
      <c r="J429" s="8" t="s">
        <v>293</v>
      </c>
      <c r="K429" s="57">
        <v>30</v>
      </c>
      <c r="L429" s="58">
        <v>30</v>
      </c>
    </row>
    <row r="430" spans="1:12" s="9" customFormat="1" ht="15">
      <c r="A430" s="105">
        <v>411</v>
      </c>
      <c r="B430" s="106" t="s">
        <v>1896</v>
      </c>
      <c r="C430" s="106"/>
      <c r="D430" s="8" t="s">
        <v>2382</v>
      </c>
      <c r="E430" s="189" t="s">
        <v>864</v>
      </c>
      <c r="F430" s="106"/>
      <c r="G430" s="106" t="s">
        <v>863</v>
      </c>
      <c r="H430" s="107">
        <v>5110</v>
      </c>
      <c r="I430" s="8" t="s">
        <v>267</v>
      </c>
      <c r="J430" s="108" t="s">
        <v>275</v>
      </c>
      <c r="K430" s="57">
        <v>30</v>
      </c>
      <c r="L430" s="58">
        <v>30</v>
      </c>
    </row>
    <row r="431" spans="1:12" s="9" customFormat="1" ht="15">
      <c r="A431" s="105">
        <v>412</v>
      </c>
      <c r="B431" s="106" t="s">
        <v>1896</v>
      </c>
      <c r="C431" s="106"/>
      <c r="D431" s="8" t="s">
        <v>2383</v>
      </c>
      <c r="E431" s="189" t="s">
        <v>864</v>
      </c>
      <c r="F431" s="106"/>
      <c r="G431" s="106" t="s">
        <v>865</v>
      </c>
      <c r="H431" s="107">
        <v>5110</v>
      </c>
      <c r="I431" s="8" t="s">
        <v>267</v>
      </c>
      <c r="J431" s="108" t="s">
        <v>275</v>
      </c>
      <c r="K431" s="57">
        <v>30</v>
      </c>
      <c r="L431" s="58">
        <v>30</v>
      </c>
    </row>
    <row r="432" spans="1:12" s="9" customFormat="1" ht="15">
      <c r="A432" s="105">
        <v>413</v>
      </c>
      <c r="B432" s="106" t="s">
        <v>1896</v>
      </c>
      <c r="C432" s="106"/>
      <c r="D432" s="8" t="s">
        <v>2384</v>
      </c>
      <c r="E432" s="189" t="s">
        <v>2412</v>
      </c>
      <c r="F432" s="106"/>
      <c r="G432" s="106" t="s">
        <v>866</v>
      </c>
      <c r="H432" s="107">
        <v>5110</v>
      </c>
      <c r="I432" s="8" t="s">
        <v>267</v>
      </c>
      <c r="J432" s="108" t="s">
        <v>275</v>
      </c>
      <c r="K432" s="57">
        <v>30</v>
      </c>
      <c r="L432" s="58">
        <v>30</v>
      </c>
    </row>
    <row r="433" spans="1:12" s="9" customFormat="1" ht="15">
      <c r="A433" s="105">
        <v>414</v>
      </c>
      <c r="B433" s="106" t="s">
        <v>1896</v>
      </c>
      <c r="C433" s="106"/>
      <c r="D433" s="8" t="s">
        <v>2385</v>
      </c>
      <c r="E433" s="189" t="s">
        <v>2412</v>
      </c>
      <c r="F433" s="106"/>
      <c r="G433" s="106" t="s">
        <v>2413</v>
      </c>
      <c r="H433" s="107">
        <v>5110</v>
      </c>
      <c r="I433" s="8" t="s">
        <v>267</v>
      </c>
      <c r="J433" s="108" t="s">
        <v>275</v>
      </c>
      <c r="K433" s="57">
        <v>30</v>
      </c>
      <c r="L433" s="58">
        <v>30</v>
      </c>
    </row>
    <row r="434" spans="1:12" s="9" customFormat="1" ht="15">
      <c r="A434" s="105">
        <v>411</v>
      </c>
      <c r="B434" s="106" t="s">
        <v>1896</v>
      </c>
      <c r="C434" s="106"/>
      <c r="D434" s="8" t="s">
        <v>2922</v>
      </c>
      <c r="E434" s="189" t="s">
        <v>864</v>
      </c>
      <c r="F434" s="106"/>
      <c r="G434" s="106" t="s">
        <v>4785</v>
      </c>
      <c r="H434" s="107">
        <v>5110</v>
      </c>
      <c r="I434" s="8" t="s">
        <v>267</v>
      </c>
      <c r="J434" s="108" t="s">
        <v>275</v>
      </c>
      <c r="K434" s="57">
        <v>30</v>
      </c>
      <c r="L434" s="58">
        <v>30</v>
      </c>
    </row>
    <row r="435" spans="1:12" s="9" customFormat="1" ht="15">
      <c r="A435" s="105">
        <v>412</v>
      </c>
      <c r="B435" s="106" t="s">
        <v>1896</v>
      </c>
      <c r="C435" s="106"/>
      <c r="D435" s="8" t="s">
        <v>2923</v>
      </c>
      <c r="E435" s="189" t="s">
        <v>864</v>
      </c>
      <c r="F435" s="106"/>
      <c r="G435" s="106" t="s">
        <v>4786</v>
      </c>
      <c r="H435" s="107">
        <v>5110</v>
      </c>
      <c r="I435" s="8" t="s">
        <v>267</v>
      </c>
      <c r="J435" s="108" t="s">
        <v>275</v>
      </c>
      <c r="K435" s="57">
        <v>30</v>
      </c>
      <c r="L435" s="58">
        <v>30</v>
      </c>
    </row>
    <row r="436" spans="1:12" s="9" customFormat="1" ht="15">
      <c r="A436" s="105">
        <v>413</v>
      </c>
      <c r="B436" s="106" t="s">
        <v>1896</v>
      </c>
      <c r="C436" s="106"/>
      <c r="D436" s="8" t="s">
        <v>4783</v>
      </c>
      <c r="E436" s="189" t="s">
        <v>2412</v>
      </c>
      <c r="F436" s="106"/>
      <c r="G436" s="106" t="s">
        <v>4787</v>
      </c>
      <c r="H436" s="107">
        <v>5110</v>
      </c>
      <c r="I436" s="8" t="s">
        <v>267</v>
      </c>
      <c r="J436" s="108" t="s">
        <v>275</v>
      </c>
      <c r="K436" s="57">
        <v>30</v>
      </c>
      <c r="L436" s="58">
        <v>30</v>
      </c>
    </row>
    <row r="437" spans="1:12" s="9" customFormat="1" ht="15">
      <c r="A437" s="105">
        <v>414</v>
      </c>
      <c r="B437" s="106" t="s">
        <v>1896</v>
      </c>
      <c r="C437" s="106"/>
      <c r="D437" s="8" t="s">
        <v>4784</v>
      </c>
      <c r="E437" s="189" t="s">
        <v>2412</v>
      </c>
      <c r="F437" s="106"/>
      <c r="G437" s="106" t="s">
        <v>4788</v>
      </c>
      <c r="H437" s="107">
        <v>5110</v>
      </c>
      <c r="I437" s="8" t="s">
        <v>267</v>
      </c>
      <c r="J437" s="108" t="s">
        <v>275</v>
      </c>
      <c r="K437" s="57">
        <v>30</v>
      </c>
      <c r="L437" s="58">
        <v>30</v>
      </c>
    </row>
    <row r="438" spans="1:12" s="9" customFormat="1" ht="15">
      <c r="A438" s="105">
        <v>415</v>
      </c>
      <c r="B438" s="106" t="s">
        <v>1896</v>
      </c>
      <c r="C438" s="106"/>
      <c r="D438" s="8" t="s">
        <v>2386</v>
      </c>
      <c r="E438" s="189" t="s">
        <v>89</v>
      </c>
      <c r="F438" s="107"/>
      <c r="G438" s="107" t="s">
        <v>1894</v>
      </c>
      <c r="H438" s="107">
        <v>5110</v>
      </c>
      <c r="I438" s="8" t="s">
        <v>267</v>
      </c>
      <c r="J438" s="8" t="s">
        <v>258</v>
      </c>
      <c r="K438" s="57">
        <v>30</v>
      </c>
      <c r="L438" s="58">
        <v>30</v>
      </c>
    </row>
    <row r="439" spans="1:12" s="9" customFormat="1" ht="15">
      <c r="A439" s="105">
        <v>416</v>
      </c>
      <c r="B439" s="106" t="s">
        <v>1896</v>
      </c>
      <c r="C439" s="106"/>
      <c r="D439" s="8" t="s">
        <v>2387</v>
      </c>
      <c r="E439" s="189" t="s">
        <v>90</v>
      </c>
      <c r="F439" s="107"/>
      <c r="G439" s="107" t="s">
        <v>1893</v>
      </c>
      <c r="H439" s="107">
        <v>5110</v>
      </c>
      <c r="I439" s="8" t="s">
        <v>267</v>
      </c>
      <c r="J439" s="8" t="s">
        <v>258</v>
      </c>
      <c r="K439" s="57">
        <v>30</v>
      </c>
      <c r="L439" s="58">
        <v>30</v>
      </c>
    </row>
    <row r="440" spans="1:12" s="9" customFormat="1" ht="15">
      <c r="A440" s="105">
        <v>417</v>
      </c>
      <c r="B440" s="106" t="s">
        <v>1896</v>
      </c>
      <c r="C440" s="106"/>
      <c r="D440" s="8" t="s">
        <v>2388</v>
      </c>
      <c r="E440" s="189" t="s">
        <v>2415</v>
      </c>
      <c r="F440" s="106"/>
      <c r="G440" s="106" t="s">
        <v>2414</v>
      </c>
      <c r="H440" s="107">
        <v>5110</v>
      </c>
      <c r="I440" s="8" t="s">
        <v>267</v>
      </c>
      <c r="J440" s="108" t="s">
        <v>275</v>
      </c>
      <c r="K440" s="57">
        <v>30</v>
      </c>
      <c r="L440" s="58">
        <v>30</v>
      </c>
    </row>
    <row r="441" spans="1:12" s="9" customFormat="1" ht="15">
      <c r="A441" s="105">
        <v>418</v>
      </c>
      <c r="B441" s="106" t="s">
        <v>1896</v>
      </c>
      <c r="C441" s="106"/>
      <c r="D441" s="8" t="s">
        <v>2389</v>
      </c>
      <c r="E441" s="189" t="s">
        <v>2415</v>
      </c>
      <c r="F441" s="106"/>
      <c r="G441" s="106" t="s">
        <v>2416</v>
      </c>
      <c r="H441" s="107">
        <v>5110</v>
      </c>
      <c r="I441" s="8" t="s">
        <v>267</v>
      </c>
      <c r="J441" s="108" t="s">
        <v>275</v>
      </c>
      <c r="K441" s="57">
        <v>30</v>
      </c>
      <c r="L441" s="58">
        <v>30</v>
      </c>
    </row>
    <row r="442" spans="1:12" s="9" customFormat="1" ht="15">
      <c r="A442" s="105">
        <v>419</v>
      </c>
      <c r="B442" s="106" t="s">
        <v>1896</v>
      </c>
      <c r="C442" s="106"/>
      <c r="D442" s="8" t="s">
        <v>2390</v>
      </c>
      <c r="E442" s="189" t="s">
        <v>2418</v>
      </c>
      <c r="F442" s="106"/>
      <c r="G442" s="106" t="s">
        <v>2417</v>
      </c>
      <c r="H442" s="107">
        <v>5110</v>
      </c>
      <c r="I442" s="8" t="s">
        <v>267</v>
      </c>
      <c r="J442" s="108" t="s">
        <v>275</v>
      </c>
      <c r="K442" s="57">
        <v>30</v>
      </c>
      <c r="L442" s="58">
        <v>30</v>
      </c>
    </row>
    <row r="443" spans="1:12" s="9" customFormat="1" ht="15">
      <c r="A443" s="105">
        <v>420</v>
      </c>
      <c r="B443" s="106" t="s">
        <v>1896</v>
      </c>
      <c r="C443" s="106"/>
      <c r="D443" s="8" t="s">
        <v>2391</v>
      </c>
      <c r="E443" s="189" t="s">
        <v>2418</v>
      </c>
      <c r="F443" s="106"/>
      <c r="G443" s="106" t="s">
        <v>2421</v>
      </c>
      <c r="H443" s="107">
        <v>5110</v>
      </c>
      <c r="I443" s="8" t="s">
        <v>267</v>
      </c>
      <c r="J443" s="108" t="s">
        <v>275</v>
      </c>
      <c r="K443" s="57">
        <v>30</v>
      </c>
      <c r="L443" s="58">
        <v>30</v>
      </c>
    </row>
    <row r="444" spans="1:12" s="9" customFormat="1" ht="15">
      <c r="A444" s="105">
        <v>421</v>
      </c>
      <c r="B444" s="106" t="s">
        <v>1896</v>
      </c>
      <c r="C444" s="106"/>
      <c r="D444" s="8" t="s">
        <v>2392</v>
      </c>
      <c r="E444" s="189" t="s">
        <v>1759</v>
      </c>
      <c r="F444" s="107"/>
      <c r="G444" s="107" t="s">
        <v>1758</v>
      </c>
      <c r="H444" s="107">
        <v>5110</v>
      </c>
      <c r="I444" s="8" t="s">
        <v>267</v>
      </c>
      <c r="J444" s="8" t="s">
        <v>275</v>
      </c>
      <c r="K444" s="57">
        <v>30</v>
      </c>
      <c r="L444" s="58">
        <v>30</v>
      </c>
    </row>
    <row r="445" spans="1:12" s="9" customFormat="1" ht="15">
      <c r="A445" s="105">
        <v>422</v>
      </c>
      <c r="B445" s="106" t="s">
        <v>1897</v>
      </c>
      <c r="C445" s="106"/>
      <c r="D445" s="8" t="s">
        <v>2393</v>
      </c>
      <c r="E445" s="189" t="s">
        <v>1759</v>
      </c>
      <c r="F445" s="107"/>
      <c r="G445" s="107" t="s">
        <v>2429</v>
      </c>
      <c r="H445" s="107">
        <v>5110</v>
      </c>
      <c r="I445" s="8" t="s">
        <v>267</v>
      </c>
      <c r="J445" s="8" t="s">
        <v>275</v>
      </c>
      <c r="K445" s="57">
        <v>30</v>
      </c>
      <c r="L445" s="58">
        <v>30</v>
      </c>
    </row>
    <row r="446" spans="1:12" s="9" customFormat="1" ht="15">
      <c r="A446" s="105">
        <v>423</v>
      </c>
      <c r="B446" s="106" t="s">
        <v>1896</v>
      </c>
      <c r="C446" s="106"/>
      <c r="D446" s="8" t="s">
        <v>2394</v>
      </c>
      <c r="E446" s="189" t="s">
        <v>2423</v>
      </c>
      <c r="F446" s="106"/>
      <c r="G446" s="106" t="s">
        <v>2422</v>
      </c>
      <c r="H446" s="107">
        <v>5110</v>
      </c>
      <c r="I446" s="8" t="s">
        <v>267</v>
      </c>
      <c r="J446" s="108" t="s">
        <v>293</v>
      </c>
      <c r="K446" s="57">
        <v>30</v>
      </c>
      <c r="L446" s="58">
        <v>30</v>
      </c>
    </row>
    <row r="447" spans="1:12" s="3" customFormat="1" ht="15">
      <c r="A447" s="105">
        <v>424</v>
      </c>
      <c r="B447" s="106" t="s">
        <v>1896</v>
      </c>
      <c r="C447" s="106"/>
      <c r="D447" s="8" t="s">
        <v>2395</v>
      </c>
      <c r="E447" s="189" t="s">
        <v>2425</v>
      </c>
      <c r="F447" s="106"/>
      <c r="G447" s="106" t="s">
        <v>2424</v>
      </c>
      <c r="H447" s="107">
        <v>5110</v>
      </c>
      <c r="I447" s="8" t="s">
        <v>267</v>
      </c>
      <c r="J447" s="108" t="s">
        <v>293</v>
      </c>
      <c r="K447" s="57">
        <v>30</v>
      </c>
      <c r="L447" s="58">
        <v>30</v>
      </c>
    </row>
    <row r="448" spans="1:12" s="9" customFormat="1" ht="15">
      <c r="A448" s="105">
        <v>425</v>
      </c>
      <c r="B448" s="106" t="s">
        <v>1896</v>
      </c>
      <c r="C448" s="106"/>
      <c r="D448" s="8" t="s">
        <v>2396</v>
      </c>
      <c r="E448" s="189" t="s">
        <v>2427</v>
      </c>
      <c r="F448" s="106"/>
      <c r="G448" s="106" t="s">
        <v>2426</v>
      </c>
      <c r="H448" s="107">
        <v>5110</v>
      </c>
      <c r="I448" s="8" t="s">
        <v>267</v>
      </c>
      <c r="J448" s="108" t="s">
        <v>293</v>
      </c>
      <c r="K448" s="57">
        <v>30</v>
      </c>
      <c r="L448" s="58">
        <v>30</v>
      </c>
    </row>
    <row r="449" spans="1:12" s="9" customFormat="1" ht="15">
      <c r="A449" s="105">
        <v>425</v>
      </c>
      <c r="B449" s="106" t="s">
        <v>4547</v>
      </c>
      <c r="C449" s="106"/>
      <c r="D449" s="8" t="s">
        <v>5240</v>
      </c>
      <c r="E449" s="189" t="s">
        <v>2427</v>
      </c>
      <c r="F449" s="106"/>
      <c r="G449" s="106" t="s">
        <v>5241</v>
      </c>
      <c r="H449" s="107">
        <v>5110</v>
      </c>
      <c r="I449" s="8" t="s">
        <v>267</v>
      </c>
      <c r="J449" s="108" t="s">
        <v>293</v>
      </c>
      <c r="K449" s="57">
        <v>30</v>
      </c>
      <c r="L449" s="58">
        <v>30</v>
      </c>
    </row>
    <row r="450" spans="1:12" s="9" customFormat="1" ht="15">
      <c r="A450" s="105">
        <v>426</v>
      </c>
      <c r="B450" s="106" t="s">
        <v>1896</v>
      </c>
      <c r="C450" s="106"/>
      <c r="D450" s="8" t="s">
        <v>2397</v>
      </c>
      <c r="E450" s="189" t="s">
        <v>2431</v>
      </c>
      <c r="F450" s="106"/>
      <c r="G450" s="106" t="s">
        <v>2430</v>
      </c>
      <c r="H450" s="107">
        <v>5110</v>
      </c>
      <c r="I450" s="8" t="s">
        <v>267</v>
      </c>
      <c r="J450" s="108" t="s">
        <v>293</v>
      </c>
      <c r="K450" s="57">
        <v>30</v>
      </c>
      <c r="L450" s="58">
        <v>30</v>
      </c>
    </row>
    <row r="451" spans="1:12" s="9" customFormat="1" ht="15">
      <c r="A451" s="105">
        <v>427</v>
      </c>
      <c r="B451" s="106" t="s">
        <v>1896</v>
      </c>
      <c r="C451" s="106"/>
      <c r="D451" s="8" t="s">
        <v>2398</v>
      </c>
      <c r="E451" s="189" t="s">
        <v>2435</v>
      </c>
      <c r="F451" s="106"/>
      <c r="G451" s="106" t="s">
        <v>2432</v>
      </c>
      <c r="H451" s="107">
        <v>5110</v>
      </c>
      <c r="I451" s="8" t="s">
        <v>267</v>
      </c>
      <c r="J451" s="108" t="s">
        <v>293</v>
      </c>
      <c r="K451" s="57">
        <v>30</v>
      </c>
      <c r="L451" s="58">
        <v>30</v>
      </c>
    </row>
    <row r="452" spans="1:12" s="9" customFormat="1" ht="15">
      <c r="A452" s="105">
        <v>428</v>
      </c>
      <c r="B452" s="106" t="s">
        <v>1896</v>
      </c>
      <c r="C452" s="106"/>
      <c r="D452" s="8" t="s">
        <v>2399</v>
      </c>
      <c r="E452" s="189" t="s">
        <v>2437</v>
      </c>
      <c r="F452" s="106"/>
      <c r="G452" s="106" t="s">
        <v>2436</v>
      </c>
      <c r="H452" s="107">
        <v>5110</v>
      </c>
      <c r="I452" s="8" t="s">
        <v>267</v>
      </c>
      <c r="J452" s="108" t="s">
        <v>293</v>
      </c>
      <c r="K452" s="57">
        <v>30</v>
      </c>
      <c r="L452" s="58">
        <v>30</v>
      </c>
    </row>
    <row r="453" spans="1:12" s="9" customFormat="1" ht="15">
      <c r="A453" s="105">
        <v>429</v>
      </c>
      <c r="B453" s="106" t="s">
        <v>1896</v>
      </c>
      <c r="C453" s="106"/>
      <c r="D453" s="8" t="s">
        <v>1047</v>
      </c>
      <c r="E453" s="189" t="s">
        <v>60</v>
      </c>
      <c r="F453" s="107"/>
      <c r="G453" s="107" t="s">
        <v>25</v>
      </c>
      <c r="H453" s="107">
        <v>5110</v>
      </c>
      <c r="I453" s="8" t="s">
        <v>267</v>
      </c>
      <c r="J453" s="8" t="s">
        <v>293</v>
      </c>
      <c r="K453" s="57">
        <v>30</v>
      </c>
      <c r="L453" s="58">
        <v>30</v>
      </c>
    </row>
    <row r="454" spans="1:12" s="9" customFormat="1" ht="15">
      <c r="A454" s="105">
        <v>430</v>
      </c>
      <c r="B454" s="106" t="s">
        <v>1896</v>
      </c>
      <c r="C454" s="106"/>
      <c r="D454" s="8" t="s">
        <v>1048</v>
      </c>
      <c r="E454" s="189" t="s">
        <v>292</v>
      </c>
      <c r="F454" s="107"/>
      <c r="G454" s="107" t="s">
        <v>291</v>
      </c>
      <c r="H454" s="107">
        <v>5110</v>
      </c>
      <c r="I454" s="8" t="s">
        <v>267</v>
      </c>
      <c r="J454" s="8" t="s">
        <v>293</v>
      </c>
      <c r="K454" s="57">
        <v>30</v>
      </c>
      <c r="L454" s="58">
        <v>30</v>
      </c>
    </row>
    <row r="455" spans="1:12" s="9" customFormat="1" ht="15">
      <c r="A455" s="105">
        <v>431</v>
      </c>
      <c r="B455" s="106" t="s">
        <v>1896</v>
      </c>
      <c r="C455" s="106"/>
      <c r="D455" s="8" t="s">
        <v>1049</v>
      </c>
      <c r="E455" s="189" t="s">
        <v>295</v>
      </c>
      <c r="F455" s="107"/>
      <c r="G455" s="107" t="s">
        <v>294</v>
      </c>
      <c r="H455" s="107">
        <v>5110</v>
      </c>
      <c r="I455" s="8" t="s">
        <v>267</v>
      </c>
      <c r="J455" s="8" t="s">
        <v>293</v>
      </c>
      <c r="K455" s="57">
        <v>30</v>
      </c>
      <c r="L455" s="58">
        <v>30</v>
      </c>
    </row>
    <row r="456" spans="1:12" s="9" customFormat="1" ht="15">
      <c r="A456" s="105">
        <v>432</v>
      </c>
      <c r="B456" s="106" t="s">
        <v>1896</v>
      </c>
      <c r="C456" s="106"/>
      <c r="D456" s="8" t="s">
        <v>1050</v>
      </c>
      <c r="E456" s="189" t="s">
        <v>297</v>
      </c>
      <c r="F456" s="107"/>
      <c r="G456" s="107" t="s">
        <v>296</v>
      </c>
      <c r="H456" s="107">
        <v>5110</v>
      </c>
      <c r="I456" s="8" t="s">
        <v>267</v>
      </c>
      <c r="J456" s="8" t="s">
        <v>293</v>
      </c>
      <c r="K456" s="57">
        <v>30</v>
      </c>
      <c r="L456" s="58">
        <v>30</v>
      </c>
    </row>
    <row r="457" spans="1:12" s="9" customFormat="1" ht="15">
      <c r="A457" s="105">
        <v>433</v>
      </c>
      <c r="B457" s="106" t="s">
        <v>1896</v>
      </c>
      <c r="C457" s="106"/>
      <c r="D457" s="8" t="s">
        <v>1051</v>
      </c>
      <c r="E457" s="189" t="s">
        <v>2440</v>
      </c>
      <c r="F457" s="106"/>
      <c r="G457" s="106" t="s">
        <v>2438</v>
      </c>
      <c r="H457" s="107">
        <v>5110</v>
      </c>
      <c r="I457" s="8" t="s">
        <v>267</v>
      </c>
      <c r="J457" s="108" t="s">
        <v>293</v>
      </c>
      <c r="K457" s="57">
        <v>30</v>
      </c>
      <c r="L457" s="58">
        <v>30</v>
      </c>
    </row>
    <row r="458" spans="1:12" s="9" customFormat="1" ht="15">
      <c r="A458" s="105">
        <v>434</v>
      </c>
      <c r="B458" s="106" t="s">
        <v>1896</v>
      </c>
      <c r="C458" s="106"/>
      <c r="D458" s="8" t="s">
        <v>1052</v>
      </c>
      <c r="E458" s="189" t="s">
        <v>2442</v>
      </c>
      <c r="F458" s="106"/>
      <c r="G458" s="106" t="s">
        <v>2441</v>
      </c>
      <c r="H458" s="107">
        <v>5210</v>
      </c>
      <c r="I458" s="8" t="s">
        <v>267</v>
      </c>
      <c r="J458" s="108" t="s">
        <v>275</v>
      </c>
      <c r="K458" s="57">
        <v>30</v>
      </c>
      <c r="L458" s="58">
        <v>30</v>
      </c>
    </row>
    <row r="459" spans="1:12" s="9" customFormat="1" ht="15">
      <c r="A459" s="105">
        <v>435</v>
      </c>
      <c r="B459" s="106" t="s">
        <v>1896</v>
      </c>
      <c r="C459" s="106"/>
      <c r="D459" s="8" t="s">
        <v>1053</v>
      </c>
      <c r="E459" s="189" t="s">
        <v>2444</v>
      </c>
      <c r="F459" s="106"/>
      <c r="G459" s="106" t="s">
        <v>2443</v>
      </c>
      <c r="H459" s="107">
        <v>5210</v>
      </c>
      <c r="I459" s="8" t="s">
        <v>267</v>
      </c>
      <c r="J459" s="108" t="s">
        <v>275</v>
      </c>
      <c r="K459" s="57">
        <v>30</v>
      </c>
      <c r="L459" s="58">
        <v>30</v>
      </c>
    </row>
    <row r="460" spans="1:12" s="9" customFormat="1" ht="15">
      <c r="A460" s="105">
        <v>436</v>
      </c>
      <c r="B460" s="106" t="s">
        <v>1896</v>
      </c>
      <c r="C460" s="106"/>
      <c r="D460" s="8" t="s">
        <v>1054</v>
      </c>
      <c r="E460" s="189" t="s">
        <v>84</v>
      </c>
      <c r="F460" s="107"/>
      <c r="G460" s="107" t="s">
        <v>1895</v>
      </c>
      <c r="H460" s="107">
        <v>5110</v>
      </c>
      <c r="I460" s="8" t="s">
        <v>267</v>
      </c>
      <c r="J460" s="8" t="s">
        <v>85</v>
      </c>
      <c r="K460" s="57">
        <v>30</v>
      </c>
      <c r="L460" s="58">
        <v>30</v>
      </c>
    </row>
    <row r="461" spans="1:12" s="9" customFormat="1" ht="15">
      <c r="A461" s="105">
        <v>437</v>
      </c>
      <c r="B461" s="106" t="s">
        <v>1896</v>
      </c>
      <c r="C461" s="106"/>
      <c r="D461" s="8" t="s">
        <v>1055</v>
      </c>
      <c r="E461" s="189" t="s">
        <v>84</v>
      </c>
      <c r="F461" s="107"/>
      <c r="G461" s="107" t="s">
        <v>1974</v>
      </c>
      <c r="H461" s="107">
        <v>5110</v>
      </c>
      <c r="I461" s="8" t="s">
        <v>267</v>
      </c>
      <c r="J461" s="8" t="s">
        <v>85</v>
      </c>
      <c r="K461" s="57">
        <v>30</v>
      </c>
      <c r="L461" s="58">
        <v>30</v>
      </c>
    </row>
    <row r="462" spans="1:12" s="9" customFormat="1" ht="15">
      <c r="A462" s="105">
        <v>438</v>
      </c>
      <c r="B462" s="106" t="s">
        <v>1896</v>
      </c>
      <c r="C462" s="106"/>
      <c r="D462" s="8" t="s">
        <v>1056</v>
      </c>
      <c r="E462" s="189" t="s">
        <v>84</v>
      </c>
      <c r="F462" s="107"/>
      <c r="G462" s="107" t="s">
        <v>1930</v>
      </c>
      <c r="H462" s="107">
        <v>5110</v>
      </c>
      <c r="I462" s="8" t="s">
        <v>267</v>
      </c>
      <c r="J462" s="8" t="s">
        <v>85</v>
      </c>
      <c r="K462" s="57">
        <v>30</v>
      </c>
      <c r="L462" s="58">
        <v>30</v>
      </c>
    </row>
    <row r="463" spans="1:12" s="9" customFormat="1" ht="15">
      <c r="A463" s="105">
        <v>439</v>
      </c>
      <c r="B463" s="106" t="s">
        <v>1896</v>
      </c>
      <c r="C463" s="106"/>
      <c r="D463" s="8" t="s">
        <v>1057</v>
      </c>
      <c r="E463" s="189" t="s">
        <v>326</v>
      </c>
      <c r="F463" s="107"/>
      <c r="G463" s="107" t="s">
        <v>325</v>
      </c>
      <c r="H463" s="107">
        <v>5210</v>
      </c>
      <c r="I463" s="8" t="s">
        <v>255</v>
      </c>
      <c r="J463" s="108" t="s">
        <v>327</v>
      </c>
      <c r="K463" s="57">
        <v>30</v>
      </c>
      <c r="L463" s="58">
        <v>30</v>
      </c>
    </row>
    <row r="464" spans="1:12" s="9" customFormat="1" ht="15">
      <c r="A464" s="105">
        <v>440</v>
      </c>
      <c r="B464" s="106" t="s">
        <v>1896</v>
      </c>
      <c r="C464" s="106"/>
      <c r="D464" s="8" t="s">
        <v>1058</v>
      </c>
      <c r="E464" s="189" t="s">
        <v>326</v>
      </c>
      <c r="F464" s="106"/>
      <c r="G464" s="106" t="s">
        <v>2445</v>
      </c>
      <c r="H464" s="107">
        <v>5210</v>
      </c>
      <c r="I464" s="8" t="s">
        <v>255</v>
      </c>
      <c r="J464" s="108" t="s">
        <v>327</v>
      </c>
      <c r="K464" s="57">
        <v>30</v>
      </c>
      <c r="L464" s="58">
        <v>30</v>
      </c>
    </row>
    <row r="465" spans="1:12" s="9" customFormat="1" ht="15">
      <c r="A465" s="105">
        <v>441</v>
      </c>
      <c r="B465" s="106" t="s">
        <v>1896</v>
      </c>
      <c r="C465" s="106"/>
      <c r="D465" s="8" t="s">
        <v>1059</v>
      </c>
      <c r="E465" s="189" t="s">
        <v>74</v>
      </c>
      <c r="F465" s="106"/>
      <c r="G465" s="106" t="s">
        <v>256</v>
      </c>
      <c r="H465" s="107">
        <v>5210</v>
      </c>
      <c r="I465" s="8" t="s">
        <v>255</v>
      </c>
      <c r="J465" s="8" t="s">
        <v>83</v>
      </c>
      <c r="K465" s="57">
        <v>30</v>
      </c>
      <c r="L465" s="58">
        <v>30</v>
      </c>
    </row>
    <row r="466" spans="1:12" s="9" customFormat="1" ht="15">
      <c r="A466" s="105">
        <v>442</v>
      </c>
      <c r="B466" s="106" t="s">
        <v>1896</v>
      </c>
      <c r="C466" s="106"/>
      <c r="D466" s="8" t="s">
        <v>1060</v>
      </c>
      <c r="E466" s="189" t="s">
        <v>298</v>
      </c>
      <c r="F466" s="106"/>
      <c r="G466" s="106" t="s">
        <v>2428</v>
      </c>
      <c r="H466" s="107">
        <v>5210</v>
      </c>
      <c r="I466" s="8" t="s">
        <v>255</v>
      </c>
      <c r="J466" s="8" t="s">
        <v>2631</v>
      </c>
      <c r="K466" s="57">
        <v>30</v>
      </c>
      <c r="L466" s="58">
        <v>30</v>
      </c>
    </row>
    <row r="467" spans="1:12" s="9" customFormat="1" ht="15">
      <c r="A467" s="105">
        <v>443</v>
      </c>
      <c r="B467" s="106" t="s">
        <v>1896</v>
      </c>
      <c r="C467" s="106"/>
      <c r="D467" s="8" t="s">
        <v>1061</v>
      </c>
      <c r="E467" s="189" t="s">
        <v>74</v>
      </c>
      <c r="F467" s="106"/>
      <c r="G467" s="106" t="s">
        <v>1729</v>
      </c>
      <c r="H467" s="107">
        <v>5210</v>
      </c>
      <c r="I467" s="8" t="s">
        <v>255</v>
      </c>
      <c r="J467" s="8" t="s">
        <v>2631</v>
      </c>
      <c r="K467" s="57">
        <v>30</v>
      </c>
      <c r="L467" s="58">
        <v>30</v>
      </c>
    </row>
    <row r="468" spans="1:12" s="9" customFormat="1" ht="15">
      <c r="A468" s="105">
        <v>444</v>
      </c>
      <c r="B468" s="106" t="s">
        <v>1896</v>
      </c>
      <c r="C468" s="106"/>
      <c r="D468" s="8" t="s">
        <v>1062</v>
      </c>
      <c r="E468" s="189" t="s">
        <v>2448</v>
      </c>
      <c r="F468" s="106"/>
      <c r="G468" s="106" t="s">
        <v>2447</v>
      </c>
      <c r="H468" s="107">
        <v>5210</v>
      </c>
      <c r="I468" s="8" t="s">
        <v>2446</v>
      </c>
      <c r="J468" s="108" t="s">
        <v>1864</v>
      </c>
      <c r="K468" s="57">
        <v>30</v>
      </c>
      <c r="L468" s="58">
        <v>30</v>
      </c>
    </row>
    <row r="469" spans="1:12" s="9" customFormat="1" ht="15">
      <c r="A469" s="105">
        <v>445</v>
      </c>
      <c r="B469" s="106" t="s">
        <v>1896</v>
      </c>
      <c r="C469" s="106"/>
      <c r="D469" s="8" t="s">
        <v>1063</v>
      </c>
      <c r="E469" s="189" t="s">
        <v>2450</v>
      </c>
      <c r="F469" s="106"/>
      <c r="G469" s="106" t="s">
        <v>2449</v>
      </c>
      <c r="H469" s="107">
        <v>5210</v>
      </c>
      <c r="I469" s="8" t="s">
        <v>2446</v>
      </c>
      <c r="J469" s="108" t="s">
        <v>1864</v>
      </c>
      <c r="K469" s="57">
        <v>30</v>
      </c>
      <c r="L469" s="58">
        <v>30</v>
      </c>
    </row>
    <row r="470" spans="1:12" s="9" customFormat="1" ht="15">
      <c r="A470" s="105">
        <v>446</v>
      </c>
      <c r="B470" s="106" t="s">
        <v>1896</v>
      </c>
      <c r="C470" s="106"/>
      <c r="D470" s="8" t="s">
        <v>1065</v>
      </c>
      <c r="E470" s="189" t="s">
        <v>2452</v>
      </c>
      <c r="F470" s="107"/>
      <c r="G470" s="106" t="s">
        <v>2451</v>
      </c>
      <c r="H470" s="107">
        <v>5210</v>
      </c>
      <c r="I470" s="8" t="s">
        <v>2446</v>
      </c>
      <c r="J470" s="108" t="s">
        <v>1864</v>
      </c>
      <c r="K470" s="57">
        <v>30</v>
      </c>
      <c r="L470" s="58">
        <v>30</v>
      </c>
    </row>
    <row r="471" spans="1:12" s="9" customFormat="1" ht="15">
      <c r="A471" s="105">
        <v>447</v>
      </c>
      <c r="B471" s="106" t="s">
        <v>1896</v>
      </c>
      <c r="C471" s="106"/>
      <c r="D471" s="8" t="s">
        <v>1064</v>
      </c>
      <c r="E471" s="189" t="s">
        <v>2454</v>
      </c>
      <c r="F471" s="106"/>
      <c r="G471" s="106" t="s">
        <v>2453</v>
      </c>
      <c r="H471" s="107">
        <v>5210</v>
      </c>
      <c r="I471" s="8" t="s">
        <v>2446</v>
      </c>
      <c r="J471" s="108" t="s">
        <v>1864</v>
      </c>
      <c r="K471" s="57">
        <v>30</v>
      </c>
      <c r="L471" s="58">
        <v>30</v>
      </c>
    </row>
    <row r="472" spans="1:12" s="9" customFormat="1" ht="15">
      <c r="A472" s="105">
        <v>448</v>
      </c>
      <c r="B472" s="106" t="s">
        <v>1896</v>
      </c>
      <c r="C472" s="106"/>
      <c r="D472" s="8" t="s">
        <v>1066</v>
      </c>
      <c r="E472" s="189" t="s">
        <v>2420</v>
      </c>
      <c r="F472" s="107"/>
      <c r="G472" s="107" t="s">
        <v>2419</v>
      </c>
      <c r="H472" s="107">
        <v>5110</v>
      </c>
      <c r="I472" s="8" t="s">
        <v>267</v>
      </c>
      <c r="J472" s="8" t="s">
        <v>275</v>
      </c>
      <c r="K472" s="57">
        <v>30</v>
      </c>
      <c r="L472" s="58">
        <v>30</v>
      </c>
    </row>
    <row r="473" spans="1:12" s="9" customFormat="1" ht="15">
      <c r="A473" s="105">
        <v>449</v>
      </c>
      <c r="B473" s="106" t="s">
        <v>1896</v>
      </c>
      <c r="C473" s="106"/>
      <c r="D473" s="8" t="str">
        <f>"570810K010"</f>
        <v>570810K010</v>
      </c>
      <c r="E473" s="189" t="s">
        <v>5276</v>
      </c>
      <c r="F473" s="106"/>
      <c r="G473" s="106" t="s">
        <v>2455</v>
      </c>
      <c r="H473" s="107">
        <v>5110</v>
      </c>
      <c r="I473" s="8" t="s">
        <v>267</v>
      </c>
      <c r="J473" s="8" t="s">
        <v>270</v>
      </c>
      <c r="K473" s="57">
        <v>30</v>
      </c>
      <c r="L473" s="58">
        <v>30</v>
      </c>
    </row>
    <row r="474" spans="1:12" s="9" customFormat="1" ht="15">
      <c r="A474" s="105">
        <v>450</v>
      </c>
      <c r="B474" s="106" t="s">
        <v>1896</v>
      </c>
      <c r="C474" s="106"/>
      <c r="D474" s="8" t="str">
        <f>"570810K020"</f>
        <v>570810K020</v>
      </c>
      <c r="E474" s="189" t="s">
        <v>5275</v>
      </c>
      <c r="F474" s="107"/>
      <c r="G474" s="107" t="s">
        <v>299</v>
      </c>
      <c r="H474" s="107">
        <v>5110</v>
      </c>
      <c r="I474" s="8" t="s">
        <v>267</v>
      </c>
      <c r="J474" s="8" t="s">
        <v>270</v>
      </c>
      <c r="K474" s="57">
        <v>30</v>
      </c>
      <c r="L474" s="58">
        <v>30</v>
      </c>
    </row>
    <row r="475" spans="1:12" s="9" customFormat="1" ht="15">
      <c r="A475" s="105">
        <v>449</v>
      </c>
      <c r="B475" s="106" t="s">
        <v>1896</v>
      </c>
      <c r="C475" s="106"/>
      <c r="D475" s="8" t="str">
        <f>"57081KK010"</f>
        <v>57081KK010</v>
      </c>
      <c r="E475" s="189" t="s">
        <v>5276</v>
      </c>
      <c r="F475" s="106"/>
      <c r="G475" s="106" t="s">
        <v>2455</v>
      </c>
      <c r="H475" s="107">
        <v>5110</v>
      </c>
      <c r="I475" s="8" t="s">
        <v>267</v>
      </c>
      <c r="J475" s="8" t="s">
        <v>2975</v>
      </c>
      <c r="K475" s="57">
        <v>30</v>
      </c>
      <c r="L475" s="58">
        <v>30</v>
      </c>
    </row>
    <row r="476" spans="1:12" s="9" customFormat="1" ht="15">
      <c r="A476" s="105">
        <v>450</v>
      </c>
      <c r="B476" s="106" t="s">
        <v>1896</v>
      </c>
      <c r="C476" s="106"/>
      <c r="D476" s="8" t="str">
        <f>"57081KK020"</f>
        <v>57081KK020</v>
      </c>
      <c r="E476" s="189" t="s">
        <v>5275</v>
      </c>
      <c r="F476" s="107"/>
      <c r="G476" s="107" t="s">
        <v>299</v>
      </c>
      <c r="H476" s="107">
        <v>5110</v>
      </c>
      <c r="I476" s="8" t="s">
        <v>267</v>
      </c>
      <c r="J476" s="8" t="s">
        <v>275</v>
      </c>
      <c r="K476" s="57">
        <v>30</v>
      </c>
      <c r="L476" s="58">
        <v>30</v>
      </c>
    </row>
    <row r="477" spans="1:12" s="9" customFormat="1" ht="15">
      <c r="A477" s="105">
        <v>451</v>
      </c>
      <c r="B477" s="106" t="s">
        <v>1896</v>
      </c>
      <c r="C477" s="106"/>
      <c r="D477" s="8" t="s">
        <v>1067</v>
      </c>
      <c r="E477" s="189" t="s">
        <v>301</v>
      </c>
      <c r="F477" s="107"/>
      <c r="G477" s="107" t="s">
        <v>300</v>
      </c>
      <c r="H477" s="107">
        <v>5110</v>
      </c>
      <c r="I477" s="8" t="s">
        <v>267</v>
      </c>
      <c r="J477" s="8" t="s">
        <v>270</v>
      </c>
      <c r="K477" s="57">
        <v>30</v>
      </c>
      <c r="L477" s="58">
        <v>30</v>
      </c>
    </row>
    <row r="478" spans="1:12" s="9" customFormat="1" ht="15">
      <c r="A478" s="105">
        <v>452</v>
      </c>
      <c r="B478" s="106" t="s">
        <v>1896</v>
      </c>
      <c r="C478" s="106"/>
      <c r="D478" s="8" t="s">
        <v>1068</v>
      </c>
      <c r="E478" s="189" t="s">
        <v>2457</v>
      </c>
      <c r="F478" s="106"/>
      <c r="G478" s="106" t="s">
        <v>2456</v>
      </c>
      <c r="H478" s="107">
        <v>5110</v>
      </c>
      <c r="I478" s="8" t="s">
        <v>267</v>
      </c>
      <c r="J478" s="108" t="s">
        <v>275</v>
      </c>
      <c r="K478" s="57">
        <v>30</v>
      </c>
      <c r="L478" s="58">
        <v>30</v>
      </c>
    </row>
    <row r="479" spans="1:12" s="9" customFormat="1" ht="15">
      <c r="A479" s="105">
        <v>453</v>
      </c>
      <c r="B479" s="106" t="s">
        <v>1896</v>
      </c>
      <c r="C479" s="106"/>
      <c r="D479" s="8" t="s">
        <v>1069</v>
      </c>
      <c r="E479" s="189" t="s">
        <v>1783</v>
      </c>
      <c r="F479" s="107"/>
      <c r="G479" s="107" t="s">
        <v>1782</v>
      </c>
      <c r="H479" s="107">
        <v>5110</v>
      </c>
      <c r="I479" s="8" t="s">
        <v>267</v>
      </c>
      <c r="J479" s="8" t="s">
        <v>275</v>
      </c>
      <c r="K479" s="57">
        <v>30</v>
      </c>
      <c r="L479" s="58">
        <v>30</v>
      </c>
    </row>
    <row r="480" spans="1:12" s="9" customFormat="1" ht="15">
      <c r="A480" s="105">
        <v>454</v>
      </c>
      <c r="B480" s="106" t="s">
        <v>1896</v>
      </c>
      <c r="C480" s="106"/>
      <c r="D480" s="8" t="s">
        <v>1563</v>
      </c>
      <c r="E480" s="189" t="s">
        <v>1791</v>
      </c>
      <c r="F480" s="107"/>
      <c r="G480" s="107" t="s">
        <v>1851</v>
      </c>
      <c r="H480" s="107">
        <v>6250</v>
      </c>
      <c r="I480" s="8" t="s">
        <v>1756</v>
      </c>
      <c r="J480" s="108" t="s">
        <v>1864</v>
      </c>
      <c r="K480" s="57">
        <v>30</v>
      </c>
      <c r="L480" s="58">
        <v>30</v>
      </c>
    </row>
    <row r="481" spans="1:12" s="9" customFormat="1" ht="15">
      <c r="A481" s="105">
        <v>455</v>
      </c>
      <c r="B481" s="106" t="s">
        <v>1896</v>
      </c>
      <c r="C481" s="106"/>
      <c r="D481" s="8" t="s">
        <v>2605</v>
      </c>
      <c r="E481" s="189" t="s">
        <v>1754</v>
      </c>
      <c r="F481" s="107"/>
      <c r="G481" s="107" t="s">
        <v>1853</v>
      </c>
      <c r="H481" s="107">
        <v>6250</v>
      </c>
      <c r="I481" s="8" t="s">
        <v>1756</v>
      </c>
      <c r="J481" s="108" t="s">
        <v>1864</v>
      </c>
      <c r="K481" s="57">
        <v>30</v>
      </c>
      <c r="L481" s="58">
        <v>30</v>
      </c>
    </row>
    <row r="482" spans="1:12" s="9" customFormat="1" ht="15">
      <c r="A482" s="105">
        <v>456</v>
      </c>
      <c r="B482" s="106" t="s">
        <v>1896</v>
      </c>
      <c r="C482" s="106"/>
      <c r="D482" s="8" t="s">
        <v>216</v>
      </c>
      <c r="E482" s="189" t="s">
        <v>1754</v>
      </c>
      <c r="F482" s="107"/>
      <c r="G482" s="107" t="s">
        <v>1848</v>
      </c>
      <c r="H482" s="107">
        <v>6250</v>
      </c>
      <c r="I482" s="8" t="s">
        <v>1756</v>
      </c>
      <c r="J482" s="108" t="s">
        <v>1864</v>
      </c>
      <c r="K482" s="57">
        <v>30</v>
      </c>
      <c r="L482" s="58">
        <v>30</v>
      </c>
    </row>
    <row r="483" spans="1:12" s="9" customFormat="1" ht="15">
      <c r="A483" s="105">
        <v>457</v>
      </c>
      <c r="B483" s="106" t="s">
        <v>1896</v>
      </c>
      <c r="C483" s="106"/>
      <c r="D483" s="8" t="s">
        <v>214</v>
      </c>
      <c r="E483" s="189" t="s">
        <v>1754</v>
      </c>
      <c r="F483" s="107"/>
      <c r="G483" s="107" t="s">
        <v>1848</v>
      </c>
      <c r="H483" s="107">
        <v>6250</v>
      </c>
      <c r="I483" s="8" t="s">
        <v>1756</v>
      </c>
      <c r="J483" s="108" t="s">
        <v>1864</v>
      </c>
      <c r="K483" s="57">
        <v>30</v>
      </c>
      <c r="L483" s="58">
        <v>30</v>
      </c>
    </row>
    <row r="484" spans="1:12" s="9" customFormat="1" ht="15">
      <c r="A484" s="105">
        <v>458</v>
      </c>
      <c r="B484" s="106" t="s">
        <v>1896</v>
      </c>
      <c r="C484" s="106"/>
      <c r="D484" s="8" t="s">
        <v>215</v>
      </c>
      <c r="E484" s="189" t="s">
        <v>1754</v>
      </c>
      <c r="F484" s="107"/>
      <c r="G484" s="107" t="s">
        <v>1848</v>
      </c>
      <c r="H484" s="107">
        <v>6250</v>
      </c>
      <c r="I484" s="8" t="s">
        <v>1756</v>
      </c>
      <c r="J484" s="108" t="s">
        <v>1864</v>
      </c>
      <c r="K484" s="57">
        <v>30</v>
      </c>
      <c r="L484" s="58">
        <v>30</v>
      </c>
    </row>
    <row r="485" spans="1:12" s="9" customFormat="1" ht="15">
      <c r="A485" s="105">
        <v>459</v>
      </c>
      <c r="B485" s="106" t="s">
        <v>1896</v>
      </c>
      <c r="C485" s="106"/>
      <c r="D485" s="8" t="s">
        <v>1564</v>
      </c>
      <c r="E485" s="189" t="s">
        <v>1792</v>
      </c>
      <c r="F485" s="107"/>
      <c r="G485" s="107" t="s">
        <v>1852</v>
      </c>
      <c r="H485" s="107">
        <v>6250</v>
      </c>
      <c r="I485" s="8" t="s">
        <v>1756</v>
      </c>
      <c r="J485" s="108" t="s">
        <v>1864</v>
      </c>
      <c r="K485" s="57">
        <v>30</v>
      </c>
      <c r="L485" s="58">
        <v>30</v>
      </c>
    </row>
    <row r="486" spans="1:12" s="9" customFormat="1" ht="15">
      <c r="A486" s="105">
        <v>460</v>
      </c>
      <c r="B486" s="106" t="s">
        <v>1896</v>
      </c>
      <c r="C486" s="106"/>
      <c r="D486" s="8" t="s">
        <v>1565</v>
      </c>
      <c r="E486" s="189" t="s">
        <v>1755</v>
      </c>
      <c r="F486" s="107"/>
      <c r="G486" s="107" t="s">
        <v>1849</v>
      </c>
      <c r="H486" s="107">
        <v>6250</v>
      </c>
      <c r="I486" s="8" t="s">
        <v>1756</v>
      </c>
      <c r="J486" s="108" t="s">
        <v>1864</v>
      </c>
      <c r="K486" s="57">
        <v>30</v>
      </c>
      <c r="L486" s="58">
        <v>30</v>
      </c>
    </row>
    <row r="487" spans="1:12" s="9" customFormat="1" ht="15">
      <c r="A487" s="105">
        <v>461</v>
      </c>
      <c r="B487" s="106" t="s">
        <v>1896</v>
      </c>
      <c r="C487" s="106"/>
      <c r="D487" s="8" t="s">
        <v>1566</v>
      </c>
      <c r="E487" s="189" t="s">
        <v>1861</v>
      </c>
      <c r="F487" s="106"/>
      <c r="G487" s="107" t="s">
        <v>1259</v>
      </c>
      <c r="H487" s="107">
        <v>6550</v>
      </c>
      <c r="I487" s="8" t="s">
        <v>362</v>
      </c>
      <c r="J487" s="108" t="s">
        <v>327</v>
      </c>
      <c r="K487" s="57">
        <v>30</v>
      </c>
      <c r="L487" s="58">
        <v>30</v>
      </c>
    </row>
    <row r="488" spans="1:12" s="9" customFormat="1" ht="15">
      <c r="A488" s="105">
        <v>462</v>
      </c>
      <c r="B488" s="106" t="s">
        <v>1896</v>
      </c>
      <c r="C488" s="106"/>
      <c r="D488" s="8" t="s">
        <v>1567</v>
      </c>
      <c r="E488" s="189" t="s">
        <v>1861</v>
      </c>
      <c r="F488" s="107"/>
      <c r="G488" s="107" t="s">
        <v>1886</v>
      </c>
      <c r="H488" s="107">
        <v>6550</v>
      </c>
      <c r="I488" s="8" t="s">
        <v>362</v>
      </c>
      <c r="J488" s="8" t="s">
        <v>327</v>
      </c>
      <c r="K488" s="57">
        <v>30</v>
      </c>
      <c r="L488" s="58">
        <v>30</v>
      </c>
    </row>
    <row r="489" spans="1:12" s="9" customFormat="1" ht="15">
      <c r="A489" s="105">
        <v>463</v>
      </c>
      <c r="B489" s="106" t="s">
        <v>1896</v>
      </c>
      <c r="C489" s="106"/>
      <c r="D489" s="8" t="s">
        <v>1568</v>
      </c>
      <c r="E489" s="189" t="s">
        <v>1861</v>
      </c>
      <c r="F489" s="107"/>
      <c r="G489" s="107" t="s">
        <v>1338</v>
      </c>
      <c r="H489" s="107">
        <v>6550</v>
      </c>
      <c r="I489" s="8" t="s">
        <v>362</v>
      </c>
      <c r="J489" s="8" t="s">
        <v>327</v>
      </c>
      <c r="K489" s="57">
        <v>30</v>
      </c>
      <c r="L489" s="58">
        <v>30</v>
      </c>
    </row>
    <row r="490" spans="1:12" s="9" customFormat="1" ht="15">
      <c r="A490" s="105">
        <v>464</v>
      </c>
      <c r="B490" s="106" t="s">
        <v>1896</v>
      </c>
      <c r="C490" s="106"/>
      <c r="D490" s="8" t="s">
        <v>1569</v>
      </c>
      <c r="E490" s="189" t="s">
        <v>1862</v>
      </c>
      <c r="F490" s="107"/>
      <c r="G490" s="107" t="s">
        <v>61</v>
      </c>
      <c r="H490" s="107">
        <v>6550</v>
      </c>
      <c r="I490" s="8" t="s">
        <v>362</v>
      </c>
      <c r="J490" s="8" t="s">
        <v>327</v>
      </c>
      <c r="K490" s="57">
        <v>30</v>
      </c>
      <c r="L490" s="58">
        <v>30</v>
      </c>
    </row>
    <row r="491" spans="1:12" s="9" customFormat="1" ht="15">
      <c r="A491" s="105">
        <v>465</v>
      </c>
      <c r="B491" s="106" t="s">
        <v>1896</v>
      </c>
      <c r="C491" s="106"/>
      <c r="D491" s="8" t="s">
        <v>1570</v>
      </c>
      <c r="E491" s="189" t="s">
        <v>63</v>
      </c>
      <c r="F491" s="107"/>
      <c r="G491" s="107" t="s">
        <v>62</v>
      </c>
      <c r="H491" s="107">
        <v>6550</v>
      </c>
      <c r="I491" s="8" t="s">
        <v>362</v>
      </c>
      <c r="J491" s="8" t="s">
        <v>327</v>
      </c>
      <c r="K491" s="57">
        <v>30</v>
      </c>
      <c r="L491" s="58">
        <v>30</v>
      </c>
    </row>
    <row r="492" spans="1:12" s="9" customFormat="1" ht="15">
      <c r="A492" s="105">
        <v>466</v>
      </c>
      <c r="B492" s="106" t="s">
        <v>1896</v>
      </c>
      <c r="C492" s="106"/>
      <c r="D492" s="8" t="s">
        <v>1571</v>
      </c>
      <c r="E492" s="189" t="s">
        <v>1980</v>
      </c>
      <c r="F492" s="107"/>
      <c r="G492" s="107" t="s">
        <v>1979</v>
      </c>
      <c r="H492" s="107">
        <v>6550</v>
      </c>
      <c r="I492" s="8" t="s">
        <v>362</v>
      </c>
      <c r="J492" s="8" t="s">
        <v>327</v>
      </c>
      <c r="K492" s="57">
        <v>30</v>
      </c>
      <c r="L492" s="58">
        <v>30</v>
      </c>
    </row>
    <row r="493" spans="1:12" s="9" customFormat="1" ht="15">
      <c r="A493" s="105">
        <v>467</v>
      </c>
      <c r="B493" s="106" t="s">
        <v>1896</v>
      </c>
      <c r="C493" s="106"/>
      <c r="D493" s="8" t="s">
        <v>1572</v>
      </c>
      <c r="E493" s="189" t="s">
        <v>1981</v>
      </c>
      <c r="F493" s="107"/>
      <c r="G493" s="107" t="s">
        <v>1983</v>
      </c>
      <c r="H493" s="107">
        <v>6550</v>
      </c>
      <c r="I493" s="8" t="s">
        <v>362</v>
      </c>
      <c r="J493" s="8" t="s">
        <v>327</v>
      </c>
      <c r="K493" s="57">
        <v>30</v>
      </c>
      <c r="L493" s="58">
        <v>30</v>
      </c>
    </row>
    <row r="494" spans="1:12" s="9" customFormat="1" ht="15">
      <c r="A494" s="105">
        <v>468</v>
      </c>
      <c r="B494" s="106" t="s">
        <v>1896</v>
      </c>
      <c r="C494" s="106"/>
      <c r="D494" s="8" t="s">
        <v>1573</v>
      </c>
      <c r="E494" s="189" t="s">
        <v>1982</v>
      </c>
      <c r="F494" s="107"/>
      <c r="G494" s="107" t="s">
        <v>1984</v>
      </c>
      <c r="H494" s="107">
        <v>6550</v>
      </c>
      <c r="I494" s="8" t="s">
        <v>362</v>
      </c>
      <c r="J494" s="8" t="s">
        <v>327</v>
      </c>
      <c r="K494" s="57">
        <v>30</v>
      </c>
      <c r="L494" s="58">
        <v>30</v>
      </c>
    </row>
    <row r="495" spans="1:12" s="9" customFormat="1" ht="15">
      <c r="A495" s="105">
        <v>469</v>
      </c>
      <c r="B495" s="106" t="s">
        <v>1896</v>
      </c>
      <c r="C495" s="106"/>
      <c r="D495" s="8" t="s">
        <v>1574</v>
      </c>
      <c r="E495" s="189" t="s">
        <v>1865</v>
      </c>
      <c r="F495" s="107"/>
      <c r="G495" s="107" t="s">
        <v>65</v>
      </c>
      <c r="H495" s="107">
        <v>6550</v>
      </c>
      <c r="I495" s="8" t="s">
        <v>362</v>
      </c>
      <c r="J495" s="8" t="s">
        <v>1864</v>
      </c>
      <c r="K495" s="57">
        <v>30</v>
      </c>
      <c r="L495" s="58">
        <v>30</v>
      </c>
    </row>
    <row r="496" spans="1:12" s="9" customFormat="1" ht="15">
      <c r="A496" s="105">
        <v>470</v>
      </c>
      <c r="B496" s="106" t="s">
        <v>1896</v>
      </c>
      <c r="C496" s="106"/>
      <c r="D496" s="8" t="s">
        <v>1575</v>
      </c>
      <c r="E496" s="189" t="s">
        <v>1865</v>
      </c>
      <c r="F496" s="107"/>
      <c r="G496" s="107" t="s">
        <v>64</v>
      </c>
      <c r="H496" s="107">
        <v>6550</v>
      </c>
      <c r="I496" s="8" t="s">
        <v>362</v>
      </c>
      <c r="J496" s="8" t="s">
        <v>1864</v>
      </c>
      <c r="K496" s="57">
        <v>30</v>
      </c>
      <c r="L496" s="58">
        <v>30</v>
      </c>
    </row>
    <row r="497" spans="1:12" s="9" customFormat="1" ht="15">
      <c r="A497" s="105">
        <v>471</v>
      </c>
      <c r="B497" s="106" t="s">
        <v>1896</v>
      </c>
      <c r="C497" s="106"/>
      <c r="D497" s="8" t="s">
        <v>1576</v>
      </c>
      <c r="E497" s="189" t="s">
        <v>254</v>
      </c>
      <c r="F497" s="107"/>
      <c r="G497" s="107" t="s">
        <v>92</v>
      </c>
      <c r="H497" s="107">
        <v>6550</v>
      </c>
      <c r="I497" s="8" t="s">
        <v>362</v>
      </c>
      <c r="J497" s="108" t="s">
        <v>1110</v>
      </c>
      <c r="K497" s="57">
        <v>30</v>
      </c>
      <c r="L497" s="58">
        <v>30</v>
      </c>
    </row>
    <row r="498" spans="1:12" s="9" customFormat="1" ht="15">
      <c r="A498" s="105">
        <v>472</v>
      </c>
      <c r="B498" s="106" t="s">
        <v>1896</v>
      </c>
      <c r="C498" s="106"/>
      <c r="D498" s="8" t="s">
        <v>1577</v>
      </c>
      <c r="E498" s="189" t="s">
        <v>254</v>
      </c>
      <c r="F498" s="107"/>
      <c r="G498" s="107" t="s">
        <v>92</v>
      </c>
      <c r="H498" s="107">
        <v>6550</v>
      </c>
      <c r="I498" s="8" t="s">
        <v>362</v>
      </c>
      <c r="J498" s="108" t="s">
        <v>1110</v>
      </c>
      <c r="K498" s="57">
        <v>30</v>
      </c>
      <c r="L498" s="58">
        <v>30</v>
      </c>
    </row>
    <row r="499" spans="1:12" s="9" customFormat="1" ht="15">
      <c r="A499" s="105">
        <v>473</v>
      </c>
      <c r="B499" s="106" t="s">
        <v>1896</v>
      </c>
      <c r="C499" s="106"/>
      <c r="D499" s="8" t="s">
        <v>1578</v>
      </c>
      <c r="E499" s="189" t="s">
        <v>1790</v>
      </c>
      <c r="F499" s="107"/>
      <c r="G499" s="107" t="s">
        <v>92</v>
      </c>
      <c r="H499" s="107">
        <v>6550</v>
      </c>
      <c r="I499" s="8" t="s">
        <v>362</v>
      </c>
      <c r="J499" s="108" t="s">
        <v>1110</v>
      </c>
      <c r="K499" s="57">
        <v>30</v>
      </c>
      <c r="L499" s="58">
        <v>30</v>
      </c>
    </row>
    <row r="500" spans="1:12" s="9" customFormat="1" ht="15">
      <c r="A500" s="105">
        <v>474</v>
      </c>
      <c r="B500" s="106" t="s">
        <v>1896</v>
      </c>
      <c r="C500" s="106"/>
      <c r="D500" s="8" t="s">
        <v>1579</v>
      </c>
      <c r="E500" s="189" t="s">
        <v>254</v>
      </c>
      <c r="F500" s="107"/>
      <c r="G500" s="107" t="s">
        <v>92</v>
      </c>
      <c r="H500" s="107">
        <v>6550</v>
      </c>
      <c r="I500" s="8" t="s">
        <v>362</v>
      </c>
      <c r="J500" s="108" t="s">
        <v>1110</v>
      </c>
      <c r="K500" s="57">
        <v>30</v>
      </c>
      <c r="L500" s="58">
        <v>30</v>
      </c>
    </row>
    <row r="501" spans="1:12" s="9" customFormat="1" ht="15">
      <c r="A501" s="105">
        <v>475</v>
      </c>
      <c r="B501" s="106" t="s">
        <v>1896</v>
      </c>
      <c r="C501" s="106"/>
      <c r="D501" s="8" t="s">
        <v>1580</v>
      </c>
      <c r="E501" s="189" t="s">
        <v>254</v>
      </c>
      <c r="F501" s="107"/>
      <c r="G501" s="107" t="s">
        <v>92</v>
      </c>
      <c r="H501" s="107">
        <v>6550</v>
      </c>
      <c r="I501" s="8" t="s">
        <v>362</v>
      </c>
      <c r="J501" s="108" t="s">
        <v>1110</v>
      </c>
      <c r="K501" s="57">
        <v>30</v>
      </c>
      <c r="L501" s="58">
        <v>30</v>
      </c>
    </row>
    <row r="502" spans="1:12" s="9" customFormat="1" ht="15">
      <c r="A502" s="105">
        <v>476</v>
      </c>
      <c r="B502" s="106" t="s">
        <v>1896</v>
      </c>
      <c r="C502" s="106"/>
      <c r="D502" s="8" t="s">
        <v>1581</v>
      </c>
      <c r="E502" s="189" t="s">
        <v>1866</v>
      </c>
      <c r="F502" s="107"/>
      <c r="G502" s="107" t="s">
        <v>66</v>
      </c>
      <c r="H502" s="107">
        <v>6550</v>
      </c>
      <c r="I502" s="8" t="s">
        <v>362</v>
      </c>
      <c r="J502" s="8" t="s">
        <v>1864</v>
      </c>
      <c r="K502" s="57">
        <v>30</v>
      </c>
      <c r="L502" s="58">
        <v>30</v>
      </c>
    </row>
    <row r="503" spans="1:12" s="9" customFormat="1" ht="15">
      <c r="A503" s="105">
        <v>477</v>
      </c>
      <c r="B503" s="106" t="s">
        <v>1896</v>
      </c>
      <c r="C503" s="106"/>
      <c r="D503" s="8" t="s">
        <v>1582</v>
      </c>
      <c r="E503" s="189" t="s">
        <v>1866</v>
      </c>
      <c r="F503" s="107"/>
      <c r="G503" s="107" t="s">
        <v>67</v>
      </c>
      <c r="H503" s="107">
        <v>6550</v>
      </c>
      <c r="I503" s="8" t="s">
        <v>362</v>
      </c>
      <c r="J503" s="8" t="s">
        <v>1864</v>
      </c>
      <c r="K503" s="57">
        <v>30</v>
      </c>
      <c r="L503" s="58">
        <v>30</v>
      </c>
    </row>
    <row r="504" spans="1:12" s="9" customFormat="1" ht="15">
      <c r="A504" s="105">
        <v>478</v>
      </c>
      <c r="B504" s="106" t="s">
        <v>1896</v>
      </c>
      <c r="C504" s="106"/>
      <c r="D504" s="8" t="s">
        <v>1583</v>
      </c>
      <c r="E504" s="189" t="s">
        <v>363</v>
      </c>
      <c r="F504" s="107"/>
      <c r="G504" s="107" t="s">
        <v>92</v>
      </c>
      <c r="H504" s="107">
        <v>6550</v>
      </c>
      <c r="I504" s="8" t="s">
        <v>362</v>
      </c>
      <c r="J504" s="108" t="s">
        <v>1110</v>
      </c>
      <c r="K504" s="57">
        <v>30</v>
      </c>
      <c r="L504" s="58">
        <v>30</v>
      </c>
    </row>
    <row r="505" spans="1:12" s="9" customFormat="1" ht="15">
      <c r="A505" s="105">
        <v>479</v>
      </c>
      <c r="B505" s="106" t="s">
        <v>1896</v>
      </c>
      <c r="C505" s="106"/>
      <c r="D505" s="8" t="s">
        <v>1584</v>
      </c>
      <c r="E505" s="189" t="s">
        <v>363</v>
      </c>
      <c r="F505" s="107"/>
      <c r="G505" s="107" t="s">
        <v>92</v>
      </c>
      <c r="H505" s="107">
        <v>6550</v>
      </c>
      <c r="I505" s="8" t="s">
        <v>362</v>
      </c>
      <c r="J505" s="108" t="s">
        <v>1110</v>
      </c>
      <c r="K505" s="57">
        <v>30</v>
      </c>
      <c r="L505" s="58">
        <v>30</v>
      </c>
    </row>
    <row r="506" spans="1:12" s="9" customFormat="1" ht="15">
      <c r="A506" s="105">
        <v>480</v>
      </c>
      <c r="B506" s="106" t="s">
        <v>1896</v>
      </c>
      <c r="C506" s="106"/>
      <c r="D506" s="8" t="s">
        <v>1585</v>
      </c>
      <c r="E506" s="189" t="s">
        <v>363</v>
      </c>
      <c r="F506" s="107"/>
      <c r="G506" s="107" t="s">
        <v>92</v>
      </c>
      <c r="H506" s="107">
        <v>6550</v>
      </c>
      <c r="I506" s="8" t="s">
        <v>362</v>
      </c>
      <c r="J506" s="108" t="s">
        <v>1110</v>
      </c>
      <c r="K506" s="57">
        <v>30</v>
      </c>
      <c r="L506" s="58">
        <v>30</v>
      </c>
    </row>
    <row r="507" spans="1:12" s="9" customFormat="1" ht="15">
      <c r="A507" s="105">
        <v>481</v>
      </c>
      <c r="B507" s="106" t="s">
        <v>1896</v>
      </c>
      <c r="C507" s="106"/>
      <c r="D507" s="8" t="s">
        <v>1586</v>
      </c>
      <c r="E507" s="189" t="s">
        <v>1794</v>
      </c>
      <c r="F507" s="107"/>
      <c r="G507" s="107" t="s">
        <v>92</v>
      </c>
      <c r="H507" s="107">
        <v>6550</v>
      </c>
      <c r="I507" s="8" t="s">
        <v>362</v>
      </c>
      <c r="J507" s="108" t="s">
        <v>1110</v>
      </c>
      <c r="K507" s="57">
        <v>30</v>
      </c>
      <c r="L507" s="58">
        <v>30</v>
      </c>
    </row>
    <row r="508" spans="1:12" s="9" customFormat="1" ht="15">
      <c r="A508" s="105">
        <v>482</v>
      </c>
      <c r="B508" s="106" t="s">
        <v>1896</v>
      </c>
      <c r="C508" s="106"/>
      <c r="D508" s="8" t="s">
        <v>1587</v>
      </c>
      <c r="E508" s="189" t="s">
        <v>1793</v>
      </c>
      <c r="F508" s="107"/>
      <c r="G508" s="107" t="s">
        <v>92</v>
      </c>
      <c r="H508" s="107">
        <v>6550</v>
      </c>
      <c r="I508" s="8" t="s">
        <v>362</v>
      </c>
      <c r="J508" s="108" t="s">
        <v>1110</v>
      </c>
      <c r="K508" s="57">
        <v>30</v>
      </c>
      <c r="L508" s="58">
        <v>30</v>
      </c>
    </row>
    <row r="509" spans="1:12" s="9" customFormat="1" ht="15">
      <c r="A509" s="105">
        <v>483</v>
      </c>
      <c r="B509" s="106" t="s">
        <v>1896</v>
      </c>
      <c r="C509" s="106"/>
      <c r="D509" s="8" t="s">
        <v>1588</v>
      </c>
      <c r="E509" s="189" t="s">
        <v>1986</v>
      </c>
      <c r="F509" s="107"/>
      <c r="G509" s="107" t="s">
        <v>1985</v>
      </c>
      <c r="H509" s="107">
        <v>6550</v>
      </c>
      <c r="I509" s="8" t="s">
        <v>362</v>
      </c>
      <c r="J509" s="8" t="s">
        <v>327</v>
      </c>
      <c r="K509" s="57">
        <v>30</v>
      </c>
      <c r="L509" s="58">
        <v>30</v>
      </c>
    </row>
    <row r="510" spans="1:12" s="9" customFormat="1" ht="15">
      <c r="A510" s="105">
        <v>484</v>
      </c>
      <c r="B510" s="106" t="s">
        <v>1896</v>
      </c>
      <c r="C510" s="106"/>
      <c r="D510" s="8" t="s">
        <v>1589</v>
      </c>
      <c r="E510" s="189" t="s">
        <v>1890</v>
      </c>
      <c r="F510" s="107"/>
      <c r="G510" s="107" t="s">
        <v>1889</v>
      </c>
      <c r="H510" s="107">
        <v>6550</v>
      </c>
      <c r="I510" s="8" t="s">
        <v>362</v>
      </c>
      <c r="J510" s="108" t="s">
        <v>1110</v>
      </c>
      <c r="K510" s="57">
        <v>30</v>
      </c>
      <c r="L510" s="58">
        <v>30</v>
      </c>
    </row>
    <row r="511" spans="1:12" s="9" customFormat="1" ht="15">
      <c r="A511" s="105">
        <v>485</v>
      </c>
      <c r="B511" s="106" t="s">
        <v>1896</v>
      </c>
      <c r="C511" s="106"/>
      <c r="D511" s="8" t="s">
        <v>1590</v>
      </c>
      <c r="E511" s="189" t="s">
        <v>1946</v>
      </c>
      <c r="F511" s="107"/>
      <c r="G511" s="107" t="s">
        <v>1757</v>
      </c>
      <c r="H511" s="107">
        <v>6550</v>
      </c>
      <c r="I511" s="8" t="s">
        <v>362</v>
      </c>
      <c r="J511" s="8" t="s">
        <v>327</v>
      </c>
      <c r="K511" s="57">
        <v>30</v>
      </c>
      <c r="L511" s="58">
        <v>30</v>
      </c>
    </row>
    <row r="512" spans="1:12" s="9" customFormat="1" ht="15">
      <c r="A512" s="105">
        <v>486</v>
      </c>
      <c r="B512" s="106" t="s">
        <v>1896</v>
      </c>
      <c r="C512" s="106"/>
      <c r="D512" s="8" t="s">
        <v>1591</v>
      </c>
      <c r="E512" s="189" t="s">
        <v>1946</v>
      </c>
      <c r="F512" s="107"/>
      <c r="G512" s="107" t="s">
        <v>1945</v>
      </c>
      <c r="H512" s="107">
        <v>6550</v>
      </c>
      <c r="I512" s="8" t="s">
        <v>362</v>
      </c>
      <c r="J512" s="108" t="s">
        <v>1110</v>
      </c>
      <c r="K512" s="57">
        <v>30</v>
      </c>
      <c r="L512" s="58">
        <v>30</v>
      </c>
    </row>
    <row r="513" spans="1:12" s="9" customFormat="1" ht="15">
      <c r="A513" s="105">
        <v>487</v>
      </c>
      <c r="B513" s="106" t="s">
        <v>1896</v>
      </c>
      <c r="C513" s="106"/>
      <c r="D513" s="8" t="s">
        <v>1592</v>
      </c>
      <c r="E513" s="189" t="s">
        <v>364</v>
      </c>
      <c r="F513" s="107"/>
      <c r="G513" s="107" t="s">
        <v>92</v>
      </c>
      <c r="H513" s="107">
        <v>6550</v>
      </c>
      <c r="I513" s="8" t="s">
        <v>362</v>
      </c>
      <c r="J513" s="108" t="s">
        <v>1110</v>
      </c>
      <c r="K513" s="57">
        <v>30</v>
      </c>
      <c r="L513" s="58">
        <v>30</v>
      </c>
    </row>
    <row r="514" spans="1:12" s="9" customFormat="1" ht="15">
      <c r="A514" s="105">
        <v>488</v>
      </c>
      <c r="B514" s="106" t="s">
        <v>1896</v>
      </c>
      <c r="C514" s="106"/>
      <c r="D514" s="8" t="s">
        <v>1593</v>
      </c>
      <c r="E514" s="189" t="s">
        <v>1795</v>
      </c>
      <c r="F514" s="107"/>
      <c r="G514" s="107" t="s">
        <v>92</v>
      </c>
      <c r="H514" s="107">
        <v>6550</v>
      </c>
      <c r="I514" s="8" t="s">
        <v>362</v>
      </c>
      <c r="J514" s="108" t="s">
        <v>1110</v>
      </c>
      <c r="K514" s="57">
        <v>30</v>
      </c>
      <c r="L514" s="58">
        <v>30</v>
      </c>
    </row>
    <row r="515" spans="1:12" s="9" customFormat="1" ht="15">
      <c r="A515" s="105">
        <v>489</v>
      </c>
      <c r="B515" s="106" t="s">
        <v>1896</v>
      </c>
      <c r="C515" s="106"/>
      <c r="D515" s="8" t="s">
        <v>1594</v>
      </c>
      <c r="E515" s="189" t="s">
        <v>1863</v>
      </c>
      <c r="F515" s="107"/>
      <c r="G515" s="107" t="s">
        <v>393</v>
      </c>
      <c r="H515" s="107">
        <v>6550</v>
      </c>
      <c r="I515" s="8" t="s">
        <v>362</v>
      </c>
      <c r="J515" s="8" t="s">
        <v>327</v>
      </c>
      <c r="K515" s="57">
        <v>30</v>
      </c>
      <c r="L515" s="58">
        <v>30</v>
      </c>
    </row>
    <row r="516" spans="1:12" s="9" customFormat="1" ht="15">
      <c r="A516" s="105">
        <v>490</v>
      </c>
      <c r="B516" s="106" t="s">
        <v>1896</v>
      </c>
      <c r="C516" s="106"/>
      <c r="D516" s="8" t="s">
        <v>1595</v>
      </c>
      <c r="E516" s="189" t="s">
        <v>1863</v>
      </c>
      <c r="F516" s="107"/>
      <c r="G516" s="107" t="s">
        <v>1087</v>
      </c>
      <c r="H516" s="107">
        <v>6550</v>
      </c>
      <c r="I516" s="8" t="s">
        <v>362</v>
      </c>
      <c r="J516" s="108" t="s">
        <v>1110</v>
      </c>
      <c r="K516" s="57">
        <v>30</v>
      </c>
      <c r="L516" s="58">
        <v>30</v>
      </c>
    </row>
    <row r="517" spans="1:12" s="9" customFormat="1" ht="15">
      <c r="A517" s="105">
        <v>491</v>
      </c>
      <c r="B517" s="106" t="s">
        <v>1896</v>
      </c>
      <c r="C517" s="106"/>
      <c r="D517" s="8" t="s">
        <v>1596</v>
      </c>
      <c r="E517" s="189" t="s">
        <v>365</v>
      </c>
      <c r="F517" s="107"/>
      <c r="G517" s="107" t="s">
        <v>92</v>
      </c>
      <c r="H517" s="107">
        <v>6550</v>
      </c>
      <c r="I517" s="8" t="s">
        <v>362</v>
      </c>
      <c r="J517" s="108" t="s">
        <v>1110</v>
      </c>
      <c r="K517" s="57">
        <v>30</v>
      </c>
      <c r="L517" s="58">
        <v>30</v>
      </c>
    </row>
    <row r="518" spans="1:12" s="9" customFormat="1" ht="15">
      <c r="A518" s="105">
        <v>492</v>
      </c>
      <c r="B518" s="106" t="s">
        <v>1896</v>
      </c>
      <c r="C518" s="106"/>
      <c r="D518" s="8" t="s">
        <v>1597</v>
      </c>
      <c r="E518" s="189" t="s">
        <v>1799</v>
      </c>
      <c r="F518" s="107"/>
      <c r="G518" s="107" t="s">
        <v>92</v>
      </c>
      <c r="H518" s="107">
        <v>6550</v>
      </c>
      <c r="I518" s="8" t="s">
        <v>362</v>
      </c>
      <c r="J518" s="108" t="s">
        <v>1110</v>
      </c>
      <c r="K518" s="57">
        <v>30</v>
      </c>
      <c r="L518" s="58">
        <v>30</v>
      </c>
    </row>
    <row r="519" spans="1:12" s="9" customFormat="1" ht="15">
      <c r="A519" s="105">
        <v>493</v>
      </c>
      <c r="B519" s="106" t="s">
        <v>1896</v>
      </c>
      <c r="C519" s="106"/>
      <c r="D519" s="8" t="s">
        <v>1598</v>
      </c>
      <c r="E519" s="189" t="s">
        <v>1799</v>
      </c>
      <c r="F519" s="107"/>
      <c r="G519" s="107" t="s">
        <v>92</v>
      </c>
      <c r="H519" s="107">
        <v>6550</v>
      </c>
      <c r="I519" s="8" t="s">
        <v>362</v>
      </c>
      <c r="J519" s="108" t="s">
        <v>1110</v>
      </c>
      <c r="K519" s="57">
        <v>30</v>
      </c>
      <c r="L519" s="58">
        <v>30</v>
      </c>
    </row>
    <row r="520" spans="1:12" s="9" customFormat="1" ht="15">
      <c r="A520" s="105">
        <v>494</v>
      </c>
      <c r="B520" s="106" t="s">
        <v>1896</v>
      </c>
      <c r="C520" s="106"/>
      <c r="D520" s="8" t="s">
        <v>1599</v>
      </c>
      <c r="E520" s="189" t="s">
        <v>1089</v>
      </c>
      <c r="F520" s="107"/>
      <c r="G520" s="107" t="s">
        <v>1088</v>
      </c>
      <c r="H520" s="107">
        <v>6550</v>
      </c>
      <c r="I520" s="8" t="s">
        <v>362</v>
      </c>
      <c r="J520" s="8" t="s">
        <v>327</v>
      </c>
      <c r="K520" s="57">
        <v>30</v>
      </c>
      <c r="L520" s="58">
        <v>30</v>
      </c>
    </row>
    <row r="521" spans="1:12" s="9" customFormat="1" ht="15">
      <c r="A521" s="105">
        <v>495</v>
      </c>
      <c r="B521" s="106" t="s">
        <v>1896</v>
      </c>
      <c r="C521" s="106"/>
      <c r="D521" s="8" t="s">
        <v>1600</v>
      </c>
      <c r="E521" s="189" t="s">
        <v>2461</v>
      </c>
      <c r="F521" s="106"/>
      <c r="G521" s="106" t="s">
        <v>1970</v>
      </c>
      <c r="H521" s="107">
        <v>6570</v>
      </c>
      <c r="I521" s="8" t="s">
        <v>1444</v>
      </c>
      <c r="J521" s="108" t="s">
        <v>1110</v>
      </c>
      <c r="K521" s="57">
        <v>30</v>
      </c>
      <c r="L521" s="58">
        <v>30</v>
      </c>
    </row>
    <row r="522" spans="1:12" s="9" customFormat="1" ht="15">
      <c r="A522" s="105">
        <v>496</v>
      </c>
      <c r="B522" s="106" t="s">
        <v>1896</v>
      </c>
      <c r="C522" s="106"/>
      <c r="D522" s="8" t="s">
        <v>1601</v>
      </c>
      <c r="E522" s="189" t="s">
        <v>2461</v>
      </c>
      <c r="F522" s="106"/>
      <c r="G522" s="106" t="s">
        <v>1445</v>
      </c>
      <c r="H522" s="107">
        <v>6570</v>
      </c>
      <c r="I522" s="8" t="s">
        <v>1444</v>
      </c>
      <c r="J522" s="108" t="s">
        <v>1110</v>
      </c>
      <c r="K522" s="57">
        <v>30</v>
      </c>
      <c r="L522" s="58">
        <v>30</v>
      </c>
    </row>
    <row r="523" spans="1:12" s="9" customFormat="1" ht="15">
      <c r="A523" s="105">
        <v>497</v>
      </c>
      <c r="B523" s="106" t="s">
        <v>1896</v>
      </c>
      <c r="C523" s="106"/>
      <c r="D523" s="8" t="s">
        <v>1602</v>
      </c>
      <c r="E523" s="189" t="s">
        <v>2461</v>
      </c>
      <c r="F523" s="106"/>
      <c r="G523" s="106" t="s">
        <v>1268</v>
      </c>
      <c r="H523" s="107">
        <v>6570</v>
      </c>
      <c r="I523" s="8" t="s">
        <v>1444</v>
      </c>
      <c r="J523" s="108" t="s">
        <v>1110</v>
      </c>
      <c r="K523" s="57">
        <v>30</v>
      </c>
      <c r="L523" s="58">
        <v>30</v>
      </c>
    </row>
    <row r="524" spans="1:12" s="9" customFormat="1" ht="15">
      <c r="A524" s="105">
        <v>498</v>
      </c>
      <c r="B524" s="106" t="s">
        <v>1896</v>
      </c>
      <c r="C524" s="106"/>
      <c r="D524" s="8" t="s">
        <v>1603</v>
      </c>
      <c r="E524" s="189" t="s">
        <v>2461</v>
      </c>
      <c r="F524" s="106"/>
      <c r="G524" s="106" t="s">
        <v>1269</v>
      </c>
      <c r="H524" s="107">
        <v>6570</v>
      </c>
      <c r="I524" s="8" t="s">
        <v>1444</v>
      </c>
      <c r="J524" s="108" t="s">
        <v>1110</v>
      </c>
      <c r="K524" s="57">
        <v>30</v>
      </c>
      <c r="L524" s="58">
        <v>30</v>
      </c>
    </row>
    <row r="525" spans="1:12" s="9" customFormat="1" ht="15">
      <c r="A525" s="105">
        <v>499</v>
      </c>
      <c r="B525" s="106" t="s">
        <v>1896</v>
      </c>
      <c r="C525" s="106"/>
      <c r="D525" s="8" t="s">
        <v>1604</v>
      </c>
      <c r="E525" s="189" t="s">
        <v>2461</v>
      </c>
      <c r="F525" s="106"/>
      <c r="G525" s="106" t="s">
        <v>1887</v>
      </c>
      <c r="H525" s="107">
        <v>6570</v>
      </c>
      <c r="I525" s="8" t="s">
        <v>1444</v>
      </c>
      <c r="J525" s="108" t="s">
        <v>1110</v>
      </c>
      <c r="K525" s="57">
        <v>30</v>
      </c>
      <c r="L525" s="58">
        <v>30</v>
      </c>
    </row>
    <row r="526" spans="1:12" s="9" customFormat="1" ht="15">
      <c r="A526" s="105">
        <v>500</v>
      </c>
      <c r="B526" s="106" t="s">
        <v>1896</v>
      </c>
      <c r="C526" s="106"/>
      <c r="D526" s="8" t="s">
        <v>1605</v>
      </c>
      <c r="E526" s="189" t="s">
        <v>2461</v>
      </c>
      <c r="F526" s="107"/>
      <c r="G526" s="107" t="s">
        <v>1888</v>
      </c>
      <c r="H526" s="107">
        <v>6570</v>
      </c>
      <c r="I526" s="8" t="s">
        <v>1444</v>
      </c>
      <c r="J526" s="108" t="s">
        <v>1110</v>
      </c>
      <c r="K526" s="57">
        <v>30</v>
      </c>
      <c r="L526" s="58">
        <v>30</v>
      </c>
    </row>
    <row r="527" spans="1:12" s="9" customFormat="1" ht="15">
      <c r="A527" s="105">
        <v>501</v>
      </c>
      <c r="B527" s="106" t="s">
        <v>1896</v>
      </c>
      <c r="C527" s="106"/>
      <c r="D527" s="8" t="s">
        <v>1606</v>
      </c>
      <c r="E527" s="189" t="s">
        <v>2461</v>
      </c>
      <c r="F527" s="106"/>
      <c r="G527" s="106" t="s">
        <v>2462</v>
      </c>
      <c r="H527" s="107">
        <v>6570</v>
      </c>
      <c r="I527" s="8" t="s">
        <v>1444</v>
      </c>
      <c r="J527" s="108" t="s">
        <v>1110</v>
      </c>
      <c r="K527" s="57">
        <v>30</v>
      </c>
      <c r="L527" s="58">
        <v>30</v>
      </c>
    </row>
    <row r="528" spans="1:12" s="9" customFormat="1" ht="15">
      <c r="A528" s="105">
        <v>502</v>
      </c>
      <c r="B528" s="106" t="s">
        <v>1896</v>
      </c>
      <c r="C528" s="106"/>
      <c r="D528" s="8" t="s">
        <v>1607</v>
      </c>
      <c r="E528" s="189" t="s">
        <v>2461</v>
      </c>
      <c r="F528" s="106"/>
      <c r="G528" s="106" t="s">
        <v>1270</v>
      </c>
      <c r="H528" s="107">
        <v>6570</v>
      </c>
      <c r="I528" s="8" t="s">
        <v>1444</v>
      </c>
      <c r="J528" s="108" t="s">
        <v>1110</v>
      </c>
      <c r="K528" s="57">
        <v>30</v>
      </c>
      <c r="L528" s="58">
        <v>30</v>
      </c>
    </row>
    <row r="529" spans="1:12" s="9" customFormat="1" ht="15">
      <c r="A529" s="105">
        <v>503</v>
      </c>
      <c r="B529" s="106" t="s">
        <v>1896</v>
      </c>
      <c r="C529" s="106"/>
      <c r="D529" s="8" t="s">
        <v>1608</v>
      </c>
      <c r="E529" s="189" t="s">
        <v>2461</v>
      </c>
      <c r="F529" s="106"/>
      <c r="G529" s="106" t="s">
        <v>2439</v>
      </c>
      <c r="H529" s="107">
        <v>6570</v>
      </c>
      <c r="I529" s="8" t="s">
        <v>1444</v>
      </c>
      <c r="J529" s="108" t="s">
        <v>1110</v>
      </c>
      <c r="K529" s="57">
        <v>30</v>
      </c>
      <c r="L529" s="58">
        <v>30</v>
      </c>
    </row>
    <row r="530" spans="1:12" s="9" customFormat="1" ht="15">
      <c r="A530" s="105">
        <v>504</v>
      </c>
      <c r="B530" s="106" t="s">
        <v>1897</v>
      </c>
      <c r="C530" s="106"/>
      <c r="D530" s="8" t="s">
        <v>1609</v>
      </c>
      <c r="E530" s="189" t="s">
        <v>2461</v>
      </c>
      <c r="F530" s="106"/>
      <c r="G530" s="106" t="s">
        <v>279</v>
      </c>
      <c r="H530" s="107">
        <v>6570</v>
      </c>
      <c r="I530" s="8" t="s">
        <v>1444</v>
      </c>
      <c r="J530" s="108" t="s">
        <v>1110</v>
      </c>
      <c r="K530" s="57">
        <v>30</v>
      </c>
      <c r="L530" s="58">
        <v>30</v>
      </c>
    </row>
    <row r="531" spans="1:12" s="9" customFormat="1" ht="15">
      <c r="A531" s="105">
        <v>505</v>
      </c>
      <c r="B531" s="106" t="s">
        <v>1897</v>
      </c>
      <c r="C531" s="106"/>
      <c r="D531" s="8" t="s">
        <v>1610</v>
      </c>
      <c r="E531" s="189" t="s">
        <v>2461</v>
      </c>
      <c r="F531" s="106"/>
      <c r="G531" s="106" t="s">
        <v>290</v>
      </c>
      <c r="H531" s="107">
        <v>6570</v>
      </c>
      <c r="I531" s="8" t="s">
        <v>1444</v>
      </c>
      <c r="J531" s="108" t="s">
        <v>1110</v>
      </c>
      <c r="K531" s="57">
        <v>30</v>
      </c>
      <c r="L531" s="58">
        <v>30</v>
      </c>
    </row>
    <row r="532" spans="1:12" s="9" customFormat="1" ht="15">
      <c r="A532" s="105">
        <v>506</v>
      </c>
      <c r="B532" s="106" t="s">
        <v>1897</v>
      </c>
      <c r="C532" s="106"/>
      <c r="D532" s="8" t="s">
        <v>262</v>
      </c>
      <c r="E532" s="189" t="s">
        <v>2461</v>
      </c>
      <c r="F532" s="106"/>
      <c r="G532" s="106" t="s">
        <v>264</v>
      </c>
      <c r="H532" s="107">
        <v>6570</v>
      </c>
      <c r="I532" s="8" t="s">
        <v>1444</v>
      </c>
      <c r="J532" s="108" t="s">
        <v>1110</v>
      </c>
      <c r="K532" s="57">
        <v>30</v>
      </c>
      <c r="L532" s="58">
        <v>30</v>
      </c>
    </row>
    <row r="533" spans="1:12" s="9" customFormat="1" ht="15">
      <c r="A533" s="105">
        <v>507</v>
      </c>
      <c r="B533" s="106" t="s">
        <v>1897</v>
      </c>
      <c r="C533" s="106"/>
      <c r="D533" s="8" t="s">
        <v>263</v>
      </c>
      <c r="E533" s="189" t="s">
        <v>2461</v>
      </c>
      <c r="F533" s="106"/>
      <c r="G533" s="106" t="s">
        <v>265</v>
      </c>
      <c r="H533" s="107">
        <v>6570</v>
      </c>
      <c r="I533" s="8" t="s">
        <v>1444</v>
      </c>
      <c r="J533" s="108" t="s">
        <v>1110</v>
      </c>
      <c r="K533" s="57">
        <v>30</v>
      </c>
      <c r="L533" s="58">
        <v>30</v>
      </c>
    </row>
    <row r="534" spans="1:12" s="9" customFormat="1" ht="15">
      <c r="A534" s="105">
        <v>508</v>
      </c>
      <c r="B534" s="106" t="s">
        <v>1896</v>
      </c>
      <c r="C534" s="106"/>
      <c r="D534" s="8" t="s">
        <v>1611</v>
      </c>
      <c r="E534" s="189" t="s">
        <v>69</v>
      </c>
      <c r="F534" s="107"/>
      <c r="G534" s="107" t="s">
        <v>68</v>
      </c>
      <c r="H534" s="107">
        <v>6570</v>
      </c>
      <c r="I534" s="8" t="s">
        <v>1444</v>
      </c>
      <c r="J534" s="8" t="s">
        <v>327</v>
      </c>
      <c r="K534" s="57">
        <v>30</v>
      </c>
      <c r="L534" s="58">
        <v>30</v>
      </c>
    </row>
    <row r="535" spans="1:12" s="9" customFormat="1" ht="15">
      <c r="A535" s="105">
        <v>509</v>
      </c>
      <c r="B535" s="106" t="s">
        <v>1896</v>
      </c>
      <c r="C535" s="106"/>
      <c r="D535" s="8" t="s">
        <v>1612</v>
      </c>
      <c r="E535" s="189" t="s">
        <v>71</v>
      </c>
      <c r="F535" s="107"/>
      <c r="G535" s="107" t="s">
        <v>70</v>
      </c>
      <c r="H535" s="107">
        <v>6570</v>
      </c>
      <c r="I535" s="8" t="s">
        <v>1444</v>
      </c>
      <c r="J535" s="8" t="s">
        <v>327</v>
      </c>
      <c r="K535" s="57">
        <v>30</v>
      </c>
      <c r="L535" s="58">
        <v>30</v>
      </c>
    </row>
    <row r="536" spans="1:12" s="9" customFormat="1" ht="15">
      <c r="A536" s="105">
        <v>510</v>
      </c>
      <c r="B536" s="106" t="s">
        <v>1896</v>
      </c>
      <c r="C536" s="106"/>
      <c r="D536" s="8" t="s">
        <v>1613</v>
      </c>
      <c r="E536" s="189" t="s">
        <v>73</v>
      </c>
      <c r="F536" s="107"/>
      <c r="G536" s="107" t="s">
        <v>72</v>
      </c>
      <c r="H536" s="107">
        <v>6570</v>
      </c>
      <c r="I536" s="8" t="s">
        <v>1444</v>
      </c>
      <c r="J536" s="8" t="s">
        <v>327</v>
      </c>
      <c r="K536" s="57">
        <v>30</v>
      </c>
      <c r="L536" s="58">
        <v>30</v>
      </c>
    </row>
    <row r="537" spans="1:12" s="9" customFormat="1" ht="15">
      <c r="A537" s="105">
        <v>511</v>
      </c>
      <c r="B537" s="106" t="s">
        <v>1897</v>
      </c>
      <c r="C537" s="106"/>
      <c r="D537" s="8" t="s">
        <v>1614</v>
      </c>
      <c r="E537" s="189" t="s">
        <v>881</v>
      </c>
      <c r="F537" s="107"/>
      <c r="G537" s="107" t="s">
        <v>880</v>
      </c>
      <c r="H537" s="107">
        <v>6570</v>
      </c>
      <c r="I537" s="8" t="s">
        <v>1444</v>
      </c>
      <c r="J537" s="8" t="s">
        <v>856</v>
      </c>
      <c r="K537" s="57">
        <v>30</v>
      </c>
      <c r="L537" s="58">
        <v>30</v>
      </c>
    </row>
    <row r="538" spans="1:12" s="9" customFormat="1" ht="15">
      <c r="A538" s="105">
        <v>512</v>
      </c>
      <c r="B538" s="106" t="s">
        <v>1896</v>
      </c>
      <c r="C538" s="106"/>
      <c r="D538" s="8" t="s">
        <v>1615</v>
      </c>
      <c r="E538" s="189" t="s">
        <v>1091</v>
      </c>
      <c r="F538" s="107"/>
      <c r="G538" s="107" t="s">
        <v>1090</v>
      </c>
      <c r="H538" s="107">
        <v>6570</v>
      </c>
      <c r="I538" s="8" t="s">
        <v>1444</v>
      </c>
      <c r="J538" s="8" t="s">
        <v>327</v>
      </c>
      <c r="K538" s="57">
        <v>30</v>
      </c>
      <c r="L538" s="58">
        <v>30</v>
      </c>
    </row>
    <row r="539" spans="1:12" s="9" customFormat="1" ht="15">
      <c r="A539" s="105">
        <v>513</v>
      </c>
      <c r="B539" s="106" t="s">
        <v>1896</v>
      </c>
      <c r="C539" s="106"/>
      <c r="D539" s="8" t="s">
        <v>1616</v>
      </c>
      <c r="E539" s="189" t="s">
        <v>1091</v>
      </c>
      <c r="F539" s="107"/>
      <c r="G539" s="107" t="s">
        <v>1092</v>
      </c>
      <c r="H539" s="107">
        <v>6570</v>
      </c>
      <c r="I539" s="8" t="s">
        <v>1444</v>
      </c>
      <c r="J539" s="8" t="s">
        <v>327</v>
      </c>
      <c r="K539" s="57">
        <v>30</v>
      </c>
      <c r="L539" s="58">
        <v>30</v>
      </c>
    </row>
    <row r="540" spans="1:12" s="9" customFormat="1" ht="15">
      <c r="A540" s="105">
        <v>514</v>
      </c>
      <c r="B540" s="106" t="s">
        <v>1896</v>
      </c>
      <c r="C540" s="106"/>
      <c r="D540" s="8" t="s">
        <v>1617</v>
      </c>
      <c r="E540" s="189" t="s">
        <v>1095</v>
      </c>
      <c r="F540" s="107"/>
      <c r="G540" s="107" t="s">
        <v>1093</v>
      </c>
      <c r="H540" s="107">
        <v>6570</v>
      </c>
      <c r="I540" s="8" t="s">
        <v>1444</v>
      </c>
      <c r="J540" s="8" t="s">
        <v>327</v>
      </c>
      <c r="K540" s="57">
        <v>30</v>
      </c>
      <c r="L540" s="58">
        <v>30</v>
      </c>
    </row>
    <row r="541" spans="1:12" s="9" customFormat="1" ht="15">
      <c r="A541" s="105">
        <v>515</v>
      </c>
      <c r="B541" s="106" t="s">
        <v>1896</v>
      </c>
      <c r="C541" s="106"/>
      <c r="D541" s="8" t="s">
        <v>1618</v>
      </c>
      <c r="E541" s="189" t="s">
        <v>1096</v>
      </c>
      <c r="F541" s="107"/>
      <c r="G541" s="107" t="s">
        <v>1094</v>
      </c>
      <c r="H541" s="107">
        <v>6570</v>
      </c>
      <c r="I541" s="8" t="s">
        <v>1444</v>
      </c>
      <c r="J541" s="8" t="s">
        <v>327</v>
      </c>
      <c r="K541" s="57">
        <v>30</v>
      </c>
      <c r="L541" s="58">
        <v>30</v>
      </c>
    </row>
    <row r="542" spans="1:12" s="9" customFormat="1" ht="15">
      <c r="A542" s="105">
        <v>516</v>
      </c>
      <c r="B542" s="106" t="s">
        <v>1896</v>
      </c>
      <c r="C542" s="106"/>
      <c r="D542" s="8" t="s">
        <v>1619</v>
      </c>
      <c r="E542" s="189" t="s">
        <v>1097</v>
      </c>
      <c r="F542" s="107"/>
      <c r="G542" s="107" t="s">
        <v>23</v>
      </c>
      <c r="H542" s="107">
        <v>6570</v>
      </c>
      <c r="I542" s="8" t="s">
        <v>1444</v>
      </c>
      <c r="J542" s="8" t="s">
        <v>327</v>
      </c>
      <c r="K542" s="57">
        <v>30</v>
      </c>
      <c r="L542" s="58">
        <v>30</v>
      </c>
    </row>
    <row r="543" spans="1:12" s="9" customFormat="1" ht="15">
      <c r="A543" s="105">
        <v>517</v>
      </c>
      <c r="B543" s="106" t="s">
        <v>1896</v>
      </c>
      <c r="C543" s="106"/>
      <c r="D543" s="8" t="s">
        <v>1620</v>
      </c>
      <c r="E543" s="189" t="s">
        <v>1098</v>
      </c>
      <c r="F543" s="107"/>
      <c r="G543" s="107" t="s">
        <v>24</v>
      </c>
      <c r="H543" s="107">
        <v>6570</v>
      </c>
      <c r="I543" s="8" t="s">
        <v>1444</v>
      </c>
      <c r="J543" s="8" t="s">
        <v>327</v>
      </c>
      <c r="K543" s="57">
        <v>30</v>
      </c>
      <c r="L543" s="58">
        <v>30</v>
      </c>
    </row>
    <row r="544" spans="1:12" s="9" customFormat="1" ht="15">
      <c r="A544" s="105">
        <v>518</v>
      </c>
      <c r="B544" s="106" t="s">
        <v>1896</v>
      </c>
      <c r="C544" s="106"/>
      <c r="D544" s="8" t="s">
        <v>1621</v>
      </c>
      <c r="E544" s="189" t="s">
        <v>1103</v>
      </c>
      <c r="F544" s="107"/>
      <c r="G544" s="107" t="s">
        <v>1101</v>
      </c>
      <c r="H544" s="107">
        <v>6570</v>
      </c>
      <c r="I544" s="8" t="s">
        <v>1444</v>
      </c>
      <c r="J544" s="8" t="s">
        <v>1104</v>
      </c>
      <c r="K544" s="57">
        <v>30</v>
      </c>
      <c r="L544" s="58">
        <v>30</v>
      </c>
    </row>
    <row r="545" spans="1:12" s="9" customFormat="1" ht="15">
      <c r="A545" s="105">
        <v>519</v>
      </c>
      <c r="B545" s="106" t="s">
        <v>1896</v>
      </c>
      <c r="C545" s="106"/>
      <c r="D545" s="8" t="s">
        <v>1622</v>
      </c>
      <c r="E545" s="189" t="s">
        <v>1103</v>
      </c>
      <c r="F545" s="107"/>
      <c r="G545" s="107" t="s">
        <v>1102</v>
      </c>
      <c r="H545" s="107">
        <v>6570</v>
      </c>
      <c r="I545" s="8" t="s">
        <v>1444</v>
      </c>
      <c r="J545" s="8" t="s">
        <v>1104</v>
      </c>
      <c r="K545" s="57">
        <v>30</v>
      </c>
      <c r="L545" s="58">
        <v>30</v>
      </c>
    </row>
    <row r="546" spans="1:12" s="9" customFormat="1" ht="15">
      <c r="A546" s="105">
        <v>520</v>
      </c>
      <c r="B546" s="106" t="s">
        <v>1897</v>
      </c>
      <c r="C546" s="106"/>
      <c r="D546" s="8" t="s">
        <v>1623</v>
      </c>
      <c r="E546" s="189" t="s">
        <v>879</v>
      </c>
      <c r="F546" s="107"/>
      <c r="G546" s="107" t="s">
        <v>878</v>
      </c>
      <c r="H546" s="107">
        <v>6570</v>
      </c>
      <c r="I546" s="8" t="s">
        <v>1444</v>
      </c>
      <c r="J546" s="8" t="s">
        <v>856</v>
      </c>
      <c r="K546" s="57">
        <v>30</v>
      </c>
      <c r="L546" s="58">
        <v>30</v>
      </c>
    </row>
    <row r="547" spans="1:12" s="9" customFormat="1" ht="15">
      <c r="A547" s="105">
        <v>521</v>
      </c>
      <c r="B547" s="106" t="s">
        <v>1896</v>
      </c>
      <c r="C547" s="106"/>
      <c r="D547" s="8" t="s">
        <v>1624</v>
      </c>
      <c r="E547" s="189" t="s">
        <v>76</v>
      </c>
      <c r="F547" s="107"/>
      <c r="G547" s="107" t="s">
        <v>1105</v>
      </c>
      <c r="H547" s="107">
        <v>6570</v>
      </c>
      <c r="I547" s="8" t="s">
        <v>1444</v>
      </c>
      <c r="J547" s="8" t="s">
        <v>327</v>
      </c>
      <c r="K547" s="57">
        <v>30</v>
      </c>
      <c r="L547" s="58">
        <v>30</v>
      </c>
    </row>
    <row r="548" spans="1:12" s="9" customFormat="1" ht="15">
      <c r="A548" s="105">
        <v>522</v>
      </c>
      <c r="B548" s="106" t="s">
        <v>1896</v>
      </c>
      <c r="C548" s="106"/>
      <c r="D548" s="8" t="s">
        <v>1625</v>
      </c>
      <c r="E548" s="189" t="s">
        <v>76</v>
      </c>
      <c r="F548" s="107"/>
      <c r="G548" s="107" t="s">
        <v>75</v>
      </c>
      <c r="H548" s="107">
        <v>6570</v>
      </c>
      <c r="I548" s="8" t="s">
        <v>1444</v>
      </c>
      <c r="J548" s="8" t="s">
        <v>327</v>
      </c>
      <c r="K548" s="57">
        <v>30</v>
      </c>
      <c r="L548" s="58">
        <v>30</v>
      </c>
    </row>
    <row r="549" spans="1:12" s="9" customFormat="1" ht="15">
      <c r="A549" s="105">
        <v>523</v>
      </c>
      <c r="B549" s="106" t="s">
        <v>1896</v>
      </c>
      <c r="C549" s="106"/>
      <c r="D549" s="8" t="s">
        <v>1626</v>
      </c>
      <c r="E549" s="189" t="s">
        <v>78</v>
      </c>
      <c r="F549" s="107"/>
      <c r="G549" s="107" t="s">
        <v>1106</v>
      </c>
      <c r="H549" s="107">
        <v>6570</v>
      </c>
      <c r="I549" s="8" t="s">
        <v>1444</v>
      </c>
      <c r="J549" s="8" t="s">
        <v>327</v>
      </c>
      <c r="K549" s="57">
        <v>30</v>
      </c>
      <c r="L549" s="58">
        <v>30</v>
      </c>
    </row>
    <row r="550" spans="1:12" s="9" customFormat="1" ht="15">
      <c r="A550" s="105">
        <v>524</v>
      </c>
      <c r="B550" s="106" t="s">
        <v>1896</v>
      </c>
      <c r="C550" s="106"/>
      <c r="D550" s="8" t="s">
        <v>1627</v>
      </c>
      <c r="E550" s="189" t="s">
        <v>78</v>
      </c>
      <c r="F550" s="107"/>
      <c r="G550" s="107" t="s">
        <v>77</v>
      </c>
      <c r="H550" s="107">
        <v>6570</v>
      </c>
      <c r="I550" s="8" t="s">
        <v>1444</v>
      </c>
      <c r="J550" s="8" t="s">
        <v>327</v>
      </c>
      <c r="K550" s="57">
        <v>30</v>
      </c>
      <c r="L550" s="58">
        <v>30</v>
      </c>
    </row>
    <row r="551" spans="1:12" s="9" customFormat="1" ht="15">
      <c r="A551" s="105">
        <v>525</v>
      </c>
      <c r="B551" s="106" t="s">
        <v>1896</v>
      </c>
      <c r="C551" s="106"/>
      <c r="D551" s="8" t="s">
        <v>1721</v>
      </c>
      <c r="E551" s="189" t="s">
        <v>79</v>
      </c>
      <c r="F551" s="107"/>
      <c r="G551" s="107" t="s">
        <v>80</v>
      </c>
      <c r="H551" s="107">
        <v>6550</v>
      </c>
      <c r="I551" s="8" t="s">
        <v>362</v>
      </c>
      <c r="J551" s="8" t="s">
        <v>1864</v>
      </c>
      <c r="K551" s="57">
        <v>30</v>
      </c>
      <c r="L551" s="58">
        <v>30</v>
      </c>
    </row>
    <row r="552" spans="1:12" s="9" customFormat="1" ht="15">
      <c r="A552" s="105">
        <v>526</v>
      </c>
      <c r="B552" s="106" t="s">
        <v>1896</v>
      </c>
      <c r="C552" s="106"/>
      <c r="D552" s="8" t="s">
        <v>1628</v>
      </c>
      <c r="E552" s="189" t="s">
        <v>366</v>
      </c>
      <c r="F552" s="107"/>
      <c r="G552" s="107" t="s">
        <v>92</v>
      </c>
      <c r="H552" s="107">
        <v>6550</v>
      </c>
      <c r="I552" s="8" t="s">
        <v>362</v>
      </c>
      <c r="J552" s="108" t="s">
        <v>1110</v>
      </c>
      <c r="K552" s="57">
        <v>30</v>
      </c>
      <c r="L552" s="58">
        <v>30</v>
      </c>
    </row>
    <row r="553" spans="1:12" s="9" customFormat="1" ht="15">
      <c r="A553" s="105">
        <v>527</v>
      </c>
      <c r="B553" s="106" t="s">
        <v>1896</v>
      </c>
      <c r="C553" s="106"/>
      <c r="D553" s="8" t="s">
        <v>1629</v>
      </c>
      <c r="E553" s="189" t="s">
        <v>366</v>
      </c>
      <c r="F553" s="107"/>
      <c r="G553" s="107" t="s">
        <v>92</v>
      </c>
      <c r="H553" s="107">
        <v>6550</v>
      </c>
      <c r="I553" s="8" t="s">
        <v>362</v>
      </c>
      <c r="J553" s="108" t="s">
        <v>1110</v>
      </c>
      <c r="K553" s="57">
        <v>30</v>
      </c>
      <c r="L553" s="58">
        <v>30</v>
      </c>
    </row>
    <row r="554" spans="1:12" s="9" customFormat="1" ht="15">
      <c r="A554" s="105">
        <v>528</v>
      </c>
      <c r="B554" s="106" t="s">
        <v>1896</v>
      </c>
      <c r="C554" s="106"/>
      <c r="D554" s="8" t="s">
        <v>1630</v>
      </c>
      <c r="E554" s="189" t="s">
        <v>366</v>
      </c>
      <c r="F554" s="107"/>
      <c r="G554" s="107" t="s">
        <v>92</v>
      </c>
      <c r="H554" s="107">
        <v>6550</v>
      </c>
      <c r="I554" s="8" t="s">
        <v>362</v>
      </c>
      <c r="J554" s="108" t="s">
        <v>1110</v>
      </c>
      <c r="K554" s="57">
        <v>30</v>
      </c>
      <c r="L554" s="58">
        <v>30</v>
      </c>
    </row>
    <row r="555" spans="1:12" s="9" customFormat="1" ht="15">
      <c r="A555" s="105">
        <v>529</v>
      </c>
      <c r="B555" s="106" t="s">
        <v>1896</v>
      </c>
      <c r="C555" s="106"/>
      <c r="D555" s="8" t="s">
        <v>1631</v>
      </c>
      <c r="E555" s="189" t="s">
        <v>366</v>
      </c>
      <c r="F555" s="107"/>
      <c r="G555" s="107" t="s">
        <v>92</v>
      </c>
      <c r="H555" s="107">
        <v>6550</v>
      </c>
      <c r="I555" s="8" t="s">
        <v>362</v>
      </c>
      <c r="J555" s="108" t="s">
        <v>1110</v>
      </c>
      <c r="K555" s="57">
        <v>30</v>
      </c>
      <c r="L555" s="58">
        <v>30</v>
      </c>
    </row>
    <row r="556" spans="1:12" s="9" customFormat="1" ht="15">
      <c r="A556" s="105">
        <v>530</v>
      </c>
      <c r="B556" s="106" t="s">
        <v>1896</v>
      </c>
      <c r="C556" s="106"/>
      <c r="D556" s="8" t="s">
        <v>1632</v>
      </c>
      <c r="E556" s="189" t="s">
        <v>366</v>
      </c>
      <c r="F556" s="107"/>
      <c r="G556" s="107" t="s">
        <v>92</v>
      </c>
      <c r="H556" s="107">
        <v>6550</v>
      </c>
      <c r="I556" s="8" t="s">
        <v>362</v>
      </c>
      <c r="J556" s="108" t="s">
        <v>1110</v>
      </c>
      <c r="K556" s="57">
        <v>30</v>
      </c>
      <c r="L556" s="58">
        <v>30</v>
      </c>
    </row>
    <row r="557" spans="1:12" s="9" customFormat="1" ht="15">
      <c r="A557" s="105">
        <v>531</v>
      </c>
      <c r="B557" s="106" t="s">
        <v>1896</v>
      </c>
      <c r="C557" s="106"/>
      <c r="D557" s="8" t="s">
        <v>1633</v>
      </c>
      <c r="E557" s="189" t="s">
        <v>366</v>
      </c>
      <c r="F557" s="107"/>
      <c r="G557" s="107" t="s">
        <v>92</v>
      </c>
      <c r="H557" s="107">
        <v>6550</v>
      </c>
      <c r="I557" s="8" t="s">
        <v>362</v>
      </c>
      <c r="J557" s="108" t="s">
        <v>1110</v>
      </c>
      <c r="K557" s="57">
        <v>30</v>
      </c>
      <c r="L557" s="58">
        <v>30</v>
      </c>
    </row>
    <row r="558" spans="1:12" s="9" customFormat="1" ht="15">
      <c r="A558" s="105">
        <v>532</v>
      </c>
      <c r="B558" s="106" t="s">
        <v>1897</v>
      </c>
      <c r="C558" s="106"/>
      <c r="D558" s="8" t="s">
        <v>1634</v>
      </c>
      <c r="E558" s="189" t="s">
        <v>366</v>
      </c>
      <c r="F558" s="107"/>
      <c r="G558" s="107" t="s">
        <v>92</v>
      </c>
      <c r="H558" s="107">
        <v>6550</v>
      </c>
      <c r="I558" s="8" t="s">
        <v>362</v>
      </c>
      <c r="J558" s="108" t="s">
        <v>1110</v>
      </c>
      <c r="K558" s="57">
        <v>30</v>
      </c>
      <c r="L558" s="58">
        <v>30</v>
      </c>
    </row>
    <row r="559" spans="1:12" s="9" customFormat="1" ht="15">
      <c r="A559" s="105">
        <v>533</v>
      </c>
      <c r="B559" s="106" t="s">
        <v>1896</v>
      </c>
      <c r="C559" s="106"/>
      <c r="D559" s="8" t="s">
        <v>1635</v>
      </c>
      <c r="E559" s="189" t="s">
        <v>366</v>
      </c>
      <c r="F559" s="107"/>
      <c r="G559" s="107" t="s">
        <v>92</v>
      </c>
      <c r="H559" s="107">
        <v>6550</v>
      </c>
      <c r="I559" s="8" t="s">
        <v>362</v>
      </c>
      <c r="J559" s="108" t="s">
        <v>1110</v>
      </c>
      <c r="K559" s="57">
        <v>30</v>
      </c>
      <c r="L559" s="58">
        <v>30</v>
      </c>
    </row>
    <row r="560" spans="1:12" s="9" customFormat="1" ht="15">
      <c r="A560" s="105">
        <v>534</v>
      </c>
      <c r="B560" s="106" t="s">
        <v>1896</v>
      </c>
      <c r="C560" s="106"/>
      <c r="D560" s="8" t="s">
        <v>1722</v>
      </c>
      <c r="E560" s="189" t="s">
        <v>82</v>
      </c>
      <c r="F560" s="107"/>
      <c r="G560" s="107" t="s">
        <v>81</v>
      </c>
      <c r="H560" s="107">
        <v>6550</v>
      </c>
      <c r="I560" s="8" t="s">
        <v>362</v>
      </c>
      <c r="J560" s="8" t="s">
        <v>1864</v>
      </c>
      <c r="K560" s="57">
        <v>30</v>
      </c>
      <c r="L560" s="58">
        <v>30</v>
      </c>
    </row>
    <row r="561" spans="1:12" s="13" customFormat="1" ht="15">
      <c r="A561" s="105">
        <v>535</v>
      </c>
      <c r="B561" s="106" t="s">
        <v>1896</v>
      </c>
      <c r="C561" s="106"/>
      <c r="D561" s="8" t="s">
        <v>1636</v>
      </c>
      <c r="E561" s="189" t="s">
        <v>367</v>
      </c>
      <c r="F561" s="107"/>
      <c r="G561" s="107" t="s">
        <v>92</v>
      </c>
      <c r="H561" s="107">
        <v>6550</v>
      </c>
      <c r="I561" s="8" t="s">
        <v>362</v>
      </c>
      <c r="J561" s="108" t="s">
        <v>1110</v>
      </c>
      <c r="K561" s="57">
        <v>30</v>
      </c>
      <c r="L561" s="58">
        <v>30</v>
      </c>
    </row>
    <row r="562" spans="1:12" s="13" customFormat="1" ht="15">
      <c r="A562" s="105">
        <v>536</v>
      </c>
      <c r="B562" s="106" t="s">
        <v>1896</v>
      </c>
      <c r="C562" s="106"/>
      <c r="D562" s="8" t="s">
        <v>1637</v>
      </c>
      <c r="E562" s="189" t="s">
        <v>368</v>
      </c>
      <c r="F562" s="107"/>
      <c r="G562" s="107" t="s">
        <v>92</v>
      </c>
      <c r="H562" s="107">
        <v>6550</v>
      </c>
      <c r="I562" s="8" t="s">
        <v>362</v>
      </c>
      <c r="J562" s="108" t="s">
        <v>1110</v>
      </c>
      <c r="K562" s="57">
        <v>30</v>
      </c>
      <c r="L562" s="58">
        <v>30</v>
      </c>
    </row>
    <row r="563" spans="1:12" s="13" customFormat="1" ht="15">
      <c r="A563" s="105">
        <v>537</v>
      </c>
      <c r="B563" s="106" t="s">
        <v>1896</v>
      </c>
      <c r="C563" s="106"/>
      <c r="D563" s="8" t="s">
        <v>1638</v>
      </c>
      <c r="E563" s="189" t="s">
        <v>368</v>
      </c>
      <c r="F563" s="107"/>
      <c r="G563" s="107" t="s">
        <v>92</v>
      </c>
      <c r="H563" s="107">
        <v>6550</v>
      </c>
      <c r="I563" s="8" t="s">
        <v>362</v>
      </c>
      <c r="J563" s="108" t="s">
        <v>1110</v>
      </c>
      <c r="K563" s="57">
        <v>30</v>
      </c>
      <c r="L563" s="58">
        <v>30</v>
      </c>
    </row>
    <row r="564" spans="1:12" s="13" customFormat="1" ht="15">
      <c r="A564" s="105">
        <v>538</v>
      </c>
      <c r="B564" s="106" t="s">
        <v>1896</v>
      </c>
      <c r="C564" s="106"/>
      <c r="D564" s="8" t="s">
        <v>1639</v>
      </c>
      <c r="E564" s="189" t="s">
        <v>368</v>
      </c>
      <c r="F564" s="107"/>
      <c r="G564" s="107" t="s">
        <v>92</v>
      </c>
      <c r="H564" s="107">
        <v>6550</v>
      </c>
      <c r="I564" s="8" t="s">
        <v>362</v>
      </c>
      <c r="J564" s="108" t="s">
        <v>1110</v>
      </c>
      <c r="K564" s="57">
        <v>30</v>
      </c>
      <c r="L564" s="58">
        <v>30</v>
      </c>
    </row>
    <row r="565" spans="1:12" s="13" customFormat="1" ht="15">
      <c r="A565" s="105">
        <v>539</v>
      </c>
      <c r="B565" s="106" t="s">
        <v>1896</v>
      </c>
      <c r="C565" s="106"/>
      <c r="D565" s="8" t="s">
        <v>1640</v>
      </c>
      <c r="E565" s="189" t="s">
        <v>368</v>
      </c>
      <c r="F565" s="107"/>
      <c r="G565" s="107" t="s">
        <v>92</v>
      </c>
      <c r="H565" s="107">
        <v>6550</v>
      </c>
      <c r="I565" s="8" t="s">
        <v>362</v>
      </c>
      <c r="J565" s="108" t="s">
        <v>1110</v>
      </c>
      <c r="K565" s="57">
        <v>30</v>
      </c>
      <c r="L565" s="58">
        <v>30</v>
      </c>
    </row>
    <row r="566" spans="1:12" s="13" customFormat="1" ht="15">
      <c r="A566" s="105">
        <v>540</v>
      </c>
      <c r="B566" s="106" t="s">
        <v>1897</v>
      </c>
      <c r="C566" s="106"/>
      <c r="D566" s="8" t="s">
        <v>1641</v>
      </c>
      <c r="E566" s="189" t="s">
        <v>367</v>
      </c>
      <c r="F566" s="107"/>
      <c r="G566" s="107" t="s">
        <v>92</v>
      </c>
      <c r="H566" s="107">
        <v>6550</v>
      </c>
      <c r="I566" s="8" t="s">
        <v>362</v>
      </c>
      <c r="J566" s="108" t="s">
        <v>1110</v>
      </c>
      <c r="K566" s="57">
        <v>30</v>
      </c>
      <c r="L566" s="58">
        <v>30</v>
      </c>
    </row>
    <row r="567" spans="1:12" s="13" customFormat="1" ht="15">
      <c r="A567" s="105">
        <v>541</v>
      </c>
      <c r="B567" s="106" t="s">
        <v>1896</v>
      </c>
      <c r="C567" s="106"/>
      <c r="D567" s="8" t="s">
        <v>1642</v>
      </c>
      <c r="E567" s="189" t="s">
        <v>367</v>
      </c>
      <c r="F567" s="107"/>
      <c r="G567" s="107" t="s">
        <v>92</v>
      </c>
      <c r="H567" s="107">
        <v>6550</v>
      </c>
      <c r="I567" s="8" t="s">
        <v>362</v>
      </c>
      <c r="J567" s="108" t="s">
        <v>1110</v>
      </c>
      <c r="K567" s="57">
        <v>30</v>
      </c>
      <c r="L567" s="58">
        <v>30</v>
      </c>
    </row>
    <row r="568" spans="1:12" s="13" customFormat="1" ht="15">
      <c r="A568" s="105">
        <v>542</v>
      </c>
      <c r="B568" s="106" t="s">
        <v>1896</v>
      </c>
      <c r="C568" s="106"/>
      <c r="D568" s="8" t="s">
        <v>1643</v>
      </c>
      <c r="E568" s="189" t="s">
        <v>367</v>
      </c>
      <c r="F568" s="107"/>
      <c r="G568" s="107" t="s">
        <v>92</v>
      </c>
      <c r="H568" s="107">
        <v>6550</v>
      </c>
      <c r="I568" s="8" t="s">
        <v>362</v>
      </c>
      <c r="J568" s="108" t="s">
        <v>1110</v>
      </c>
      <c r="K568" s="57">
        <v>30</v>
      </c>
      <c r="L568" s="58">
        <v>30</v>
      </c>
    </row>
    <row r="569" spans="1:12" s="13" customFormat="1" ht="15">
      <c r="A569" s="105">
        <v>543</v>
      </c>
      <c r="B569" s="106" t="s">
        <v>1896</v>
      </c>
      <c r="C569" s="106"/>
      <c r="D569" s="8" t="s">
        <v>1644</v>
      </c>
      <c r="E569" s="189" t="s">
        <v>1447</v>
      </c>
      <c r="F569" s="107"/>
      <c r="G569" s="107" t="s">
        <v>1446</v>
      </c>
      <c r="H569" s="107">
        <v>6570</v>
      </c>
      <c r="I569" s="8" t="s">
        <v>1444</v>
      </c>
      <c r="J569" s="8" t="s">
        <v>394</v>
      </c>
      <c r="K569" s="57">
        <v>30</v>
      </c>
      <c r="L569" s="58">
        <v>30</v>
      </c>
    </row>
    <row r="570" spans="1:12" s="9" customFormat="1" ht="15">
      <c r="A570" s="105">
        <v>544</v>
      </c>
      <c r="B570" s="106" t="s">
        <v>1896</v>
      </c>
      <c r="C570" s="106"/>
      <c r="D570" s="8" t="s">
        <v>1645</v>
      </c>
      <c r="E570" s="189" t="s">
        <v>1447</v>
      </c>
      <c r="F570" s="107"/>
      <c r="G570" s="107" t="s">
        <v>119</v>
      </c>
      <c r="H570" s="107">
        <v>6570</v>
      </c>
      <c r="I570" s="8" t="s">
        <v>1444</v>
      </c>
      <c r="J570" s="8" t="s">
        <v>394</v>
      </c>
      <c r="K570" s="57">
        <v>30</v>
      </c>
      <c r="L570" s="58">
        <v>30</v>
      </c>
    </row>
    <row r="571" spans="1:12" s="9" customFormat="1" ht="15">
      <c r="A571" s="105">
        <v>544</v>
      </c>
      <c r="B571" s="106" t="s">
        <v>1896</v>
      </c>
      <c r="C571" s="106"/>
      <c r="D571" s="8" t="s">
        <v>4651</v>
      </c>
      <c r="E571" s="189" t="s">
        <v>1447</v>
      </c>
      <c r="F571" s="107"/>
      <c r="G571" s="107" t="s">
        <v>4652</v>
      </c>
      <c r="H571" s="107">
        <v>6570</v>
      </c>
      <c r="I571" s="8" t="s">
        <v>1444</v>
      </c>
      <c r="J571" s="8" t="s">
        <v>394</v>
      </c>
      <c r="K571" s="57">
        <v>30</v>
      </c>
      <c r="L571" s="58">
        <v>30</v>
      </c>
    </row>
    <row r="572" spans="1:12" s="9" customFormat="1" ht="15">
      <c r="A572" s="105">
        <v>544</v>
      </c>
      <c r="B572" s="106" t="s">
        <v>1896</v>
      </c>
      <c r="C572" s="106"/>
      <c r="D572" s="8" t="s">
        <v>4665</v>
      </c>
      <c r="E572" s="189" t="s">
        <v>1447</v>
      </c>
      <c r="F572" s="107"/>
      <c r="G572" s="107" t="s">
        <v>4666</v>
      </c>
      <c r="H572" s="107">
        <v>6570</v>
      </c>
      <c r="I572" s="8" t="s">
        <v>1444</v>
      </c>
      <c r="J572" s="8" t="s">
        <v>394</v>
      </c>
      <c r="K572" s="57">
        <v>30</v>
      </c>
      <c r="L572" s="58">
        <v>30</v>
      </c>
    </row>
    <row r="573" spans="1:12" s="9" customFormat="1" ht="15">
      <c r="A573" s="105">
        <v>544</v>
      </c>
      <c r="B573" s="106" t="s">
        <v>1896</v>
      </c>
      <c r="C573" s="106"/>
      <c r="D573" s="8" t="s">
        <v>4667</v>
      </c>
      <c r="E573" s="189" t="s">
        <v>1447</v>
      </c>
      <c r="F573" s="107"/>
      <c r="G573" s="107" t="s">
        <v>4668</v>
      </c>
      <c r="H573" s="107">
        <v>6570</v>
      </c>
      <c r="I573" s="8" t="s">
        <v>1444</v>
      </c>
      <c r="J573" s="8" t="s">
        <v>394</v>
      </c>
      <c r="K573" s="57">
        <v>30</v>
      </c>
      <c r="L573" s="58">
        <v>30</v>
      </c>
    </row>
    <row r="574" spans="1:12" s="13" customFormat="1" ht="15">
      <c r="A574" s="105">
        <v>545</v>
      </c>
      <c r="B574" s="106" t="s">
        <v>1896</v>
      </c>
      <c r="C574" s="106"/>
      <c r="D574" s="8" t="s">
        <v>1646</v>
      </c>
      <c r="E574" s="189" t="s">
        <v>1108</v>
      </c>
      <c r="F574" s="107"/>
      <c r="G574" s="107" t="s">
        <v>1107</v>
      </c>
      <c r="H574" s="107">
        <v>6570</v>
      </c>
      <c r="I574" s="8" t="s">
        <v>1444</v>
      </c>
      <c r="J574" s="8" t="s">
        <v>327</v>
      </c>
      <c r="K574" s="57">
        <v>30</v>
      </c>
      <c r="L574" s="58">
        <v>30</v>
      </c>
    </row>
    <row r="575" spans="1:12" s="13" customFormat="1" ht="15">
      <c r="A575" s="105">
        <v>546</v>
      </c>
      <c r="B575" s="106" t="s">
        <v>1896</v>
      </c>
      <c r="C575" s="106"/>
      <c r="D575" s="8" t="s">
        <v>1647</v>
      </c>
      <c r="E575" s="189" t="s">
        <v>1449</v>
      </c>
      <c r="F575" s="107"/>
      <c r="G575" s="107" t="s">
        <v>1448</v>
      </c>
      <c r="H575" s="107">
        <v>6570</v>
      </c>
      <c r="I575" s="8" t="s">
        <v>1444</v>
      </c>
      <c r="J575" s="8" t="s">
        <v>394</v>
      </c>
      <c r="K575" s="57">
        <v>30</v>
      </c>
      <c r="L575" s="58">
        <v>30</v>
      </c>
    </row>
    <row r="576" spans="1:12" s="13" customFormat="1" ht="15">
      <c r="A576" s="105">
        <v>547</v>
      </c>
      <c r="B576" s="106" t="s">
        <v>1896</v>
      </c>
      <c r="C576" s="106"/>
      <c r="D576" s="8" t="s">
        <v>1648</v>
      </c>
      <c r="E576" s="189" t="s">
        <v>1449</v>
      </c>
      <c r="F576" s="107"/>
      <c r="G576" s="107" t="s">
        <v>120</v>
      </c>
      <c r="H576" s="107">
        <v>6570</v>
      </c>
      <c r="I576" s="8" t="s">
        <v>1444</v>
      </c>
      <c r="J576" s="8" t="s">
        <v>394</v>
      </c>
      <c r="K576" s="57">
        <v>30</v>
      </c>
      <c r="L576" s="58">
        <v>30</v>
      </c>
    </row>
    <row r="577" spans="1:12" s="13" customFormat="1" ht="15">
      <c r="A577" s="105">
        <v>546</v>
      </c>
      <c r="B577" s="106" t="s">
        <v>4547</v>
      </c>
      <c r="C577" s="106"/>
      <c r="D577" s="8" t="s">
        <v>4573</v>
      </c>
      <c r="E577" s="189" t="s">
        <v>1449</v>
      </c>
      <c r="F577" s="107"/>
      <c r="G577" s="107" t="s">
        <v>4574</v>
      </c>
      <c r="H577" s="107">
        <v>6570</v>
      </c>
      <c r="I577" s="8" t="s">
        <v>1444</v>
      </c>
      <c r="J577" s="8" t="s">
        <v>394</v>
      </c>
      <c r="K577" s="57">
        <v>30</v>
      </c>
      <c r="L577" s="58">
        <v>30</v>
      </c>
    </row>
    <row r="578" spans="1:12" s="13" customFormat="1" ht="15">
      <c r="A578" s="105">
        <v>546</v>
      </c>
      <c r="B578" s="106" t="s">
        <v>4547</v>
      </c>
      <c r="C578" s="106"/>
      <c r="D578" s="8" t="s">
        <v>4580</v>
      </c>
      <c r="E578" s="189" t="s">
        <v>1449</v>
      </c>
      <c r="F578" s="107"/>
      <c r="G578" s="107" t="s">
        <v>4582</v>
      </c>
      <c r="H578" s="107">
        <v>6570</v>
      </c>
      <c r="I578" s="8" t="s">
        <v>1444</v>
      </c>
      <c r="J578" s="8" t="s">
        <v>394</v>
      </c>
      <c r="K578" s="57">
        <v>30</v>
      </c>
      <c r="L578" s="58">
        <v>30</v>
      </c>
    </row>
    <row r="579" spans="1:12" s="13" customFormat="1" ht="15">
      <c r="A579" s="105">
        <v>546</v>
      </c>
      <c r="B579" s="106" t="s">
        <v>4547</v>
      </c>
      <c r="C579" s="106"/>
      <c r="D579" s="8" t="s">
        <v>4581</v>
      </c>
      <c r="E579" s="189" t="s">
        <v>1449</v>
      </c>
      <c r="F579" s="107"/>
      <c r="G579" s="107" t="s">
        <v>4583</v>
      </c>
      <c r="H579" s="107">
        <v>6570</v>
      </c>
      <c r="I579" s="8" t="s">
        <v>1444</v>
      </c>
      <c r="J579" s="8" t="s">
        <v>394</v>
      </c>
      <c r="K579" s="57">
        <v>30</v>
      </c>
      <c r="L579" s="58">
        <v>30</v>
      </c>
    </row>
    <row r="580" spans="1:12" s="13" customFormat="1" ht="15">
      <c r="A580" s="105">
        <v>548</v>
      </c>
      <c r="B580" s="106" t="s">
        <v>1896</v>
      </c>
      <c r="C580" s="106"/>
      <c r="D580" s="8" t="s">
        <v>1649</v>
      </c>
      <c r="E580" s="189" t="s">
        <v>303</v>
      </c>
      <c r="F580" s="107"/>
      <c r="G580" s="107" t="s">
        <v>302</v>
      </c>
      <c r="H580" s="107">
        <v>5110</v>
      </c>
      <c r="I580" s="8" t="s">
        <v>267</v>
      </c>
      <c r="J580" s="108" t="s">
        <v>275</v>
      </c>
      <c r="K580" s="57">
        <v>30</v>
      </c>
      <c r="L580" s="58">
        <v>30</v>
      </c>
    </row>
    <row r="581" spans="1:12" s="13" customFormat="1" ht="15">
      <c r="A581" s="105">
        <v>549</v>
      </c>
      <c r="B581" s="106" t="s">
        <v>1896</v>
      </c>
      <c r="C581" s="106"/>
      <c r="D581" s="8" t="s">
        <v>1650</v>
      </c>
      <c r="E581" s="189" t="s">
        <v>303</v>
      </c>
      <c r="F581" s="107"/>
      <c r="G581" s="107" t="s">
        <v>2466</v>
      </c>
      <c r="H581" s="107">
        <v>5110</v>
      </c>
      <c r="I581" s="8" t="s">
        <v>267</v>
      </c>
      <c r="J581" s="8" t="s">
        <v>275</v>
      </c>
      <c r="K581" s="57">
        <v>30</v>
      </c>
      <c r="L581" s="58">
        <v>30</v>
      </c>
    </row>
    <row r="582" spans="1:12" s="13" customFormat="1" ht="15">
      <c r="A582" s="105">
        <v>550</v>
      </c>
      <c r="B582" s="106" t="s">
        <v>1896</v>
      </c>
      <c r="C582" s="106"/>
      <c r="D582" s="8" t="s">
        <v>1651</v>
      </c>
      <c r="E582" s="189" t="s">
        <v>2468</v>
      </c>
      <c r="F582" s="106"/>
      <c r="G582" s="106" t="s">
        <v>2467</v>
      </c>
      <c r="H582" s="107">
        <v>5110</v>
      </c>
      <c r="I582" s="8" t="s">
        <v>267</v>
      </c>
      <c r="J582" s="108" t="s">
        <v>275</v>
      </c>
      <c r="K582" s="57">
        <v>30</v>
      </c>
      <c r="L582" s="58">
        <v>30</v>
      </c>
    </row>
    <row r="583" spans="1:12" s="13" customFormat="1" ht="15">
      <c r="A583" s="105">
        <v>551</v>
      </c>
      <c r="B583" s="106" t="s">
        <v>1896</v>
      </c>
      <c r="C583" s="106"/>
      <c r="D583" s="8" t="s">
        <v>1652</v>
      </c>
      <c r="E583" s="189" t="s">
        <v>1710</v>
      </c>
      <c r="F583" s="107"/>
      <c r="G583" s="107" t="s">
        <v>1709</v>
      </c>
      <c r="H583" s="107">
        <v>6550</v>
      </c>
      <c r="I583" s="8" t="s">
        <v>267</v>
      </c>
      <c r="J583" s="8" t="s">
        <v>275</v>
      </c>
      <c r="K583" s="57">
        <v>30</v>
      </c>
      <c r="L583" s="58">
        <v>30</v>
      </c>
    </row>
    <row r="584" spans="1:12" s="13" customFormat="1" ht="15">
      <c r="A584" s="105">
        <v>552</v>
      </c>
      <c r="B584" s="106" t="s">
        <v>1896</v>
      </c>
      <c r="C584" s="106"/>
      <c r="D584" s="8" t="s">
        <v>1653</v>
      </c>
      <c r="E584" s="189" t="s">
        <v>1710</v>
      </c>
      <c r="F584" s="107"/>
      <c r="G584" s="107" t="s">
        <v>1711</v>
      </c>
      <c r="H584" s="107">
        <v>6550</v>
      </c>
      <c r="I584" s="8" t="s">
        <v>267</v>
      </c>
      <c r="J584" s="8" t="s">
        <v>275</v>
      </c>
      <c r="K584" s="57">
        <v>30</v>
      </c>
      <c r="L584" s="58">
        <v>30</v>
      </c>
    </row>
    <row r="585" spans="1:12" s="13" customFormat="1" ht="15">
      <c r="A585" s="105">
        <v>553</v>
      </c>
      <c r="B585" s="106" t="s">
        <v>1896</v>
      </c>
      <c r="C585" s="106"/>
      <c r="D585" s="8" t="s">
        <v>1654</v>
      </c>
      <c r="E585" s="189" t="s">
        <v>305</v>
      </c>
      <c r="F585" s="107"/>
      <c r="G585" s="107" t="s">
        <v>304</v>
      </c>
      <c r="H585" s="107">
        <v>5110</v>
      </c>
      <c r="I585" s="8" t="s">
        <v>267</v>
      </c>
      <c r="J585" s="108" t="s">
        <v>275</v>
      </c>
      <c r="K585" s="57">
        <v>30</v>
      </c>
      <c r="L585" s="58">
        <v>30</v>
      </c>
    </row>
    <row r="586" spans="1:12" s="13" customFormat="1" ht="15">
      <c r="A586" s="105">
        <v>554</v>
      </c>
      <c r="B586" s="106" t="s">
        <v>1896</v>
      </c>
      <c r="C586" s="106"/>
      <c r="D586" s="8" t="s">
        <v>1655</v>
      </c>
      <c r="E586" s="189" t="s">
        <v>307</v>
      </c>
      <c r="F586" s="107"/>
      <c r="G586" s="107" t="s">
        <v>306</v>
      </c>
      <c r="H586" s="107">
        <v>5110</v>
      </c>
      <c r="I586" s="8" t="s">
        <v>267</v>
      </c>
      <c r="J586" s="108" t="s">
        <v>275</v>
      </c>
      <c r="K586" s="57">
        <v>30</v>
      </c>
      <c r="L586" s="58">
        <v>30</v>
      </c>
    </row>
    <row r="587" spans="1:12" s="13" customFormat="1" ht="15">
      <c r="A587" s="105">
        <v>555</v>
      </c>
      <c r="B587" s="106" t="s">
        <v>1896</v>
      </c>
      <c r="C587" s="106"/>
      <c r="D587" s="8" t="s">
        <v>1656</v>
      </c>
      <c r="E587" s="189" t="s">
        <v>309</v>
      </c>
      <c r="F587" s="107"/>
      <c r="G587" s="107" t="s">
        <v>308</v>
      </c>
      <c r="H587" s="107">
        <v>5110</v>
      </c>
      <c r="I587" s="8" t="s">
        <v>267</v>
      </c>
      <c r="J587" s="108" t="s">
        <v>275</v>
      </c>
      <c r="K587" s="57">
        <v>30</v>
      </c>
      <c r="L587" s="58">
        <v>30</v>
      </c>
    </row>
    <row r="588" spans="1:12" s="13" customFormat="1" ht="15">
      <c r="A588" s="105">
        <v>556</v>
      </c>
      <c r="B588" s="106" t="s">
        <v>1896</v>
      </c>
      <c r="C588" s="106"/>
      <c r="D588" s="8">
        <v>9008034017</v>
      </c>
      <c r="E588" s="189" t="s">
        <v>1797</v>
      </c>
      <c r="F588" s="107"/>
      <c r="G588" s="107" t="s">
        <v>1796</v>
      </c>
      <c r="H588" s="107">
        <v>4200</v>
      </c>
      <c r="I588" s="8" t="s">
        <v>310</v>
      </c>
      <c r="J588" s="8" t="s">
        <v>394</v>
      </c>
      <c r="K588" s="57">
        <v>30</v>
      </c>
      <c r="L588" s="58">
        <v>30</v>
      </c>
    </row>
    <row r="589" spans="1:12" s="13" customFormat="1" ht="15">
      <c r="A589" s="105">
        <v>557</v>
      </c>
      <c r="B589" s="106" t="s">
        <v>1896</v>
      </c>
      <c r="C589" s="106"/>
      <c r="D589" s="8">
        <v>9008034019</v>
      </c>
      <c r="E589" s="189" t="s">
        <v>1797</v>
      </c>
      <c r="F589" s="107"/>
      <c r="G589" s="107" t="s">
        <v>1798</v>
      </c>
      <c r="H589" s="107">
        <v>4200</v>
      </c>
      <c r="I589" s="8" t="s">
        <v>310</v>
      </c>
      <c r="J589" s="8" t="s">
        <v>1847</v>
      </c>
      <c r="K589" s="59">
        <v>60</v>
      </c>
      <c r="L589" s="54">
        <v>60</v>
      </c>
    </row>
    <row r="590" spans="1:12" s="13" customFormat="1" ht="15">
      <c r="A590" s="105">
        <v>558</v>
      </c>
      <c r="B590" s="106" t="s">
        <v>1897</v>
      </c>
      <c r="C590" s="106"/>
      <c r="D590" s="8">
        <v>9010111353</v>
      </c>
      <c r="E590" s="189" t="s">
        <v>1842</v>
      </c>
      <c r="F590" s="106"/>
      <c r="G590" s="106" t="s">
        <v>1277</v>
      </c>
      <c r="H590" s="107">
        <v>4100</v>
      </c>
      <c r="I590" s="8" t="s">
        <v>260</v>
      </c>
      <c r="J590" s="8" t="s">
        <v>1690</v>
      </c>
      <c r="K590" s="57">
        <v>30</v>
      </c>
      <c r="L590" s="58">
        <v>30</v>
      </c>
    </row>
    <row r="591" spans="1:12" s="13" customFormat="1" ht="15">
      <c r="A591" s="105">
        <v>559</v>
      </c>
      <c r="B591" s="106" t="s">
        <v>1896</v>
      </c>
      <c r="C591" s="106"/>
      <c r="D591" s="8" t="s">
        <v>1657</v>
      </c>
      <c r="E591" s="189" t="s">
        <v>1846</v>
      </c>
      <c r="F591" s="106"/>
      <c r="G591" s="106" t="s">
        <v>2469</v>
      </c>
      <c r="H591" s="107">
        <v>4100</v>
      </c>
      <c r="I591" s="8" t="s">
        <v>317</v>
      </c>
      <c r="J591" s="108" t="s">
        <v>2497</v>
      </c>
      <c r="K591" s="57">
        <v>30</v>
      </c>
      <c r="L591" s="58">
        <v>30</v>
      </c>
    </row>
    <row r="592" spans="1:12" s="13" customFormat="1" ht="15">
      <c r="A592" s="105">
        <v>560</v>
      </c>
      <c r="B592" s="106" t="s">
        <v>1896</v>
      </c>
      <c r="C592" s="106"/>
      <c r="D592" s="8" t="s">
        <v>1658</v>
      </c>
      <c r="E592" s="189" t="s">
        <v>1846</v>
      </c>
      <c r="F592" s="106"/>
      <c r="G592" s="106" t="s">
        <v>1978</v>
      </c>
      <c r="H592" s="107">
        <v>4100</v>
      </c>
      <c r="I592" s="8" t="s">
        <v>260</v>
      </c>
      <c r="J592" s="108" t="s">
        <v>357</v>
      </c>
      <c r="K592" s="57">
        <v>30</v>
      </c>
      <c r="L592" s="58">
        <v>30</v>
      </c>
    </row>
    <row r="593" spans="1:12" s="13" customFormat="1" ht="15">
      <c r="A593" s="105">
        <v>561</v>
      </c>
      <c r="B593" s="106" t="s">
        <v>1896</v>
      </c>
      <c r="C593" s="106"/>
      <c r="D593" s="8" t="s">
        <v>1659</v>
      </c>
      <c r="E593" s="189" t="s">
        <v>1846</v>
      </c>
      <c r="F593" s="106"/>
      <c r="G593" s="106" t="s">
        <v>2470</v>
      </c>
      <c r="H593" s="107">
        <v>5110</v>
      </c>
      <c r="I593" s="8" t="s">
        <v>267</v>
      </c>
      <c r="J593" s="108" t="s">
        <v>270</v>
      </c>
      <c r="K593" s="57">
        <v>30</v>
      </c>
      <c r="L593" s="58">
        <v>30</v>
      </c>
    </row>
    <row r="594" spans="1:12" s="13" customFormat="1" ht="15">
      <c r="A594" s="105">
        <v>562</v>
      </c>
      <c r="B594" s="106" t="s">
        <v>1896</v>
      </c>
      <c r="C594" s="106"/>
      <c r="D594" s="8" t="s">
        <v>1660</v>
      </c>
      <c r="E594" s="189" t="s">
        <v>1846</v>
      </c>
      <c r="F594" s="106"/>
      <c r="G594" s="106" t="s">
        <v>2471</v>
      </c>
      <c r="H594" s="107">
        <v>4100</v>
      </c>
      <c r="I594" s="8" t="s">
        <v>317</v>
      </c>
      <c r="J594" s="108" t="s">
        <v>249</v>
      </c>
      <c r="K594" s="57">
        <v>30</v>
      </c>
      <c r="L594" s="58">
        <v>30</v>
      </c>
    </row>
    <row r="595" spans="1:12" s="13" customFormat="1" ht="15">
      <c r="A595" s="105">
        <v>563</v>
      </c>
      <c r="B595" s="106" t="s">
        <v>1896</v>
      </c>
      <c r="C595" s="106"/>
      <c r="D595" s="8" t="s">
        <v>1661</v>
      </c>
      <c r="E595" s="189" t="s">
        <v>4372</v>
      </c>
      <c r="F595" s="106"/>
      <c r="G595" s="106" t="s">
        <v>2472</v>
      </c>
      <c r="H595" s="107">
        <v>4100</v>
      </c>
      <c r="I595" s="8" t="s">
        <v>317</v>
      </c>
      <c r="J595" s="108" t="s">
        <v>1844</v>
      </c>
      <c r="K595" s="57">
        <v>30</v>
      </c>
      <c r="L595" s="58">
        <v>30</v>
      </c>
    </row>
    <row r="596" spans="1:12" s="13" customFormat="1" ht="15">
      <c r="A596" s="105">
        <v>564</v>
      </c>
      <c r="B596" s="106" t="s">
        <v>1896</v>
      </c>
      <c r="C596" s="106"/>
      <c r="D596" s="8" t="s">
        <v>1662</v>
      </c>
      <c r="E596" s="189" t="s">
        <v>4372</v>
      </c>
      <c r="F596" s="106"/>
      <c r="G596" s="107" t="s">
        <v>1764</v>
      </c>
      <c r="H596" s="107">
        <v>4100</v>
      </c>
      <c r="I596" s="8" t="s">
        <v>317</v>
      </c>
      <c r="J596" s="108" t="s">
        <v>1844</v>
      </c>
      <c r="K596" s="57">
        <v>30</v>
      </c>
      <c r="L596" s="58">
        <v>30</v>
      </c>
    </row>
    <row r="597" spans="1:12" s="13" customFormat="1" ht="15">
      <c r="A597" s="105">
        <v>565</v>
      </c>
      <c r="B597" s="106" t="s">
        <v>1897</v>
      </c>
      <c r="C597" s="106"/>
      <c r="D597" s="8" t="s">
        <v>1664</v>
      </c>
      <c r="E597" s="189" t="s">
        <v>1915</v>
      </c>
      <c r="F597" s="106"/>
      <c r="G597" s="106" t="s">
        <v>1914</v>
      </c>
      <c r="H597" s="107">
        <v>4200</v>
      </c>
      <c r="I597" s="8" t="s">
        <v>310</v>
      </c>
      <c r="J597" s="108" t="s">
        <v>1869</v>
      </c>
      <c r="K597" s="57">
        <v>30</v>
      </c>
      <c r="L597" s="58">
        <v>30</v>
      </c>
    </row>
    <row r="598" spans="1:12" s="13" customFormat="1" ht="15">
      <c r="A598" s="105">
        <v>566</v>
      </c>
      <c r="B598" s="106" t="s">
        <v>1896</v>
      </c>
      <c r="C598" s="106"/>
      <c r="D598" s="8">
        <v>9011608413</v>
      </c>
      <c r="E598" s="189" t="s">
        <v>4373</v>
      </c>
      <c r="F598" s="106"/>
      <c r="G598" s="107" t="s">
        <v>1811</v>
      </c>
      <c r="H598" s="107">
        <v>4200</v>
      </c>
      <c r="I598" s="8" t="s">
        <v>310</v>
      </c>
      <c r="J598" s="8" t="s">
        <v>249</v>
      </c>
      <c r="K598" s="57">
        <v>30</v>
      </c>
      <c r="L598" s="58">
        <v>30</v>
      </c>
    </row>
    <row r="599" spans="1:12" s="13" customFormat="1" ht="15">
      <c r="A599" s="105">
        <v>567</v>
      </c>
      <c r="B599" s="106" t="s">
        <v>1896</v>
      </c>
      <c r="C599" s="106"/>
      <c r="D599" s="8">
        <v>9011608414</v>
      </c>
      <c r="E599" s="189" t="s">
        <v>4373</v>
      </c>
      <c r="F599" s="106"/>
      <c r="G599" s="107" t="s">
        <v>1812</v>
      </c>
      <c r="H599" s="107">
        <v>4200</v>
      </c>
      <c r="I599" s="8" t="s">
        <v>310</v>
      </c>
      <c r="J599" s="8" t="s">
        <v>249</v>
      </c>
      <c r="K599" s="57">
        <v>30</v>
      </c>
      <c r="L599" s="58">
        <v>30</v>
      </c>
    </row>
    <row r="600" spans="1:12" s="13" customFormat="1" ht="15">
      <c r="A600" s="105">
        <v>568</v>
      </c>
      <c r="B600" s="106" t="s">
        <v>1896</v>
      </c>
      <c r="C600" s="106"/>
      <c r="D600" s="8">
        <v>9011608415</v>
      </c>
      <c r="E600" s="189" t="s">
        <v>4373</v>
      </c>
      <c r="F600" s="106"/>
      <c r="G600" s="107" t="s">
        <v>1813</v>
      </c>
      <c r="H600" s="107">
        <v>4200</v>
      </c>
      <c r="I600" s="8" t="s">
        <v>310</v>
      </c>
      <c r="J600" s="8" t="s">
        <v>249</v>
      </c>
      <c r="K600" s="57">
        <v>30</v>
      </c>
      <c r="L600" s="58">
        <v>30</v>
      </c>
    </row>
    <row r="601" spans="1:12" s="13" customFormat="1" ht="15">
      <c r="A601" s="105">
        <v>569</v>
      </c>
      <c r="B601" s="106" t="s">
        <v>1896</v>
      </c>
      <c r="C601" s="106"/>
      <c r="D601" s="8" t="s">
        <v>1665</v>
      </c>
      <c r="E601" s="189" t="s">
        <v>2474</v>
      </c>
      <c r="F601" s="106"/>
      <c r="G601" s="106" t="s">
        <v>2473</v>
      </c>
      <c r="H601" s="107">
        <v>5110</v>
      </c>
      <c r="I601" s="8" t="s">
        <v>267</v>
      </c>
      <c r="J601" s="108" t="s">
        <v>249</v>
      </c>
      <c r="K601" s="57">
        <v>30</v>
      </c>
      <c r="L601" s="58">
        <v>30</v>
      </c>
    </row>
    <row r="602" spans="1:12" s="13" customFormat="1" ht="15">
      <c r="A602" s="105">
        <v>570</v>
      </c>
      <c r="B602" s="106" t="s">
        <v>1896</v>
      </c>
      <c r="C602" s="106"/>
      <c r="D602" s="8">
        <v>9014980020</v>
      </c>
      <c r="E602" s="189" t="s">
        <v>712</v>
      </c>
      <c r="F602" s="106"/>
      <c r="G602" s="106" t="s">
        <v>711</v>
      </c>
      <c r="H602" s="107">
        <v>6570</v>
      </c>
      <c r="I602" s="8" t="s">
        <v>1444</v>
      </c>
      <c r="J602" s="108" t="s">
        <v>249</v>
      </c>
      <c r="K602" s="57">
        <v>30</v>
      </c>
      <c r="L602" s="58">
        <v>30</v>
      </c>
    </row>
    <row r="603" spans="1:12" s="13" customFormat="1" ht="15">
      <c r="A603" s="105">
        <v>571</v>
      </c>
      <c r="B603" s="106" t="s">
        <v>1896</v>
      </c>
      <c r="C603" s="106"/>
      <c r="D603" s="8">
        <v>9017008042</v>
      </c>
      <c r="E603" s="189" t="s">
        <v>312</v>
      </c>
      <c r="F603" s="106"/>
      <c r="G603" s="107" t="s">
        <v>311</v>
      </c>
      <c r="H603" s="107">
        <v>4200</v>
      </c>
      <c r="I603" s="8" t="s">
        <v>310</v>
      </c>
      <c r="J603" s="8" t="s">
        <v>1690</v>
      </c>
      <c r="K603" s="57">
        <v>30</v>
      </c>
      <c r="L603" s="58">
        <v>30</v>
      </c>
    </row>
    <row r="604" spans="1:12" s="13" customFormat="1" ht="15">
      <c r="A604" s="105">
        <v>571</v>
      </c>
      <c r="B604" s="106" t="s">
        <v>1896</v>
      </c>
      <c r="C604" s="106"/>
      <c r="D604" s="8" t="s">
        <v>4724</v>
      </c>
      <c r="E604" s="189" t="s">
        <v>312</v>
      </c>
      <c r="F604" s="106"/>
      <c r="G604" s="107" t="s">
        <v>4725</v>
      </c>
      <c r="H604" s="107">
        <v>4200</v>
      </c>
      <c r="I604" s="8" t="s">
        <v>310</v>
      </c>
      <c r="J604" s="8" t="s">
        <v>1847</v>
      </c>
      <c r="K604" s="57">
        <v>60</v>
      </c>
      <c r="L604" s="58">
        <v>60</v>
      </c>
    </row>
    <row r="605" spans="1:12" s="13" customFormat="1" ht="15">
      <c r="A605" s="105">
        <v>571</v>
      </c>
      <c r="B605" s="106" t="s">
        <v>1896</v>
      </c>
      <c r="C605" s="106"/>
      <c r="D605" s="8" t="s">
        <v>4722</v>
      </c>
      <c r="E605" s="189" t="s">
        <v>312</v>
      </c>
      <c r="F605" s="106"/>
      <c r="G605" s="107" t="s">
        <v>4723</v>
      </c>
      <c r="H605" s="107">
        <v>4200</v>
      </c>
      <c r="I605" s="8" t="s">
        <v>310</v>
      </c>
      <c r="J605" s="8" t="s">
        <v>1847</v>
      </c>
      <c r="K605" s="57">
        <v>30</v>
      </c>
      <c r="L605" s="58">
        <v>30</v>
      </c>
    </row>
    <row r="606" spans="1:12" s="13" customFormat="1" ht="15">
      <c r="A606" s="105">
        <v>572</v>
      </c>
      <c r="B606" s="106" t="s">
        <v>1896</v>
      </c>
      <c r="C606" s="106"/>
      <c r="D606" s="8" t="s">
        <v>1666</v>
      </c>
      <c r="E606" s="189" t="s">
        <v>2476</v>
      </c>
      <c r="F606" s="106"/>
      <c r="G606" s="106" t="s">
        <v>2475</v>
      </c>
      <c r="H606" s="107">
        <v>4100</v>
      </c>
      <c r="I606" s="8" t="s">
        <v>260</v>
      </c>
      <c r="J606" s="108" t="s">
        <v>249</v>
      </c>
      <c r="K606" s="57">
        <v>30</v>
      </c>
      <c r="L606" s="58">
        <v>30</v>
      </c>
    </row>
    <row r="607" spans="1:12" s="13" customFormat="1" ht="15">
      <c r="A607" s="105">
        <v>573</v>
      </c>
      <c r="B607" s="106" t="s">
        <v>1896</v>
      </c>
      <c r="C607" s="106"/>
      <c r="D607" s="8" t="s">
        <v>1667</v>
      </c>
      <c r="E607" s="189" t="s">
        <v>2476</v>
      </c>
      <c r="F607" s="106"/>
      <c r="G607" s="107" t="s">
        <v>248</v>
      </c>
      <c r="H607" s="107">
        <v>4100</v>
      </c>
      <c r="I607" s="8" t="s">
        <v>226</v>
      </c>
      <c r="J607" s="108" t="s">
        <v>249</v>
      </c>
      <c r="K607" s="57">
        <v>30</v>
      </c>
      <c r="L607" s="58">
        <v>30</v>
      </c>
    </row>
    <row r="608" spans="1:12" s="13" customFormat="1" ht="15">
      <c r="A608" s="105">
        <v>574</v>
      </c>
      <c r="B608" s="106" t="s">
        <v>1896</v>
      </c>
      <c r="C608" s="106"/>
      <c r="D608" s="8" t="s">
        <v>1668</v>
      </c>
      <c r="E608" s="189" t="s">
        <v>2478</v>
      </c>
      <c r="F608" s="106"/>
      <c r="G608" s="106" t="s">
        <v>2477</v>
      </c>
      <c r="H608" s="107">
        <v>4200</v>
      </c>
      <c r="I608" s="8" t="s">
        <v>310</v>
      </c>
      <c r="J608" s="108" t="s">
        <v>249</v>
      </c>
      <c r="K608" s="57">
        <v>30</v>
      </c>
      <c r="L608" s="58">
        <v>30</v>
      </c>
    </row>
    <row r="609" spans="1:12" s="15" customFormat="1" ht="15">
      <c r="A609" s="105">
        <v>575</v>
      </c>
      <c r="B609" s="106" t="s">
        <v>1896</v>
      </c>
      <c r="C609" s="106"/>
      <c r="D609" s="8" t="s">
        <v>1669</v>
      </c>
      <c r="E609" s="189" t="s">
        <v>128</v>
      </c>
      <c r="F609" s="106"/>
      <c r="G609" s="107" t="s">
        <v>127</v>
      </c>
      <c r="H609" s="107">
        <v>4100</v>
      </c>
      <c r="I609" s="8" t="s">
        <v>310</v>
      </c>
      <c r="J609" s="108" t="s">
        <v>249</v>
      </c>
      <c r="K609" s="57">
        <v>30</v>
      </c>
      <c r="L609" s="58">
        <v>30</v>
      </c>
    </row>
    <row r="610" spans="1:12" s="15" customFormat="1" ht="15">
      <c r="A610" s="105">
        <v>576</v>
      </c>
      <c r="B610" s="106" t="s">
        <v>1896</v>
      </c>
      <c r="C610" s="106"/>
      <c r="D610" s="8">
        <v>9020108002</v>
      </c>
      <c r="E610" s="189" t="s">
        <v>4375</v>
      </c>
      <c r="F610" s="106"/>
      <c r="G610" s="106" t="s">
        <v>2479</v>
      </c>
      <c r="H610" s="107">
        <v>4200</v>
      </c>
      <c r="I610" s="8" t="s">
        <v>310</v>
      </c>
      <c r="J610" s="8" t="s">
        <v>1690</v>
      </c>
      <c r="K610" s="57">
        <v>30</v>
      </c>
      <c r="L610" s="58">
        <v>30</v>
      </c>
    </row>
    <row r="611" spans="1:12" s="13" customFormat="1" ht="15">
      <c r="A611" s="105">
        <v>577</v>
      </c>
      <c r="B611" s="106" t="s">
        <v>1897</v>
      </c>
      <c r="C611" s="106"/>
      <c r="D611" s="8" t="s">
        <v>1670</v>
      </c>
      <c r="E611" s="189" t="s">
        <v>1917</v>
      </c>
      <c r="F611" s="106"/>
      <c r="G611" s="106" t="s">
        <v>1916</v>
      </c>
      <c r="H611" s="107">
        <v>4200</v>
      </c>
      <c r="I611" s="8" t="s">
        <v>310</v>
      </c>
      <c r="J611" s="108" t="s">
        <v>1912</v>
      </c>
      <c r="K611" s="57">
        <v>60</v>
      </c>
      <c r="L611" s="58">
        <v>60</v>
      </c>
    </row>
    <row r="612" spans="1:12" s="13" customFormat="1" ht="15">
      <c r="A612" s="105">
        <v>578</v>
      </c>
      <c r="B612" s="106" t="s">
        <v>1896</v>
      </c>
      <c r="C612" s="106"/>
      <c r="D612" s="8" t="s">
        <v>1671</v>
      </c>
      <c r="E612" s="189" t="s">
        <v>2480</v>
      </c>
      <c r="F612" s="106"/>
      <c r="G612" s="106" t="s">
        <v>2481</v>
      </c>
      <c r="H612" s="107">
        <v>4100</v>
      </c>
      <c r="I612" s="8" t="s">
        <v>317</v>
      </c>
      <c r="J612" s="108" t="s">
        <v>357</v>
      </c>
      <c r="K612" s="57">
        <v>30</v>
      </c>
      <c r="L612" s="58">
        <v>30</v>
      </c>
    </row>
    <row r="613" spans="1:12" s="13" customFormat="1" ht="15">
      <c r="A613" s="105">
        <v>579</v>
      </c>
      <c r="B613" s="106" t="s">
        <v>1896</v>
      </c>
      <c r="C613" s="106"/>
      <c r="D613" s="8" t="s">
        <v>1672</v>
      </c>
      <c r="E613" s="189" t="s">
        <v>2480</v>
      </c>
      <c r="F613" s="106"/>
      <c r="G613" s="106" t="s">
        <v>2482</v>
      </c>
      <c r="H613" s="107">
        <v>4100</v>
      </c>
      <c r="I613" s="8" t="s">
        <v>389</v>
      </c>
      <c r="J613" s="108" t="s">
        <v>357</v>
      </c>
      <c r="K613" s="57">
        <v>30</v>
      </c>
      <c r="L613" s="58">
        <v>30</v>
      </c>
    </row>
    <row r="614" spans="1:12" s="13" customFormat="1" ht="15">
      <c r="A614" s="105">
        <v>580</v>
      </c>
      <c r="B614" s="106" t="s">
        <v>1896</v>
      </c>
      <c r="C614" s="106"/>
      <c r="D614" s="8" t="s">
        <v>2606</v>
      </c>
      <c r="E614" s="189" t="s">
        <v>2484</v>
      </c>
      <c r="F614" s="106"/>
      <c r="G614" s="106" t="s">
        <v>2483</v>
      </c>
      <c r="H614" s="107">
        <v>4200</v>
      </c>
      <c r="I614" s="8" t="s">
        <v>310</v>
      </c>
      <c r="J614" s="108" t="s">
        <v>2633</v>
      </c>
      <c r="K614" s="57">
        <v>0</v>
      </c>
      <c r="L614" s="58">
        <v>0</v>
      </c>
    </row>
    <row r="615" spans="1:12" s="13" customFormat="1" ht="15">
      <c r="A615" s="105">
        <v>581</v>
      </c>
      <c r="B615" s="106" t="s">
        <v>1897</v>
      </c>
      <c r="C615" s="106"/>
      <c r="D615" s="8" t="s">
        <v>2607</v>
      </c>
      <c r="E615" s="189" t="s">
        <v>2484</v>
      </c>
      <c r="F615" s="106"/>
      <c r="G615" s="106" t="s">
        <v>1925</v>
      </c>
      <c r="H615" s="107">
        <v>4200</v>
      </c>
      <c r="I615" s="8" t="s">
        <v>310</v>
      </c>
      <c r="J615" s="108" t="s">
        <v>2633</v>
      </c>
      <c r="K615" s="57">
        <v>0</v>
      </c>
      <c r="L615" s="58">
        <v>0</v>
      </c>
    </row>
    <row r="616" spans="1:12" s="13" customFormat="1" ht="15">
      <c r="A616" s="105">
        <v>582</v>
      </c>
      <c r="B616" s="106" t="s">
        <v>1896</v>
      </c>
      <c r="C616" s="106"/>
      <c r="D616" s="8" t="s">
        <v>2608</v>
      </c>
      <c r="E616" s="189" t="s">
        <v>4535</v>
      </c>
      <c r="F616" s="106"/>
      <c r="G616" s="106" t="s">
        <v>1309</v>
      </c>
      <c r="H616" s="107">
        <v>4200</v>
      </c>
      <c r="I616" s="8" t="s">
        <v>310</v>
      </c>
      <c r="J616" s="108" t="s">
        <v>2633</v>
      </c>
      <c r="K616" s="57">
        <v>100</v>
      </c>
      <c r="L616" s="58">
        <v>100</v>
      </c>
    </row>
    <row r="617" spans="1:12" s="13" customFormat="1" ht="15">
      <c r="A617" s="105">
        <v>583</v>
      </c>
      <c r="B617" s="106" t="s">
        <v>1897</v>
      </c>
      <c r="C617" s="106"/>
      <c r="D617" s="8" t="str">
        <f>"90310T0008"</f>
        <v>90310T0008</v>
      </c>
      <c r="E617" s="189" t="s">
        <v>4535</v>
      </c>
      <c r="F617" s="106"/>
      <c r="G617" s="106" t="s">
        <v>1926</v>
      </c>
      <c r="H617" s="107">
        <v>4200</v>
      </c>
      <c r="I617" s="8" t="s">
        <v>310</v>
      </c>
      <c r="J617" s="108" t="s">
        <v>2633</v>
      </c>
      <c r="K617" s="57">
        <v>100</v>
      </c>
      <c r="L617" s="58">
        <v>100</v>
      </c>
    </row>
    <row r="618" spans="1:12" s="13" customFormat="1" ht="15">
      <c r="A618" s="105">
        <v>584</v>
      </c>
      <c r="B618" s="106" t="s">
        <v>1896</v>
      </c>
      <c r="C618" s="106"/>
      <c r="D618" s="8" t="s">
        <v>2590</v>
      </c>
      <c r="E618" s="189" t="s">
        <v>1019</v>
      </c>
      <c r="F618" s="106"/>
      <c r="G618" s="106" t="s">
        <v>1310</v>
      </c>
      <c r="H618" s="107">
        <v>4100</v>
      </c>
      <c r="I618" s="8" t="s">
        <v>4366</v>
      </c>
      <c r="J618" s="108" t="s">
        <v>2633</v>
      </c>
      <c r="K618" s="57">
        <v>0</v>
      </c>
      <c r="L618" s="58">
        <v>0</v>
      </c>
    </row>
    <row r="619" spans="1:12" s="13" customFormat="1" ht="15">
      <c r="A619" s="105">
        <v>585</v>
      </c>
      <c r="B619" s="106" t="s">
        <v>1896</v>
      </c>
      <c r="C619" s="106"/>
      <c r="D619" s="8" t="s">
        <v>2609</v>
      </c>
      <c r="E619" s="189" t="s">
        <v>4541</v>
      </c>
      <c r="F619" s="106"/>
      <c r="G619" s="106" t="s">
        <v>1310</v>
      </c>
      <c r="H619" s="107">
        <v>4100</v>
      </c>
      <c r="I619" s="8" t="s">
        <v>260</v>
      </c>
      <c r="J619" s="108" t="s">
        <v>2633</v>
      </c>
      <c r="K619" s="57">
        <v>0</v>
      </c>
      <c r="L619" s="58">
        <v>0</v>
      </c>
    </row>
    <row r="620" spans="1:12" s="13" customFormat="1" ht="15">
      <c r="A620" s="105">
        <v>586</v>
      </c>
      <c r="B620" s="106" t="s">
        <v>1896</v>
      </c>
      <c r="C620" s="106"/>
      <c r="D620" s="8" t="s">
        <v>2610</v>
      </c>
      <c r="E620" s="189" t="s">
        <v>1019</v>
      </c>
      <c r="F620" s="106"/>
      <c r="G620" s="107" t="s">
        <v>250</v>
      </c>
      <c r="H620" s="107">
        <v>4100</v>
      </c>
      <c r="I620" s="8" t="s">
        <v>226</v>
      </c>
      <c r="J620" s="108" t="s">
        <v>2633</v>
      </c>
      <c r="K620" s="57">
        <v>0</v>
      </c>
      <c r="L620" s="58">
        <v>0</v>
      </c>
    </row>
    <row r="621" spans="1:12" s="13" customFormat="1" ht="15">
      <c r="A621" s="105">
        <v>587</v>
      </c>
      <c r="B621" s="106" t="s">
        <v>1896</v>
      </c>
      <c r="C621" s="106"/>
      <c r="D621" s="8" t="s">
        <v>2611</v>
      </c>
      <c r="E621" s="189" t="s">
        <v>4368</v>
      </c>
      <c r="F621" s="106"/>
      <c r="G621" s="106" t="s">
        <v>1311</v>
      </c>
      <c r="H621" s="107">
        <v>4100</v>
      </c>
      <c r="I621" s="8" t="s">
        <v>317</v>
      </c>
      <c r="J621" s="108" t="s">
        <v>2633</v>
      </c>
      <c r="K621" s="57">
        <v>0</v>
      </c>
      <c r="L621" s="58">
        <v>0</v>
      </c>
    </row>
    <row r="622" spans="1:12" s="13" customFormat="1" ht="15">
      <c r="A622" s="105">
        <v>588</v>
      </c>
      <c r="B622" s="106" t="s">
        <v>1896</v>
      </c>
      <c r="C622" s="106"/>
      <c r="D622" s="8" t="s">
        <v>2579</v>
      </c>
      <c r="E622" s="189" t="s">
        <v>4542</v>
      </c>
      <c r="F622" s="106"/>
      <c r="G622" s="106" t="s">
        <v>1311</v>
      </c>
      <c r="H622" s="107">
        <v>4100</v>
      </c>
      <c r="I622" s="8" t="s">
        <v>317</v>
      </c>
      <c r="J622" s="108" t="s">
        <v>2633</v>
      </c>
      <c r="K622" s="57">
        <v>0</v>
      </c>
      <c r="L622" s="58">
        <v>0</v>
      </c>
    </row>
    <row r="623" spans="1:12" s="13" customFormat="1" ht="15">
      <c r="A623" s="105">
        <v>589</v>
      </c>
      <c r="B623" s="106" t="s">
        <v>1896</v>
      </c>
      <c r="C623" s="106"/>
      <c r="D623" s="8" t="s">
        <v>2612</v>
      </c>
      <c r="E623" s="189" t="s">
        <v>4369</v>
      </c>
      <c r="F623" s="106"/>
      <c r="G623" s="106" t="s">
        <v>1312</v>
      </c>
      <c r="H623" s="107">
        <v>4100</v>
      </c>
      <c r="I623" s="8" t="s">
        <v>317</v>
      </c>
      <c r="J623" s="108" t="s">
        <v>2633</v>
      </c>
      <c r="K623" s="57">
        <v>0</v>
      </c>
      <c r="L623" s="58">
        <v>0</v>
      </c>
    </row>
    <row r="624" spans="1:12" s="13" customFormat="1" ht="15">
      <c r="A624" s="105">
        <v>590</v>
      </c>
      <c r="B624" s="106" t="s">
        <v>1896</v>
      </c>
      <c r="C624" s="106"/>
      <c r="D624" s="8" t="s">
        <v>2578</v>
      </c>
      <c r="E624" s="189" t="s">
        <v>4540</v>
      </c>
      <c r="F624" s="106"/>
      <c r="G624" s="106" t="s">
        <v>1312</v>
      </c>
      <c r="H624" s="107">
        <v>4100</v>
      </c>
      <c r="I624" s="8" t="s">
        <v>317</v>
      </c>
      <c r="J624" s="108" t="s">
        <v>2633</v>
      </c>
      <c r="K624" s="57">
        <v>0</v>
      </c>
      <c r="L624" s="58">
        <v>0</v>
      </c>
    </row>
    <row r="625" spans="1:12" s="13" customFormat="1" ht="15">
      <c r="A625" s="105">
        <v>591</v>
      </c>
      <c r="B625" s="106" t="s">
        <v>1897</v>
      </c>
      <c r="C625" s="106"/>
      <c r="D625" s="8" t="s">
        <v>2613</v>
      </c>
      <c r="E625" s="189" t="s">
        <v>4536</v>
      </c>
      <c r="F625" s="106"/>
      <c r="G625" s="106" t="s">
        <v>1927</v>
      </c>
      <c r="H625" s="107">
        <v>4200</v>
      </c>
      <c r="I625" s="8" t="s">
        <v>310</v>
      </c>
      <c r="J625" s="108" t="s">
        <v>4721</v>
      </c>
      <c r="K625" s="57">
        <v>100</v>
      </c>
      <c r="L625" s="58">
        <v>100</v>
      </c>
    </row>
    <row r="626" spans="1:12" s="13" customFormat="1" ht="15">
      <c r="A626" s="105">
        <v>592</v>
      </c>
      <c r="B626" s="106" t="s">
        <v>1897</v>
      </c>
      <c r="C626" s="106"/>
      <c r="D626" s="8" t="s">
        <v>2614</v>
      </c>
      <c r="E626" s="189" t="s">
        <v>356</v>
      </c>
      <c r="F626" s="106"/>
      <c r="G626" s="106" t="s">
        <v>1278</v>
      </c>
      <c r="H626" s="107">
        <v>4200</v>
      </c>
      <c r="I626" s="8" t="s">
        <v>310</v>
      </c>
      <c r="J626" s="108" t="s">
        <v>357</v>
      </c>
      <c r="K626" s="57">
        <v>30</v>
      </c>
      <c r="L626" s="58">
        <v>30</v>
      </c>
    </row>
    <row r="627" spans="1:12" s="13" customFormat="1" ht="15">
      <c r="A627" s="105">
        <v>593</v>
      </c>
      <c r="B627" s="106" t="s">
        <v>1896</v>
      </c>
      <c r="C627" s="106"/>
      <c r="D627" s="8">
        <v>9034118006</v>
      </c>
      <c r="E627" s="189" t="s">
        <v>356</v>
      </c>
      <c r="F627" s="107"/>
      <c r="G627" s="107" t="s">
        <v>355</v>
      </c>
      <c r="H627" s="107">
        <v>4200</v>
      </c>
      <c r="I627" s="8" t="s">
        <v>310</v>
      </c>
      <c r="J627" s="108" t="s">
        <v>357</v>
      </c>
      <c r="K627" s="57">
        <v>30</v>
      </c>
      <c r="L627" s="58">
        <v>30</v>
      </c>
    </row>
    <row r="628" spans="1:12" s="13" customFormat="1" ht="15">
      <c r="A628" s="105">
        <v>594</v>
      </c>
      <c r="B628" s="106" t="s">
        <v>1896</v>
      </c>
      <c r="C628" s="106"/>
      <c r="D628" s="8">
        <v>9034118057</v>
      </c>
      <c r="E628" s="189" t="s">
        <v>359</v>
      </c>
      <c r="F628" s="106"/>
      <c r="G628" s="107" t="s">
        <v>358</v>
      </c>
      <c r="H628" s="107">
        <v>4200</v>
      </c>
      <c r="I628" s="8" t="s">
        <v>310</v>
      </c>
      <c r="J628" s="8" t="s">
        <v>1690</v>
      </c>
      <c r="K628" s="57">
        <v>30</v>
      </c>
      <c r="L628" s="58">
        <v>30</v>
      </c>
    </row>
    <row r="629" spans="1:12" s="13" customFormat="1" ht="15">
      <c r="A629" s="105">
        <v>595</v>
      </c>
      <c r="B629" s="106" t="s">
        <v>1896</v>
      </c>
      <c r="C629" s="106"/>
      <c r="D629" s="8" t="s">
        <v>1674</v>
      </c>
      <c r="E629" s="189" t="s">
        <v>1315</v>
      </c>
      <c r="F629" s="106"/>
      <c r="G629" s="106" t="s">
        <v>1314</v>
      </c>
      <c r="H629" s="107">
        <v>4100</v>
      </c>
      <c r="I629" s="8" t="s">
        <v>317</v>
      </c>
      <c r="J629" s="108" t="s">
        <v>357</v>
      </c>
      <c r="K629" s="57">
        <v>30</v>
      </c>
      <c r="L629" s="58">
        <v>30</v>
      </c>
    </row>
    <row r="630" spans="1:12" s="13" customFormat="1" ht="15">
      <c r="A630" s="105">
        <v>596</v>
      </c>
      <c r="B630" s="106" t="s">
        <v>1896</v>
      </c>
      <c r="C630" s="106"/>
      <c r="D630" s="8" t="s">
        <v>1673</v>
      </c>
      <c r="E630" s="189" t="s">
        <v>1315</v>
      </c>
      <c r="F630" s="106"/>
      <c r="G630" s="106" t="s">
        <v>1316</v>
      </c>
      <c r="H630" s="107">
        <v>4100</v>
      </c>
      <c r="I630" s="8" t="s">
        <v>317</v>
      </c>
      <c r="J630" s="108" t="s">
        <v>357</v>
      </c>
      <c r="K630" s="57">
        <v>30</v>
      </c>
      <c r="L630" s="58">
        <v>30</v>
      </c>
    </row>
    <row r="631" spans="1:12" s="13" customFormat="1" ht="15">
      <c r="A631" s="105">
        <v>597</v>
      </c>
      <c r="B631" s="106" t="s">
        <v>1896</v>
      </c>
      <c r="C631" s="106"/>
      <c r="D631" s="8" t="s">
        <v>1675</v>
      </c>
      <c r="E631" s="189" t="s">
        <v>4371</v>
      </c>
      <c r="F631" s="106"/>
      <c r="G631" s="106" t="s">
        <v>1317</v>
      </c>
      <c r="H631" s="107">
        <v>4100</v>
      </c>
      <c r="I631" s="8" t="s">
        <v>317</v>
      </c>
      <c r="J631" s="108" t="s">
        <v>4720</v>
      </c>
      <c r="K631" s="57">
        <v>100</v>
      </c>
      <c r="L631" s="58">
        <v>100</v>
      </c>
    </row>
    <row r="632" spans="1:12" s="13" customFormat="1" ht="15">
      <c r="A632" s="105">
        <v>598</v>
      </c>
      <c r="B632" s="106" t="s">
        <v>1896</v>
      </c>
      <c r="C632" s="106"/>
      <c r="D632" s="8" t="s">
        <v>1677</v>
      </c>
      <c r="E632" s="189" t="s">
        <v>4370</v>
      </c>
      <c r="F632" s="106"/>
      <c r="G632" s="106" t="s">
        <v>1318</v>
      </c>
      <c r="H632" s="107">
        <v>4100</v>
      </c>
      <c r="I632" s="8" t="s">
        <v>317</v>
      </c>
      <c r="J632" s="41" t="s">
        <v>2632</v>
      </c>
      <c r="K632" s="57">
        <v>30</v>
      </c>
      <c r="L632" s="58">
        <v>30</v>
      </c>
    </row>
    <row r="633" spans="1:12" s="13" customFormat="1" ht="15">
      <c r="A633" s="105">
        <v>599</v>
      </c>
      <c r="B633" s="106" t="s">
        <v>1896</v>
      </c>
      <c r="C633" s="106"/>
      <c r="D633" s="8" t="s">
        <v>1676</v>
      </c>
      <c r="E633" s="189" t="s">
        <v>4370</v>
      </c>
      <c r="F633" s="106"/>
      <c r="G633" s="106" t="s">
        <v>1955</v>
      </c>
      <c r="H633" s="107">
        <v>4100</v>
      </c>
      <c r="I633" s="8" t="s">
        <v>317</v>
      </c>
      <c r="J633" s="41" t="s">
        <v>2632</v>
      </c>
      <c r="K633" s="57">
        <v>30</v>
      </c>
      <c r="L633" s="58">
        <v>30</v>
      </c>
    </row>
    <row r="634" spans="1:12" s="13" customFormat="1" ht="15">
      <c r="A634" s="105">
        <v>600</v>
      </c>
      <c r="B634" s="106" t="s">
        <v>1896</v>
      </c>
      <c r="C634" s="106"/>
      <c r="D634" s="8" t="s">
        <v>1678</v>
      </c>
      <c r="E634" s="189" t="s">
        <v>1014</v>
      </c>
      <c r="F634" s="106"/>
      <c r="G634" s="106" t="s">
        <v>1319</v>
      </c>
      <c r="H634" s="107">
        <v>4100</v>
      </c>
      <c r="I634" s="8" t="s">
        <v>260</v>
      </c>
      <c r="J634" s="41" t="s">
        <v>2632</v>
      </c>
      <c r="K634" s="57">
        <v>30</v>
      </c>
      <c r="L634" s="58">
        <v>30</v>
      </c>
    </row>
    <row r="635" spans="1:12" s="13" customFormat="1" ht="15">
      <c r="A635" s="105">
        <v>601</v>
      </c>
      <c r="B635" s="106" t="s">
        <v>1896</v>
      </c>
      <c r="C635" s="106"/>
      <c r="D635" s="8" t="s">
        <v>1679</v>
      </c>
      <c r="E635" s="189" t="s">
        <v>1014</v>
      </c>
      <c r="F635" s="106"/>
      <c r="G635" s="106" t="s">
        <v>1320</v>
      </c>
      <c r="H635" s="107">
        <v>4100</v>
      </c>
      <c r="I635" s="8" t="s">
        <v>317</v>
      </c>
      <c r="J635" s="41" t="s">
        <v>2632</v>
      </c>
      <c r="K635" s="57">
        <v>30</v>
      </c>
      <c r="L635" s="58">
        <v>30</v>
      </c>
    </row>
    <row r="636" spans="1:12" s="13" customFormat="1" ht="15">
      <c r="A636" s="105">
        <v>602</v>
      </c>
      <c r="B636" s="106" t="s">
        <v>1896</v>
      </c>
      <c r="C636" s="106"/>
      <c r="D636" s="8" t="s">
        <v>1681</v>
      </c>
      <c r="E636" s="189" t="s">
        <v>1014</v>
      </c>
      <c r="F636" s="106"/>
      <c r="G636" s="106" t="s">
        <v>1321</v>
      </c>
      <c r="H636" s="107">
        <v>4100</v>
      </c>
      <c r="I636" s="8" t="s">
        <v>317</v>
      </c>
      <c r="J636" s="41" t="s">
        <v>2632</v>
      </c>
      <c r="K636" s="57">
        <v>30</v>
      </c>
      <c r="L636" s="58">
        <v>30</v>
      </c>
    </row>
    <row r="637" spans="1:12" s="13" customFormat="1" ht="15">
      <c r="A637" s="105">
        <v>603</v>
      </c>
      <c r="B637" s="106" t="s">
        <v>1896</v>
      </c>
      <c r="C637" s="106"/>
      <c r="D637" s="8" t="s">
        <v>1680</v>
      </c>
      <c r="E637" s="189" t="s">
        <v>1014</v>
      </c>
      <c r="F637" s="106"/>
      <c r="G637" s="106" t="s">
        <v>1322</v>
      </c>
      <c r="H637" s="107">
        <v>4100</v>
      </c>
      <c r="I637" s="8" t="s">
        <v>260</v>
      </c>
      <c r="J637" s="41" t="s">
        <v>2632</v>
      </c>
      <c r="K637" s="57">
        <v>30</v>
      </c>
      <c r="L637" s="58">
        <v>30</v>
      </c>
    </row>
    <row r="638" spans="1:12" s="13" customFormat="1" ht="15">
      <c r="A638" s="105">
        <v>604</v>
      </c>
      <c r="B638" s="106" t="s">
        <v>1896</v>
      </c>
      <c r="C638" s="106"/>
      <c r="D638" s="8" t="s">
        <v>1682</v>
      </c>
      <c r="E638" s="189" t="s">
        <v>1014</v>
      </c>
      <c r="F638" s="106"/>
      <c r="G638" s="107" t="s">
        <v>251</v>
      </c>
      <c r="H638" s="107">
        <v>4100</v>
      </c>
      <c r="I638" s="8" t="s">
        <v>226</v>
      </c>
      <c r="J638" s="41" t="s">
        <v>2632</v>
      </c>
      <c r="K638" s="57">
        <v>30</v>
      </c>
      <c r="L638" s="58">
        <v>30</v>
      </c>
    </row>
    <row r="639" spans="1:12" s="13" customFormat="1" ht="15">
      <c r="A639" s="105">
        <v>605</v>
      </c>
      <c r="B639" s="106" t="s">
        <v>1896</v>
      </c>
      <c r="C639" s="106"/>
      <c r="D639" s="8" t="s">
        <v>1683</v>
      </c>
      <c r="E639" s="189" t="s">
        <v>1014</v>
      </c>
      <c r="F639" s="106"/>
      <c r="G639" s="107" t="s">
        <v>252</v>
      </c>
      <c r="H639" s="107">
        <v>4100</v>
      </c>
      <c r="I639" s="8" t="s">
        <v>226</v>
      </c>
      <c r="J639" s="41" t="s">
        <v>2632</v>
      </c>
      <c r="K639" s="57">
        <v>30</v>
      </c>
      <c r="L639" s="58">
        <v>30</v>
      </c>
    </row>
    <row r="640" spans="1:12" s="13" customFormat="1" ht="15">
      <c r="A640" s="105">
        <v>606</v>
      </c>
      <c r="B640" s="106" t="s">
        <v>1896</v>
      </c>
      <c r="C640" s="106"/>
      <c r="D640" s="8" t="s">
        <v>1684</v>
      </c>
      <c r="E640" s="189" t="s">
        <v>1014</v>
      </c>
      <c r="F640" s="106"/>
      <c r="G640" s="107" t="s">
        <v>253</v>
      </c>
      <c r="H640" s="107">
        <v>4100</v>
      </c>
      <c r="I640" s="8" t="s">
        <v>226</v>
      </c>
      <c r="J640" s="41" t="s">
        <v>2632</v>
      </c>
      <c r="K640" s="57">
        <v>30</v>
      </c>
      <c r="L640" s="58">
        <v>30</v>
      </c>
    </row>
    <row r="641" spans="1:12" s="13" customFormat="1" ht="15">
      <c r="A641" s="105">
        <v>607</v>
      </c>
      <c r="B641" s="106" t="s">
        <v>1896</v>
      </c>
      <c r="C641" s="106"/>
      <c r="D641" s="8" t="s">
        <v>1685</v>
      </c>
      <c r="E641" s="189" t="s">
        <v>1014</v>
      </c>
      <c r="F641" s="106"/>
      <c r="G641" s="106" t="s">
        <v>1323</v>
      </c>
      <c r="H641" s="107">
        <v>4100</v>
      </c>
      <c r="I641" s="8" t="s">
        <v>317</v>
      </c>
      <c r="J641" s="41" t="s">
        <v>2632</v>
      </c>
      <c r="K641" s="57">
        <v>30</v>
      </c>
      <c r="L641" s="58">
        <v>30</v>
      </c>
    </row>
    <row r="642" spans="1:12" s="13" customFormat="1" ht="15">
      <c r="A642" s="105">
        <v>608</v>
      </c>
      <c r="B642" s="106" t="s">
        <v>1897</v>
      </c>
      <c r="C642" s="106"/>
      <c r="D642" s="8" t="s">
        <v>1686</v>
      </c>
      <c r="E642" s="189" t="s">
        <v>1014</v>
      </c>
      <c r="F642" s="107"/>
      <c r="G642" s="107" t="s">
        <v>1928</v>
      </c>
      <c r="H642" s="107">
        <v>4200</v>
      </c>
      <c r="I642" s="8" t="s">
        <v>310</v>
      </c>
      <c r="J642" s="108" t="s">
        <v>4720</v>
      </c>
      <c r="K642" s="57">
        <v>100</v>
      </c>
      <c r="L642" s="58">
        <v>100</v>
      </c>
    </row>
    <row r="643" spans="1:12" s="13" customFormat="1" ht="15">
      <c r="A643" s="105">
        <v>609</v>
      </c>
      <c r="B643" s="106" t="s">
        <v>1896</v>
      </c>
      <c r="C643" s="106"/>
      <c r="D643" s="8" t="str">
        <f>"9040408004"</f>
        <v>9040408004</v>
      </c>
      <c r="E643" s="189" t="s">
        <v>1325</v>
      </c>
      <c r="F643" s="106"/>
      <c r="G643" s="106" t="s">
        <v>1324</v>
      </c>
      <c r="H643" s="107">
        <v>4100</v>
      </c>
      <c r="I643" s="8" t="s">
        <v>317</v>
      </c>
      <c r="J643" s="8" t="s">
        <v>1690</v>
      </c>
      <c r="K643" s="57">
        <v>30</v>
      </c>
      <c r="L643" s="58">
        <v>30</v>
      </c>
    </row>
    <row r="644" spans="1:12" s="13" customFormat="1" ht="15">
      <c r="A644" s="105">
        <v>610</v>
      </c>
      <c r="B644" s="106" t="s">
        <v>1896</v>
      </c>
      <c r="C644" s="106"/>
      <c r="D644" s="8" t="str">
        <f>"9043024003"</f>
        <v>9043024003</v>
      </c>
      <c r="E644" s="189" t="s">
        <v>1327</v>
      </c>
      <c r="F644" s="106"/>
      <c r="G644" s="106" t="s">
        <v>1326</v>
      </c>
      <c r="H644" s="107">
        <v>4100</v>
      </c>
      <c r="I644" s="8" t="s">
        <v>317</v>
      </c>
      <c r="J644" s="8" t="s">
        <v>1690</v>
      </c>
      <c r="K644" s="57">
        <v>30</v>
      </c>
      <c r="L644" s="58">
        <v>30</v>
      </c>
    </row>
    <row r="645" spans="1:12" s="13" customFormat="1" ht="15">
      <c r="A645" s="105">
        <v>611</v>
      </c>
      <c r="B645" s="106" t="s">
        <v>1896</v>
      </c>
      <c r="C645" s="106"/>
      <c r="D645" s="8" t="str">
        <f>"90501T0005"</f>
        <v>90501T0005</v>
      </c>
      <c r="E645" s="189" t="s">
        <v>1329</v>
      </c>
      <c r="F645" s="106"/>
      <c r="G645" s="106" t="s">
        <v>1328</v>
      </c>
      <c r="H645" s="107">
        <v>4100</v>
      </c>
      <c r="I645" s="8" t="s">
        <v>260</v>
      </c>
      <c r="J645" s="108" t="s">
        <v>1330</v>
      </c>
      <c r="K645" s="57">
        <v>30</v>
      </c>
      <c r="L645" s="58">
        <v>30</v>
      </c>
    </row>
    <row r="646" spans="1:12" s="13" customFormat="1" ht="15">
      <c r="A646" s="105">
        <v>612</v>
      </c>
      <c r="B646" s="106" t="s">
        <v>1896</v>
      </c>
      <c r="C646" s="106"/>
      <c r="D646" s="8" t="str">
        <f>"90501T0006"</f>
        <v>90501T0006</v>
      </c>
      <c r="E646" s="189" t="s">
        <v>1329</v>
      </c>
      <c r="F646" s="106"/>
      <c r="G646" s="106" t="s">
        <v>1331</v>
      </c>
      <c r="H646" s="107">
        <v>4100</v>
      </c>
      <c r="I646" s="8" t="s">
        <v>260</v>
      </c>
      <c r="J646" s="108" t="s">
        <v>1330</v>
      </c>
      <c r="K646" s="57">
        <v>30</v>
      </c>
      <c r="L646" s="58">
        <v>30</v>
      </c>
    </row>
    <row r="647" spans="1:12" s="13" customFormat="1" ht="15">
      <c r="A647" s="105">
        <v>613</v>
      </c>
      <c r="B647" s="106" t="s">
        <v>1896</v>
      </c>
      <c r="C647" s="106"/>
      <c r="D647" s="8" t="str">
        <f>"90520T0027"</f>
        <v>90520T0027</v>
      </c>
      <c r="E647" s="189" t="s">
        <v>1333</v>
      </c>
      <c r="F647" s="106"/>
      <c r="G647" s="106" t="s">
        <v>1332</v>
      </c>
      <c r="H647" s="107">
        <v>4100</v>
      </c>
      <c r="I647" s="8" t="s">
        <v>317</v>
      </c>
      <c r="J647" s="108" t="s">
        <v>1912</v>
      </c>
      <c r="K647" s="57">
        <v>60</v>
      </c>
      <c r="L647" s="58">
        <v>60</v>
      </c>
    </row>
    <row r="648" spans="1:12" s="13" customFormat="1" ht="15">
      <c r="A648" s="105">
        <v>614</v>
      </c>
      <c r="B648" s="106" t="s">
        <v>1896</v>
      </c>
      <c r="C648" s="106"/>
      <c r="D648" s="8" t="str">
        <f>"90520T0028"</f>
        <v>90520T0028</v>
      </c>
      <c r="E648" s="189" t="s">
        <v>1333</v>
      </c>
      <c r="F648" s="106"/>
      <c r="G648" s="106" t="s">
        <v>1334</v>
      </c>
      <c r="H648" s="107">
        <v>4100</v>
      </c>
      <c r="I648" s="8" t="s">
        <v>317</v>
      </c>
      <c r="J648" s="108" t="s">
        <v>1912</v>
      </c>
      <c r="K648" s="57">
        <v>60</v>
      </c>
      <c r="L648" s="58">
        <v>60</v>
      </c>
    </row>
    <row r="649" spans="1:12" s="13" customFormat="1" ht="15">
      <c r="A649" s="105">
        <v>615</v>
      </c>
      <c r="B649" s="106" t="s">
        <v>1897</v>
      </c>
      <c r="C649" s="106"/>
      <c r="D649" s="8" t="str">
        <f>"90520T0033"</f>
        <v>90520T0033</v>
      </c>
      <c r="E649" s="189" t="s">
        <v>1870</v>
      </c>
      <c r="F649" s="106"/>
      <c r="G649" s="106" t="s">
        <v>1929</v>
      </c>
      <c r="H649" s="107">
        <v>4200</v>
      </c>
      <c r="I649" s="8" t="s">
        <v>310</v>
      </c>
      <c r="J649" s="108" t="s">
        <v>1912</v>
      </c>
      <c r="K649" s="57">
        <v>60</v>
      </c>
      <c r="L649" s="58">
        <v>60</v>
      </c>
    </row>
    <row r="650" spans="1:12" s="13" customFormat="1" ht="15">
      <c r="A650" s="105">
        <v>616</v>
      </c>
      <c r="B650" s="106" t="s">
        <v>1896</v>
      </c>
      <c r="C650" s="106"/>
      <c r="D650" s="8" t="str">
        <f>"90520T0036"</f>
        <v>90520T0036</v>
      </c>
      <c r="E650" s="189" t="s">
        <v>1333</v>
      </c>
      <c r="F650" s="106"/>
      <c r="G650" s="106" t="s">
        <v>1335</v>
      </c>
      <c r="H650" s="107">
        <v>4200</v>
      </c>
      <c r="I650" s="8" t="s">
        <v>310</v>
      </c>
      <c r="J650" s="108" t="s">
        <v>1912</v>
      </c>
      <c r="K650" s="57">
        <v>60</v>
      </c>
      <c r="L650" s="58">
        <v>60</v>
      </c>
    </row>
    <row r="651" spans="1:12" s="13" customFormat="1" ht="15">
      <c r="A651" s="105">
        <v>617</v>
      </c>
      <c r="B651" s="106" t="s">
        <v>1896</v>
      </c>
      <c r="C651" s="106"/>
      <c r="D651" s="8" t="str">
        <f>"9052134003"</f>
        <v>9052134003</v>
      </c>
      <c r="E651" s="189" t="s">
        <v>1337</v>
      </c>
      <c r="F651" s="106"/>
      <c r="G651" s="106" t="s">
        <v>1336</v>
      </c>
      <c r="H651" s="107">
        <v>4100</v>
      </c>
      <c r="I651" s="8" t="s">
        <v>317</v>
      </c>
      <c r="J651" s="108" t="s">
        <v>1690</v>
      </c>
      <c r="K651" s="57">
        <v>30</v>
      </c>
      <c r="L651" s="58">
        <v>30</v>
      </c>
    </row>
    <row r="652" spans="1:12" s="13" customFormat="1" ht="15">
      <c r="A652" s="105">
        <v>618</v>
      </c>
      <c r="B652" s="106" t="s">
        <v>1896</v>
      </c>
      <c r="C652" s="106"/>
      <c r="D652" s="8" t="str">
        <f>"90521T0002"</f>
        <v>90521T0002</v>
      </c>
      <c r="E652" s="189" t="s">
        <v>1337</v>
      </c>
      <c r="F652" s="106"/>
      <c r="G652" s="106" t="s">
        <v>1339</v>
      </c>
      <c r="H652" s="107">
        <v>4100</v>
      </c>
      <c r="I652" s="8" t="s">
        <v>317</v>
      </c>
      <c r="J652" s="108" t="s">
        <v>1912</v>
      </c>
      <c r="K652" s="57">
        <v>60</v>
      </c>
      <c r="L652" s="58">
        <v>60</v>
      </c>
    </row>
    <row r="653" spans="1:12" s="13" customFormat="1" ht="15">
      <c r="A653" s="105">
        <v>619</v>
      </c>
      <c r="B653" s="106" t="s">
        <v>1896</v>
      </c>
      <c r="C653" s="106"/>
      <c r="D653" s="8" t="str">
        <f>"9056435109"</f>
        <v>9056435109</v>
      </c>
      <c r="E653" s="189" t="s">
        <v>361</v>
      </c>
      <c r="F653" s="106"/>
      <c r="G653" s="106" t="s">
        <v>1341</v>
      </c>
      <c r="H653" s="107">
        <v>4100</v>
      </c>
      <c r="I653" s="8" t="s">
        <v>1340</v>
      </c>
      <c r="J653" s="108" t="s">
        <v>1690</v>
      </c>
      <c r="K653" s="57">
        <v>30</v>
      </c>
      <c r="L653" s="58">
        <v>30</v>
      </c>
    </row>
    <row r="654" spans="1:12" s="13" customFormat="1" ht="15">
      <c r="A654" s="105">
        <v>620</v>
      </c>
      <c r="B654" s="106" t="s">
        <v>1896</v>
      </c>
      <c r="C654" s="106"/>
      <c r="D654" s="8" t="str">
        <f>"9056435110"</f>
        <v>9056435110</v>
      </c>
      <c r="E654" s="189" t="s">
        <v>361</v>
      </c>
      <c r="F654" s="106"/>
      <c r="G654" s="106" t="s">
        <v>1342</v>
      </c>
      <c r="H654" s="107">
        <v>4100</v>
      </c>
      <c r="I654" s="8" t="s">
        <v>1340</v>
      </c>
      <c r="J654" s="108" t="s">
        <v>1690</v>
      </c>
      <c r="K654" s="57">
        <v>30</v>
      </c>
      <c r="L654" s="58">
        <v>30</v>
      </c>
    </row>
    <row r="655" spans="1:12" s="13" customFormat="1" ht="15">
      <c r="A655" s="105">
        <v>621</v>
      </c>
      <c r="B655" s="106" t="s">
        <v>1896</v>
      </c>
      <c r="C655" s="106"/>
      <c r="D655" s="8" t="str">
        <f>"9056435111"</f>
        <v>9056435111</v>
      </c>
      <c r="E655" s="189" t="s">
        <v>361</v>
      </c>
      <c r="F655" s="106"/>
      <c r="G655" s="106" t="s">
        <v>1343</v>
      </c>
      <c r="H655" s="107">
        <v>4100</v>
      </c>
      <c r="I655" s="8" t="s">
        <v>1340</v>
      </c>
      <c r="J655" s="108" t="s">
        <v>1690</v>
      </c>
      <c r="K655" s="57">
        <v>30</v>
      </c>
      <c r="L655" s="58">
        <v>30</v>
      </c>
    </row>
    <row r="656" spans="1:12" s="13" customFormat="1" ht="15">
      <c r="A656" s="105">
        <v>622</v>
      </c>
      <c r="B656" s="106" t="s">
        <v>1896</v>
      </c>
      <c r="C656" s="106"/>
      <c r="D656" s="8" t="str">
        <f>"9056435112"</f>
        <v>9056435112</v>
      </c>
      <c r="E656" s="189" t="s">
        <v>361</v>
      </c>
      <c r="F656" s="106"/>
      <c r="G656" s="106" t="s">
        <v>1344</v>
      </c>
      <c r="H656" s="107">
        <v>4100</v>
      </c>
      <c r="I656" s="8" t="s">
        <v>1340</v>
      </c>
      <c r="J656" s="108" t="s">
        <v>1690</v>
      </c>
      <c r="K656" s="57">
        <v>30</v>
      </c>
      <c r="L656" s="58">
        <v>30</v>
      </c>
    </row>
    <row r="657" spans="1:12" s="13" customFormat="1" ht="15">
      <c r="A657" s="105">
        <v>623</v>
      </c>
      <c r="B657" s="106" t="s">
        <v>1896</v>
      </c>
      <c r="C657" s="106"/>
      <c r="D657" s="8" t="str">
        <f>"9056435113"</f>
        <v>9056435113</v>
      </c>
      <c r="E657" s="189" t="s">
        <v>361</v>
      </c>
      <c r="F657" s="106"/>
      <c r="G657" s="106" t="s">
        <v>1345</v>
      </c>
      <c r="H657" s="107">
        <v>4100</v>
      </c>
      <c r="I657" s="8" t="s">
        <v>1340</v>
      </c>
      <c r="J657" s="108" t="s">
        <v>1690</v>
      </c>
      <c r="K657" s="57">
        <v>30</v>
      </c>
      <c r="L657" s="58">
        <v>30</v>
      </c>
    </row>
    <row r="658" spans="1:12" s="13" customFormat="1" ht="15">
      <c r="A658" s="105">
        <v>624</v>
      </c>
      <c r="B658" s="106" t="s">
        <v>1896</v>
      </c>
      <c r="C658" s="106"/>
      <c r="D658" s="8" t="str">
        <f>"9056435114"</f>
        <v>9056435114</v>
      </c>
      <c r="E658" s="189" t="s">
        <v>361</v>
      </c>
      <c r="F658" s="106"/>
      <c r="G658" s="106" t="s">
        <v>1346</v>
      </c>
      <c r="H658" s="107">
        <v>4100</v>
      </c>
      <c r="I658" s="8" t="s">
        <v>1340</v>
      </c>
      <c r="J658" s="108" t="s">
        <v>1690</v>
      </c>
      <c r="K658" s="57">
        <v>30</v>
      </c>
      <c r="L658" s="58">
        <v>30</v>
      </c>
    </row>
    <row r="659" spans="1:12" s="13" customFormat="1" ht="15">
      <c r="A659" s="105">
        <v>625</v>
      </c>
      <c r="B659" s="106" t="s">
        <v>1896</v>
      </c>
      <c r="C659" s="106"/>
      <c r="D659" s="8" t="str">
        <f>"9056435115"</f>
        <v>9056435115</v>
      </c>
      <c r="E659" s="189" t="s">
        <v>361</v>
      </c>
      <c r="F659" s="106"/>
      <c r="G659" s="106" t="s">
        <v>1347</v>
      </c>
      <c r="H659" s="107">
        <v>4100</v>
      </c>
      <c r="I659" s="8" t="s">
        <v>1340</v>
      </c>
      <c r="J659" s="108" t="s">
        <v>1690</v>
      </c>
      <c r="K659" s="57">
        <v>30</v>
      </c>
      <c r="L659" s="58">
        <v>30</v>
      </c>
    </row>
    <row r="660" spans="1:12" s="13" customFormat="1" ht="15">
      <c r="A660" s="105">
        <v>626</v>
      </c>
      <c r="B660" s="106" t="s">
        <v>1896</v>
      </c>
      <c r="C660" s="106"/>
      <c r="D660" s="8" t="str">
        <f>"9056435116"</f>
        <v>9056435116</v>
      </c>
      <c r="E660" s="189" t="s">
        <v>361</v>
      </c>
      <c r="F660" s="106"/>
      <c r="G660" s="106" t="s">
        <v>1348</v>
      </c>
      <c r="H660" s="107">
        <v>4100</v>
      </c>
      <c r="I660" s="8" t="s">
        <v>1340</v>
      </c>
      <c r="J660" s="108" t="s">
        <v>1690</v>
      </c>
      <c r="K660" s="57">
        <v>30</v>
      </c>
      <c r="L660" s="58">
        <v>30</v>
      </c>
    </row>
    <row r="661" spans="1:12" s="13" customFormat="1" ht="15">
      <c r="A661" s="105">
        <v>627</v>
      </c>
      <c r="B661" s="106" t="s">
        <v>1896</v>
      </c>
      <c r="C661" s="106"/>
      <c r="D661" s="8" t="str">
        <f>"9056435117"</f>
        <v>9056435117</v>
      </c>
      <c r="E661" s="189" t="s">
        <v>361</v>
      </c>
      <c r="F661" s="106"/>
      <c r="G661" s="106" t="s">
        <v>1352</v>
      </c>
      <c r="H661" s="107">
        <v>4100</v>
      </c>
      <c r="I661" s="8" t="s">
        <v>1340</v>
      </c>
      <c r="J661" s="108" t="s">
        <v>1690</v>
      </c>
      <c r="K661" s="57">
        <v>30</v>
      </c>
      <c r="L661" s="58">
        <v>30</v>
      </c>
    </row>
    <row r="662" spans="1:12" s="13" customFormat="1" ht="15">
      <c r="A662" s="105">
        <v>628</v>
      </c>
      <c r="B662" s="106" t="s">
        <v>1896</v>
      </c>
      <c r="C662" s="106"/>
      <c r="D662" s="8" t="str">
        <f>"9056435118"</f>
        <v>9056435118</v>
      </c>
      <c r="E662" s="189" t="s">
        <v>361</v>
      </c>
      <c r="F662" s="106"/>
      <c r="G662" s="106" t="s">
        <v>1353</v>
      </c>
      <c r="H662" s="107">
        <v>4100</v>
      </c>
      <c r="I662" s="8" t="s">
        <v>1340</v>
      </c>
      <c r="J662" s="108" t="s">
        <v>1690</v>
      </c>
      <c r="K662" s="57">
        <v>30</v>
      </c>
      <c r="L662" s="58">
        <v>30</v>
      </c>
    </row>
    <row r="663" spans="1:12" s="13" customFormat="1" ht="15">
      <c r="A663" s="105">
        <v>629</v>
      </c>
      <c r="B663" s="106" t="s">
        <v>1896</v>
      </c>
      <c r="C663" s="106"/>
      <c r="D663" s="8" t="str">
        <f>"9056435119"</f>
        <v>9056435119</v>
      </c>
      <c r="E663" s="189" t="s">
        <v>361</v>
      </c>
      <c r="F663" s="106"/>
      <c r="G663" s="106" t="s">
        <v>1354</v>
      </c>
      <c r="H663" s="107">
        <v>4100</v>
      </c>
      <c r="I663" s="8" t="s">
        <v>1340</v>
      </c>
      <c r="J663" s="108" t="s">
        <v>1690</v>
      </c>
      <c r="K663" s="57">
        <v>30</v>
      </c>
      <c r="L663" s="58">
        <v>30</v>
      </c>
    </row>
    <row r="664" spans="1:12" s="13" customFormat="1" ht="15">
      <c r="A664" s="105">
        <v>630</v>
      </c>
      <c r="B664" s="106" t="s">
        <v>1896</v>
      </c>
      <c r="C664" s="106"/>
      <c r="D664" s="8" t="str">
        <f>"9056435120"</f>
        <v>9056435120</v>
      </c>
      <c r="E664" s="189" t="s">
        <v>361</v>
      </c>
      <c r="F664" s="106"/>
      <c r="G664" s="106" t="s">
        <v>360</v>
      </c>
      <c r="H664" s="107">
        <v>4100</v>
      </c>
      <c r="I664" s="8" t="s">
        <v>1340</v>
      </c>
      <c r="J664" s="108" t="s">
        <v>1690</v>
      </c>
      <c r="K664" s="57">
        <v>30</v>
      </c>
      <c r="L664" s="58">
        <v>30</v>
      </c>
    </row>
    <row r="665" spans="1:12" s="13" customFormat="1" ht="15">
      <c r="A665" s="105">
        <v>631</v>
      </c>
      <c r="B665" s="106" t="s">
        <v>1896</v>
      </c>
      <c r="C665" s="106"/>
      <c r="D665" s="8" t="str">
        <f>"9056435121"</f>
        <v>9056435121</v>
      </c>
      <c r="E665" s="189" t="s">
        <v>361</v>
      </c>
      <c r="F665" s="106"/>
      <c r="G665" s="106" t="s">
        <v>1355</v>
      </c>
      <c r="H665" s="107">
        <v>4100</v>
      </c>
      <c r="I665" s="8" t="s">
        <v>1340</v>
      </c>
      <c r="J665" s="108" t="s">
        <v>1690</v>
      </c>
      <c r="K665" s="57">
        <v>30</v>
      </c>
      <c r="L665" s="58">
        <v>30</v>
      </c>
    </row>
    <row r="666" spans="1:12" s="13" customFormat="1" ht="15">
      <c r="A666" s="105">
        <v>632</v>
      </c>
      <c r="B666" s="106" t="s">
        <v>1896</v>
      </c>
      <c r="C666" s="106"/>
      <c r="D666" s="8" t="str">
        <f>"9056435123"</f>
        <v>9056435123</v>
      </c>
      <c r="E666" s="189" t="s">
        <v>361</v>
      </c>
      <c r="F666" s="106"/>
      <c r="G666" s="106" t="s">
        <v>1356</v>
      </c>
      <c r="H666" s="107">
        <v>4100</v>
      </c>
      <c r="I666" s="8" t="s">
        <v>1340</v>
      </c>
      <c r="J666" s="108" t="s">
        <v>1690</v>
      </c>
      <c r="K666" s="57">
        <v>30</v>
      </c>
      <c r="L666" s="58">
        <v>30</v>
      </c>
    </row>
    <row r="667" spans="1:12" s="13" customFormat="1" ht="15">
      <c r="A667" s="105">
        <v>633</v>
      </c>
      <c r="B667" s="106" t="s">
        <v>1896</v>
      </c>
      <c r="C667" s="106"/>
      <c r="D667" s="8" t="str">
        <f>"9056435124"</f>
        <v>9056435124</v>
      </c>
      <c r="E667" s="189" t="s">
        <v>361</v>
      </c>
      <c r="F667" s="106"/>
      <c r="G667" s="106" t="s">
        <v>1357</v>
      </c>
      <c r="H667" s="107">
        <v>4100</v>
      </c>
      <c r="I667" s="8" t="s">
        <v>1340</v>
      </c>
      <c r="J667" s="108" t="s">
        <v>1690</v>
      </c>
      <c r="K667" s="57">
        <v>30</v>
      </c>
      <c r="L667" s="58">
        <v>30</v>
      </c>
    </row>
    <row r="668" spans="1:12" s="13" customFormat="1" ht="15">
      <c r="A668" s="105">
        <v>634</v>
      </c>
      <c r="B668" s="106" t="s">
        <v>1896</v>
      </c>
      <c r="C668" s="106"/>
      <c r="D668" s="8" t="str">
        <f>"9056435125"</f>
        <v>9056435125</v>
      </c>
      <c r="E668" s="189" t="s">
        <v>361</v>
      </c>
      <c r="F668" s="106"/>
      <c r="G668" s="106" t="s">
        <v>1358</v>
      </c>
      <c r="H668" s="107">
        <v>4100</v>
      </c>
      <c r="I668" s="8" t="s">
        <v>1340</v>
      </c>
      <c r="J668" s="108" t="s">
        <v>1690</v>
      </c>
      <c r="K668" s="57">
        <v>30</v>
      </c>
      <c r="L668" s="58">
        <v>30</v>
      </c>
    </row>
    <row r="669" spans="1:12" s="13" customFormat="1" ht="15">
      <c r="A669" s="105">
        <v>635</v>
      </c>
      <c r="B669" s="106" t="s">
        <v>1896</v>
      </c>
      <c r="C669" s="106"/>
      <c r="D669" s="8" t="str">
        <f>"9056435126"</f>
        <v>9056435126</v>
      </c>
      <c r="E669" s="189" t="s">
        <v>361</v>
      </c>
      <c r="F669" s="106"/>
      <c r="G669" s="106" t="s">
        <v>1359</v>
      </c>
      <c r="H669" s="107">
        <v>4100</v>
      </c>
      <c r="I669" s="8" t="s">
        <v>1340</v>
      </c>
      <c r="J669" s="108" t="s">
        <v>1690</v>
      </c>
      <c r="K669" s="57">
        <v>30</v>
      </c>
      <c r="L669" s="58">
        <v>30</v>
      </c>
    </row>
    <row r="670" spans="1:12" s="13" customFormat="1" ht="15">
      <c r="A670" s="105">
        <v>636</v>
      </c>
      <c r="B670" s="106" t="s">
        <v>1896</v>
      </c>
      <c r="C670" s="106"/>
      <c r="D670" s="8" t="str">
        <f>"9056435127"</f>
        <v>9056435127</v>
      </c>
      <c r="E670" s="189" t="s">
        <v>361</v>
      </c>
      <c r="F670" s="106"/>
      <c r="G670" s="106" t="s">
        <v>1360</v>
      </c>
      <c r="H670" s="107">
        <v>4100</v>
      </c>
      <c r="I670" s="8" t="s">
        <v>1340</v>
      </c>
      <c r="J670" s="108" t="s">
        <v>1690</v>
      </c>
      <c r="K670" s="57">
        <v>30</v>
      </c>
      <c r="L670" s="58">
        <v>30</v>
      </c>
    </row>
    <row r="671" spans="1:12" s="13" customFormat="1" ht="15">
      <c r="A671" s="105">
        <v>637</v>
      </c>
      <c r="B671" s="106" t="s">
        <v>1896</v>
      </c>
      <c r="C671" s="106"/>
      <c r="D671" s="8" t="str">
        <f>"9056435128"</f>
        <v>9056435128</v>
      </c>
      <c r="E671" s="189" t="s">
        <v>361</v>
      </c>
      <c r="F671" s="106"/>
      <c r="G671" s="106" t="s">
        <v>1361</v>
      </c>
      <c r="H671" s="107">
        <v>4100</v>
      </c>
      <c r="I671" s="8" t="s">
        <v>1340</v>
      </c>
      <c r="J671" s="108" t="s">
        <v>1690</v>
      </c>
      <c r="K671" s="57">
        <v>30</v>
      </c>
      <c r="L671" s="58">
        <v>30</v>
      </c>
    </row>
    <row r="672" spans="1:12" s="13" customFormat="1" ht="15">
      <c r="A672" s="105">
        <v>638</v>
      </c>
      <c r="B672" s="106" t="s">
        <v>1896</v>
      </c>
      <c r="C672" s="106"/>
      <c r="D672" s="8" t="str">
        <f>"9056435129"</f>
        <v>9056435129</v>
      </c>
      <c r="E672" s="189" t="s">
        <v>361</v>
      </c>
      <c r="F672" s="106"/>
      <c r="G672" s="106" t="s">
        <v>1362</v>
      </c>
      <c r="H672" s="107">
        <v>4100</v>
      </c>
      <c r="I672" s="8" t="s">
        <v>1340</v>
      </c>
      <c r="J672" s="108" t="s">
        <v>1690</v>
      </c>
      <c r="K672" s="57">
        <v>30</v>
      </c>
      <c r="L672" s="58">
        <v>30</v>
      </c>
    </row>
    <row r="673" spans="1:12" s="13" customFormat="1" ht="15">
      <c r="A673" s="105">
        <v>639</v>
      </c>
      <c r="B673" s="106" t="s">
        <v>1896</v>
      </c>
      <c r="C673" s="106"/>
      <c r="D673" s="8" t="str">
        <f>"9056435130"</f>
        <v>9056435130</v>
      </c>
      <c r="E673" s="189" t="s">
        <v>361</v>
      </c>
      <c r="F673" s="106"/>
      <c r="G673" s="106" t="s">
        <v>1363</v>
      </c>
      <c r="H673" s="107">
        <v>4100</v>
      </c>
      <c r="I673" s="8" t="s">
        <v>1340</v>
      </c>
      <c r="J673" s="108" t="s">
        <v>1690</v>
      </c>
      <c r="K673" s="57">
        <v>30</v>
      </c>
      <c r="L673" s="58">
        <v>30</v>
      </c>
    </row>
    <row r="674" spans="1:12" s="13" customFormat="1" ht="15">
      <c r="A674" s="105">
        <v>640</v>
      </c>
      <c r="B674" s="106" t="s">
        <v>1896</v>
      </c>
      <c r="C674" s="106"/>
      <c r="D674" s="8" t="str">
        <f>"9056435131"</f>
        <v>9056435131</v>
      </c>
      <c r="E674" s="189" t="s">
        <v>361</v>
      </c>
      <c r="F674" s="106"/>
      <c r="G674" s="106" t="s">
        <v>1364</v>
      </c>
      <c r="H674" s="107">
        <v>4100</v>
      </c>
      <c r="I674" s="8" t="s">
        <v>1340</v>
      </c>
      <c r="J674" s="108" t="s">
        <v>1690</v>
      </c>
      <c r="K674" s="57">
        <v>30</v>
      </c>
      <c r="L674" s="58">
        <v>30</v>
      </c>
    </row>
    <row r="675" spans="1:12" s="13" customFormat="1" ht="15">
      <c r="A675" s="105">
        <v>641</v>
      </c>
      <c r="B675" s="106" t="s">
        <v>1896</v>
      </c>
      <c r="C675" s="106"/>
      <c r="D675" s="8" t="str">
        <f>"9056450124"</f>
        <v>9056450124</v>
      </c>
      <c r="E675" s="189" t="s">
        <v>361</v>
      </c>
      <c r="F675" s="106"/>
      <c r="G675" s="106" t="s">
        <v>1365</v>
      </c>
      <c r="H675" s="107">
        <v>4100</v>
      </c>
      <c r="I675" s="8" t="s">
        <v>1340</v>
      </c>
      <c r="J675" s="108" t="s">
        <v>1690</v>
      </c>
      <c r="K675" s="57">
        <v>30</v>
      </c>
      <c r="L675" s="58">
        <v>30</v>
      </c>
    </row>
    <row r="676" spans="1:12" s="13" customFormat="1" ht="15">
      <c r="A676" s="105">
        <v>642</v>
      </c>
      <c r="B676" s="106" t="s">
        <v>1896</v>
      </c>
      <c r="C676" s="106"/>
      <c r="D676" s="8" t="str">
        <f>"9056450126"</f>
        <v>9056450126</v>
      </c>
      <c r="E676" s="189" t="s">
        <v>361</v>
      </c>
      <c r="F676" s="106"/>
      <c r="G676" s="106" t="s">
        <v>1366</v>
      </c>
      <c r="H676" s="107">
        <v>4100</v>
      </c>
      <c r="I676" s="8" t="s">
        <v>1340</v>
      </c>
      <c r="J676" s="108" t="s">
        <v>1690</v>
      </c>
      <c r="K676" s="57">
        <v>30</v>
      </c>
      <c r="L676" s="58">
        <v>30</v>
      </c>
    </row>
    <row r="677" spans="1:12" s="13" customFormat="1" ht="15">
      <c r="A677" s="105">
        <v>643</v>
      </c>
      <c r="B677" s="106" t="s">
        <v>1896</v>
      </c>
      <c r="C677" s="106"/>
      <c r="D677" s="8" t="str">
        <f>"9056450128"</f>
        <v>9056450128</v>
      </c>
      <c r="E677" s="189" t="s">
        <v>361</v>
      </c>
      <c r="F677" s="106"/>
      <c r="G677" s="106" t="s">
        <v>1367</v>
      </c>
      <c r="H677" s="107">
        <v>4100</v>
      </c>
      <c r="I677" s="8" t="s">
        <v>1340</v>
      </c>
      <c r="J677" s="108" t="s">
        <v>1690</v>
      </c>
      <c r="K677" s="57">
        <v>30</v>
      </c>
      <c r="L677" s="58">
        <v>30</v>
      </c>
    </row>
    <row r="678" spans="1:12" s="13" customFormat="1" ht="15">
      <c r="A678" s="105">
        <v>644</v>
      </c>
      <c r="B678" s="106" t="s">
        <v>1896</v>
      </c>
      <c r="C678" s="106"/>
      <c r="D678" s="8" t="str">
        <f>"9056450130"</f>
        <v>9056450130</v>
      </c>
      <c r="E678" s="189" t="s">
        <v>361</v>
      </c>
      <c r="F678" s="106"/>
      <c r="G678" s="106" t="s">
        <v>1368</v>
      </c>
      <c r="H678" s="107">
        <v>4100</v>
      </c>
      <c r="I678" s="8" t="s">
        <v>1340</v>
      </c>
      <c r="J678" s="108" t="s">
        <v>1690</v>
      </c>
      <c r="K678" s="57">
        <v>30</v>
      </c>
      <c r="L678" s="58">
        <v>30</v>
      </c>
    </row>
    <row r="679" spans="1:12" s="13" customFormat="1" ht="15">
      <c r="A679" s="105">
        <v>645</v>
      </c>
      <c r="B679" s="106" t="s">
        <v>1896</v>
      </c>
      <c r="C679" s="106"/>
      <c r="D679" s="8" t="str">
        <f>"9056450132"</f>
        <v>9056450132</v>
      </c>
      <c r="E679" s="189" t="s">
        <v>361</v>
      </c>
      <c r="F679" s="106"/>
      <c r="G679" s="106" t="s">
        <v>1369</v>
      </c>
      <c r="H679" s="107">
        <v>4100</v>
      </c>
      <c r="I679" s="8" t="s">
        <v>1340</v>
      </c>
      <c r="J679" s="108" t="s">
        <v>1690</v>
      </c>
      <c r="K679" s="57">
        <v>30</v>
      </c>
      <c r="L679" s="58">
        <v>30</v>
      </c>
    </row>
    <row r="680" spans="1:12" s="13" customFormat="1" ht="15">
      <c r="A680" s="105">
        <v>646</v>
      </c>
      <c r="B680" s="106" t="s">
        <v>1896</v>
      </c>
      <c r="C680" s="106"/>
      <c r="D680" s="8" t="str">
        <f>"9056450134"</f>
        <v>9056450134</v>
      </c>
      <c r="E680" s="189" t="s">
        <v>361</v>
      </c>
      <c r="F680" s="106"/>
      <c r="G680" s="106" t="s">
        <v>1370</v>
      </c>
      <c r="H680" s="107">
        <v>4100</v>
      </c>
      <c r="I680" s="8" t="s">
        <v>1340</v>
      </c>
      <c r="J680" s="108" t="s">
        <v>1690</v>
      </c>
      <c r="K680" s="57">
        <v>30</v>
      </c>
      <c r="L680" s="58">
        <v>30</v>
      </c>
    </row>
    <row r="681" spans="1:12" s="13" customFormat="1" ht="15">
      <c r="A681" s="105">
        <v>647</v>
      </c>
      <c r="B681" s="106" t="s">
        <v>1896</v>
      </c>
      <c r="C681" s="106"/>
      <c r="D681" s="8" t="str">
        <f>"9056450136"</f>
        <v>9056450136</v>
      </c>
      <c r="E681" s="189" t="s">
        <v>361</v>
      </c>
      <c r="F681" s="106"/>
      <c r="G681" s="106" t="s">
        <v>1371</v>
      </c>
      <c r="H681" s="107">
        <v>4100</v>
      </c>
      <c r="I681" s="8" t="s">
        <v>1340</v>
      </c>
      <c r="J681" s="108" t="s">
        <v>1690</v>
      </c>
      <c r="K681" s="57">
        <v>30</v>
      </c>
      <c r="L681" s="58">
        <v>30</v>
      </c>
    </row>
    <row r="682" spans="1:12" s="13" customFormat="1" ht="15">
      <c r="A682" s="105">
        <v>648</v>
      </c>
      <c r="B682" s="106" t="s">
        <v>1896</v>
      </c>
      <c r="C682" s="106"/>
      <c r="D682" s="8" t="str">
        <f>"9056450138"</f>
        <v>9056450138</v>
      </c>
      <c r="E682" s="189" t="s">
        <v>361</v>
      </c>
      <c r="F682" s="106"/>
      <c r="G682" s="106" t="s">
        <v>1372</v>
      </c>
      <c r="H682" s="107">
        <v>4100</v>
      </c>
      <c r="I682" s="8" t="s">
        <v>1340</v>
      </c>
      <c r="J682" s="108" t="s">
        <v>1690</v>
      </c>
      <c r="K682" s="57">
        <v>30</v>
      </c>
      <c r="L682" s="58">
        <v>30</v>
      </c>
    </row>
    <row r="683" spans="1:12" s="13" customFormat="1" ht="15">
      <c r="A683" s="105">
        <v>649</v>
      </c>
      <c r="B683" s="106" t="s">
        <v>1896</v>
      </c>
      <c r="C683" s="106"/>
      <c r="D683" s="8" t="str">
        <f>"9056450140"</f>
        <v>9056450140</v>
      </c>
      <c r="E683" s="189" t="s">
        <v>361</v>
      </c>
      <c r="F683" s="106"/>
      <c r="G683" s="106" t="s">
        <v>1373</v>
      </c>
      <c r="H683" s="107">
        <v>4100</v>
      </c>
      <c r="I683" s="8" t="s">
        <v>1340</v>
      </c>
      <c r="J683" s="108" t="s">
        <v>1690</v>
      </c>
      <c r="K683" s="57">
        <v>30</v>
      </c>
      <c r="L683" s="58">
        <v>30</v>
      </c>
    </row>
    <row r="684" spans="1:12" s="13" customFormat="1" ht="15">
      <c r="A684" s="105">
        <v>650</v>
      </c>
      <c r="B684" s="106" t="s">
        <v>1896</v>
      </c>
      <c r="C684" s="106"/>
      <c r="D684" s="8" t="str">
        <f>"9056450142"</f>
        <v>9056450142</v>
      </c>
      <c r="E684" s="189" t="s">
        <v>361</v>
      </c>
      <c r="F684" s="106"/>
      <c r="G684" s="106" t="s">
        <v>1374</v>
      </c>
      <c r="H684" s="107">
        <v>4100</v>
      </c>
      <c r="I684" s="8" t="s">
        <v>1340</v>
      </c>
      <c r="J684" s="108" t="s">
        <v>1690</v>
      </c>
      <c r="K684" s="57">
        <v>30</v>
      </c>
      <c r="L684" s="58">
        <v>30</v>
      </c>
    </row>
    <row r="685" spans="1:12" s="13" customFormat="1" ht="15">
      <c r="A685" s="105">
        <v>651</v>
      </c>
      <c r="B685" s="106" t="s">
        <v>1896</v>
      </c>
      <c r="C685" s="106"/>
      <c r="D685" s="8" t="str">
        <f>"9056450154"</f>
        <v>9056450154</v>
      </c>
      <c r="E685" s="189" t="s">
        <v>361</v>
      </c>
      <c r="F685" s="106"/>
      <c r="G685" s="106" t="s">
        <v>1375</v>
      </c>
      <c r="H685" s="107">
        <v>4100</v>
      </c>
      <c r="I685" s="8" t="s">
        <v>1340</v>
      </c>
      <c r="J685" s="108" t="s">
        <v>1690</v>
      </c>
      <c r="K685" s="57">
        <v>30</v>
      </c>
      <c r="L685" s="58">
        <v>30</v>
      </c>
    </row>
    <row r="686" spans="1:12" s="13" customFormat="1" ht="15">
      <c r="A686" s="105">
        <v>652</v>
      </c>
      <c r="B686" s="106" t="s">
        <v>1896</v>
      </c>
      <c r="C686" s="106"/>
      <c r="D686" s="8" t="str">
        <f>"9056450156"</f>
        <v>9056450156</v>
      </c>
      <c r="E686" s="189" t="s">
        <v>361</v>
      </c>
      <c r="F686" s="106"/>
      <c r="G686" s="106" t="s">
        <v>1376</v>
      </c>
      <c r="H686" s="107">
        <v>4100</v>
      </c>
      <c r="I686" s="8" t="s">
        <v>1340</v>
      </c>
      <c r="J686" s="108" t="s">
        <v>1690</v>
      </c>
      <c r="K686" s="57">
        <v>30</v>
      </c>
      <c r="L686" s="58">
        <v>30</v>
      </c>
    </row>
    <row r="687" spans="1:12" s="13" customFormat="1" ht="15">
      <c r="A687" s="105">
        <v>653</v>
      </c>
      <c r="B687" s="106" t="s">
        <v>1896</v>
      </c>
      <c r="C687" s="106"/>
      <c r="D687" s="8" t="str">
        <f>"9056450158"</f>
        <v>9056450158</v>
      </c>
      <c r="E687" s="189" t="s">
        <v>361</v>
      </c>
      <c r="F687" s="106"/>
      <c r="G687" s="106" t="s">
        <v>1377</v>
      </c>
      <c r="H687" s="107">
        <v>4100</v>
      </c>
      <c r="I687" s="8" t="s">
        <v>1340</v>
      </c>
      <c r="J687" s="108" t="s">
        <v>1690</v>
      </c>
      <c r="K687" s="57">
        <v>30</v>
      </c>
      <c r="L687" s="58">
        <v>30</v>
      </c>
    </row>
    <row r="688" spans="1:12" s="13" customFormat="1" ht="15">
      <c r="A688" s="105">
        <v>654</v>
      </c>
      <c r="B688" s="106" t="s">
        <v>1896</v>
      </c>
      <c r="C688" s="106"/>
      <c r="D688" s="8" t="str">
        <f>"9056450160"</f>
        <v>9056450160</v>
      </c>
      <c r="E688" s="189" t="s">
        <v>361</v>
      </c>
      <c r="F688" s="106"/>
      <c r="G688" s="106" t="s">
        <v>1378</v>
      </c>
      <c r="H688" s="107">
        <v>4100</v>
      </c>
      <c r="I688" s="8" t="s">
        <v>1340</v>
      </c>
      <c r="J688" s="108" t="s">
        <v>1690</v>
      </c>
      <c r="K688" s="57">
        <v>30</v>
      </c>
      <c r="L688" s="58">
        <v>30</v>
      </c>
    </row>
    <row r="689" spans="1:12" s="13" customFormat="1" ht="15">
      <c r="A689" s="105">
        <v>655</v>
      </c>
      <c r="B689" s="106" t="s">
        <v>1896</v>
      </c>
      <c r="C689" s="106"/>
      <c r="D689" s="8" t="str">
        <f>"9056450162"</f>
        <v>9056450162</v>
      </c>
      <c r="E689" s="189" t="s">
        <v>361</v>
      </c>
      <c r="F689" s="106"/>
      <c r="G689" s="106" t="s">
        <v>1379</v>
      </c>
      <c r="H689" s="107">
        <v>4100</v>
      </c>
      <c r="I689" s="8" t="s">
        <v>1340</v>
      </c>
      <c r="J689" s="108" t="s">
        <v>1690</v>
      </c>
      <c r="K689" s="57">
        <v>30</v>
      </c>
      <c r="L689" s="58">
        <v>30</v>
      </c>
    </row>
    <row r="690" spans="1:12" s="13" customFormat="1" ht="15">
      <c r="A690" s="105">
        <v>656</v>
      </c>
      <c r="B690" s="106" t="s">
        <v>1896</v>
      </c>
      <c r="C690" s="106"/>
      <c r="D690" s="8" t="str">
        <f>"9056450164"</f>
        <v>9056450164</v>
      </c>
      <c r="E690" s="189" t="s">
        <v>361</v>
      </c>
      <c r="F690" s="106"/>
      <c r="G690" s="106" t="s">
        <v>1380</v>
      </c>
      <c r="H690" s="107">
        <v>4100</v>
      </c>
      <c r="I690" s="8" t="s">
        <v>1340</v>
      </c>
      <c r="J690" s="108" t="s">
        <v>1690</v>
      </c>
      <c r="K690" s="57">
        <v>30</v>
      </c>
      <c r="L690" s="58">
        <v>30</v>
      </c>
    </row>
    <row r="691" spans="1:12" s="13" customFormat="1" ht="15">
      <c r="A691" s="105">
        <v>657</v>
      </c>
      <c r="B691" s="106" t="s">
        <v>1896</v>
      </c>
      <c r="C691" s="106"/>
      <c r="D691" s="8" t="str">
        <f>"9056450166"</f>
        <v>9056450166</v>
      </c>
      <c r="E691" s="189" t="s">
        <v>361</v>
      </c>
      <c r="F691" s="106"/>
      <c r="G691" s="106" t="s">
        <v>1381</v>
      </c>
      <c r="H691" s="107">
        <v>4100</v>
      </c>
      <c r="I691" s="8" t="s">
        <v>1340</v>
      </c>
      <c r="J691" s="108" t="s">
        <v>1690</v>
      </c>
      <c r="K691" s="57">
        <v>30</v>
      </c>
      <c r="L691" s="58">
        <v>30</v>
      </c>
    </row>
    <row r="692" spans="1:12" s="13" customFormat="1" ht="15">
      <c r="A692" s="105">
        <v>658</v>
      </c>
      <c r="B692" s="106" t="s">
        <v>1896</v>
      </c>
      <c r="C692" s="106"/>
      <c r="D692" s="8" t="str">
        <f>"9056450168"</f>
        <v>9056450168</v>
      </c>
      <c r="E692" s="189" t="s">
        <v>361</v>
      </c>
      <c r="F692" s="106"/>
      <c r="G692" s="106" t="s">
        <v>1389</v>
      </c>
      <c r="H692" s="107">
        <v>4100</v>
      </c>
      <c r="I692" s="8" t="s">
        <v>1340</v>
      </c>
      <c r="J692" s="108" t="s">
        <v>1690</v>
      </c>
      <c r="K692" s="57">
        <v>30</v>
      </c>
      <c r="L692" s="58">
        <v>30</v>
      </c>
    </row>
    <row r="693" spans="1:12" s="13" customFormat="1" ht="15">
      <c r="A693" s="105">
        <v>659</v>
      </c>
      <c r="B693" s="106" t="s">
        <v>1896</v>
      </c>
      <c r="C693" s="106"/>
      <c r="D693" s="8" t="str">
        <f>"9056450170"</f>
        <v>9056450170</v>
      </c>
      <c r="E693" s="189" t="s">
        <v>361</v>
      </c>
      <c r="F693" s="106"/>
      <c r="G693" s="106" t="s">
        <v>1390</v>
      </c>
      <c r="H693" s="107">
        <v>4100</v>
      </c>
      <c r="I693" s="8" t="s">
        <v>1340</v>
      </c>
      <c r="J693" s="108" t="s">
        <v>1690</v>
      </c>
      <c r="K693" s="57">
        <v>30</v>
      </c>
      <c r="L693" s="58">
        <v>30</v>
      </c>
    </row>
    <row r="694" spans="1:12" s="13" customFormat="1" ht="15">
      <c r="A694" s="105">
        <v>660</v>
      </c>
      <c r="B694" s="106" t="s">
        <v>1896</v>
      </c>
      <c r="C694" s="106"/>
      <c r="D694" s="8" t="str">
        <f>"9056450172"</f>
        <v>9056450172</v>
      </c>
      <c r="E694" s="189" t="s">
        <v>361</v>
      </c>
      <c r="F694" s="106"/>
      <c r="G694" s="106" t="s">
        <v>1391</v>
      </c>
      <c r="H694" s="107">
        <v>4100</v>
      </c>
      <c r="I694" s="8" t="s">
        <v>1340</v>
      </c>
      <c r="J694" s="108" t="s">
        <v>1690</v>
      </c>
      <c r="K694" s="57">
        <v>30</v>
      </c>
      <c r="L694" s="58">
        <v>30</v>
      </c>
    </row>
    <row r="695" spans="1:12" s="13" customFormat="1" ht="15">
      <c r="A695" s="105">
        <v>661</v>
      </c>
      <c r="B695" s="106" t="s">
        <v>1896</v>
      </c>
      <c r="C695" s="106"/>
      <c r="D695" s="8" t="str">
        <f>"9056450184"</f>
        <v>9056450184</v>
      </c>
      <c r="E695" s="189" t="s">
        <v>361</v>
      </c>
      <c r="F695" s="106"/>
      <c r="G695" s="106" t="s">
        <v>1392</v>
      </c>
      <c r="H695" s="107">
        <v>4100</v>
      </c>
      <c r="I695" s="8" t="s">
        <v>1340</v>
      </c>
      <c r="J695" s="108" t="s">
        <v>1690</v>
      </c>
      <c r="K695" s="57">
        <v>30</v>
      </c>
      <c r="L695" s="58">
        <v>30</v>
      </c>
    </row>
    <row r="696" spans="1:12" s="13" customFormat="1" ht="15">
      <c r="A696" s="105">
        <v>662</v>
      </c>
      <c r="B696" s="106" t="s">
        <v>1896</v>
      </c>
      <c r="C696" s="106"/>
      <c r="D696" s="8" t="str">
        <f>"9056450185"</f>
        <v>9056450185</v>
      </c>
      <c r="E696" s="189" t="s">
        <v>361</v>
      </c>
      <c r="F696" s="106"/>
      <c r="G696" s="106" t="s">
        <v>1393</v>
      </c>
      <c r="H696" s="107">
        <v>4100</v>
      </c>
      <c r="I696" s="8" t="s">
        <v>1340</v>
      </c>
      <c r="J696" s="108" t="s">
        <v>1690</v>
      </c>
      <c r="K696" s="57">
        <v>30</v>
      </c>
      <c r="L696" s="58">
        <v>30</v>
      </c>
    </row>
    <row r="697" spans="1:12" s="13" customFormat="1" ht="15">
      <c r="A697" s="105">
        <v>663</v>
      </c>
      <c r="B697" s="106" t="s">
        <v>1896</v>
      </c>
      <c r="C697" s="106"/>
      <c r="D697" s="8" t="str">
        <f>"9056450186"</f>
        <v>9056450186</v>
      </c>
      <c r="E697" s="189" t="s">
        <v>361</v>
      </c>
      <c r="F697" s="106"/>
      <c r="G697" s="106" t="s">
        <v>1394</v>
      </c>
      <c r="H697" s="107">
        <v>4100</v>
      </c>
      <c r="I697" s="8" t="s">
        <v>1340</v>
      </c>
      <c r="J697" s="108" t="s">
        <v>1690</v>
      </c>
      <c r="K697" s="57">
        <v>30</v>
      </c>
      <c r="L697" s="58">
        <v>30</v>
      </c>
    </row>
    <row r="698" spans="1:12" s="13" customFormat="1" ht="15">
      <c r="A698" s="105">
        <v>664</v>
      </c>
      <c r="B698" s="106" t="s">
        <v>1896</v>
      </c>
      <c r="C698" s="106"/>
      <c r="D698" s="8" t="str">
        <f>"9056450187"</f>
        <v>9056450187</v>
      </c>
      <c r="E698" s="189" t="s">
        <v>361</v>
      </c>
      <c r="F698" s="106"/>
      <c r="G698" s="106" t="s">
        <v>1395</v>
      </c>
      <c r="H698" s="107">
        <v>4100</v>
      </c>
      <c r="I698" s="8" t="s">
        <v>1340</v>
      </c>
      <c r="J698" s="108" t="s">
        <v>1690</v>
      </c>
      <c r="K698" s="57">
        <v>30</v>
      </c>
      <c r="L698" s="58">
        <v>30</v>
      </c>
    </row>
    <row r="699" spans="1:12" s="13" customFormat="1" ht="15">
      <c r="A699" s="105">
        <v>665</v>
      </c>
      <c r="B699" s="106" t="s">
        <v>1896</v>
      </c>
      <c r="C699" s="106"/>
      <c r="D699" s="8" t="str">
        <f>"9056450188"</f>
        <v>9056450188</v>
      </c>
      <c r="E699" s="189" t="s">
        <v>361</v>
      </c>
      <c r="F699" s="106"/>
      <c r="G699" s="106" t="s">
        <v>1396</v>
      </c>
      <c r="H699" s="107">
        <v>4100</v>
      </c>
      <c r="I699" s="8" t="s">
        <v>1340</v>
      </c>
      <c r="J699" s="108" t="s">
        <v>1690</v>
      </c>
      <c r="K699" s="57">
        <v>30</v>
      </c>
      <c r="L699" s="58">
        <v>30</v>
      </c>
    </row>
    <row r="700" spans="1:12" s="13" customFormat="1" ht="15">
      <c r="A700" s="105">
        <v>666</v>
      </c>
      <c r="B700" s="106" t="s">
        <v>1896</v>
      </c>
      <c r="C700" s="106"/>
      <c r="D700" s="8" t="str">
        <f>"9056450189"</f>
        <v>9056450189</v>
      </c>
      <c r="E700" s="189" t="s">
        <v>361</v>
      </c>
      <c r="F700" s="106"/>
      <c r="G700" s="106" t="s">
        <v>1397</v>
      </c>
      <c r="H700" s="107">
        <v>4100</v>
      </c>
      <c r="I700" s="8" t="s">
        <v>1340</v>
      </c>
      <c r="J700" s="108" t="s">
        <v>1690</v>
      </c>
      <c r="K700" s="57">
        <v>30</v>
      </c>
      <c r="L700" s="58">
        <v>30</v>
      </c>
    </row>
    <row r="701" spans="1:12" s="13" customFormat="1" ht="15">
      <c r="A701" s="105">
        <v>667</v>
      </c>
      <c r="B701" s="106" t="s">
        <v>1896</v>
      </c>
      <c r="C701" s="106"/>
      <c r="D701" s="8" t="str">
        <f>"9056450190"</f>
        <v>9056450190</v>
      </c>
      <c r="E701" s="189" t="s">
        <v>361</v>
      </c>
      <c r="F701" s="106"/>
      <c r="G701" s="106" t="s">
        <v>1398</v>
      </c>
      <c r="H701" s="107">
        <v>4100</v>
      </c>
      <c r="I701" s="8" t="s">
        <v>1340</v>
      </c>
      <c r="J701" s="108" t="s">
        <v>1690</v>
      </c>
      <c r="K701" s="57">
        <v>30</v>
      </c>
      <c r="L701" s="58">
        <v>30</v>
      </c>
    </row>
    <row r="702" spans="1:12" s="13" customFormat="1" ht="15">
      <c r="A702" s="105">
        <v>668</v>
      </c>
      <c r="B702" s="106" t="s">
        <v>1896</v>
      </c>
      <c r="C702" s="106"/>
      <c r="D702" s="8" t="str">
        <f>"9056450191"</f>
        <v>9056450191</v>
      </c>
      <c r="E702" s="189" t="s">
        <v>361</v>
      </c>
      <c r="F702" s="106"/>
      <c r="G702" s="106" t="s">
        <v>1399</v>
      </c>
      <c r="H702" s="107">
        <v>4100</v>
      </c>
      <c r="I702" s="8" t="s">
        <v>1340</v>
      </c>
      <c r="J702" s="108" t="s">
        <v>1690</v>
      </c>
      <c r="K702" s="57">
        <v>30</v>
      </c>
      <c r="L702" s="58">
        <v>30</v>
      </c>
    </row>
    <row r="703" spans="1:12" s="13" customFormat="1" ht="15">
      <c r="A703" s="105">
        <v>669</v>
      </c>
      <c r="B703" s="106" t="s">
        <v>1896</v>
      </c>
      <c r="C703" s="106"/>
      <c r="D703" s="8" t="str">
        <f>"9056450192"</f>
        <v>9056450192</v>
      </c>
      <c r="E703" s="189" t="s">
        <v>361</v>
      </c>
      <c r="F703" s="106"/>
      <c r="G703" s="106" t="s">
        <v>1400</v>
      </c>
      <c r="H703" s="107">
        <v>4100</v>
      </c>
      <c r="I703" s="8" t="s">
        <v>1340</v>
      </c>
      <c r="J703" s="108" t="s">
        <v>1690</v>
      </c>
      <c r="K703" s="57">
        <v>30</v>
      </c>
      <c r="L703" s="58">
        <v>30</v>
      </c>
    </row>
    <row r="704" spans="1:12" s="13" customFormat="1" ht="15">
      <c r="A704" s="105">
        <v>670</v>
      </c>
      <c r="B704" s="106" t="s">
        <v>1896</v>
      </c>
      <c r="C704" s="106"/>
      <c r="D704" s="8" t="str">
        <f>"9056450193"</f>
        <v>9056450193</v>
      </c>
      <c r="E704" s="189" t="s">
        <v>361</v>
      </c>
      <c r="F704" s="106"/>
      <c r="G704" s="106" t="s">
        <v>1401</v>
      </c>
      <c r="H704" s="107">
        <v>4100</v>
      </c>
      <c r="I704" s="8" t="s">
        <v>1340</v>
      </c>
      <c r="J704" s="108" t="s">
        <v>1690</v>
      </c>
      <c r="K704" s="57">
        <v>30</v>
      </c>
      <c r="L704" s="58">
        <v>30</v>
      </c>
    </row>
    <row r="705" spans="1:12" s="13" customFormat="1" ht="15">
      <c r="A705" s="105">
        <v>671</v>
      </c>
      <c r="B705" s="106" t="s">
        <v>1896</v>
      </c>
      <c r="C705" s="106"/>
      <c r="D705" s="8" t="str">
        <f>"9056450194"</f>
        <v>9056450194</v>
      </c>
      <c r="E705" s="189" t="s">
        <v>361</v>
      </c>
      <c r="F705" s="106"/>
      <c r="G705" s="106" t="s">
        <v>1402</v>
      </c>
      <c r="H705" s="107">
        <v>4100</v>
      </c>
      <c r="I705" s="8" t="s">
        <v>1340</v>
      </c>
      <c r="J705" s="108" t="s">
        <v>1690</v>
      </c>
      <c r="K705" s="57">
        <v>30</v>
      </c>
      <c r="L705" s="58">
        <v>30</v>
      </c>
    </row>
    <row r="706" spans="1:12" s="13" customFormat="1" ht="15">
      <c r="A706" s="105">
        <v>672</v>
      </c>
      <c r="B706" s="106" t="s">
        <v>1896</v>
      </c>
      <c r="C706" s="106"/>
      <c r="D706" s="8" t="str">
        <f>"9056450195"</f>
        <v>9056450195</v>
      </c>
      <c r="E706" s="189" t="s">
        <v>361</v>
      </c>
      <c r="F706" s="106"/>
      <c r="G706" s="106" t="s">
        <v>1403</v>
      </c>
      <c r="H706" s="107">
        <v>4100</v>
      </c>
      <c r="I706" s="8" t="s">
        <v>1340</v>
      </c>
      <c r="J706" s="108" t="s">
        <v>1690</v>
      </c>
      <c r="K706" s="57">
        <v>30</v>
      </c>
      <c r="L706" s="58">
        <v>30</v>
      </c>
    </row>
    <row r="707" spans="1:12" s="13" customFormat="1" ht="15">
      <c r="A707" s="105">
        <v>673</v>
      </c>
      <c r="B707" s="106" t="s">
        <v>1896</v>
      </c>
      <c r="C707" s="106"/>
      <c r="D707" s="8" t="str">
        <f>"9056450196"</f>
        <v>9056450196</v>
      </c>
      <c r="E707" s="189" t="s">
        <v>361</v>
      </c>
      <c r="F707" s="106"/>
      <c r="G707" s="106" t="s">
        <v>1404</v>
      </c>
      <c r="H707" s="107">
        <v>4100</v>
      </c>
      <c r="I707" s="8" t="s">
        <v>1340</v>
      </c>
      <c r="J707" s="108" t="s">
        <v>1690</v>
      </c>
      <c r="K707" s="57">
        <v>30</v>
      </c>
      <c r="L707" s="58">
        <v>30</v>
      </c>
    </row>
    <row r="708" spans="1:12" s="13" customFormat="1" ht="15">
      <c r="A708" s="105">
        <v>674</v>
      </c>
      <c r="B708" s="106" t="s">
        <v>1896</v>
      </c>
      <c r="C708" s="106"/>
      <c r="D708" s="8" t="str">
        <f>"9056450197"</f>
        <v>9056450197</v>
      </c>
      <c r="E708" s="189" t="s">
        <v>361</v>
      </c>
      <c r="F708" s="106"/>
      <c r="G708" s="106" t="s">
        <v>1405</v>
      </c>
      <c r="H708" s="107">
        <v>4100</v>
      </c>
      <c r="I708" s="8" t="s">
        <v>1340</v>
      </c>
      <c r="J708" s="108" t="s">
        <v>1690</v>
      </c>
      <c r="K708" s="57">
        <v>30</v>
      </c>
      <c r="L708" s="58">
        <v>30</v>
      </c>
    </row>
    <row r="709" spans="1:12" s="13" customFormat="1" ht="15">
      <c r="A709" s="105">
        <v>675</v>
      </c>
      <c r="B709" s="106" t="s">
        <v>1896</v>
      </c>
      <c r="C709" s="106"/>
      <c r="D709" s="8" t="str">
        <f>"9056450198"</f>
        <v>9056450198</v>
      </c>
      <c r="E709" s="189" t="s">
        <v>361</v>
      </c>
      <c r="F709" s="106"/>
      <c r="G709" s="106" t="s">
        <v>1406</v>
      </c>
      <c r="H709" s="107">
        <v>4100</v>
      </c>
      <c r="I709" s="8" t="s">
        <v>1340</v>
      </c>
      <c r="J709" s="108" t="s">
        <v>1690</v>
      </c>
      <c r="K709" s="57">
        <v>30</v>
      </c>
      <c r="L709" s="58">
        <v>30</v>
      </c>
    </row>
    <row r="710" spans="1:12" s="13" customFormat="1" ht="15">
      <c r="A710" s="105">
        <v>676</v>
      </c>
      <c r="B710" s="106" t="s">
        <v>1896</v>
      </c>
      <c r="C710" s="106"/>
      <c r="D710" s="8" t="str">
        <f>"9056450199"</f>
        <v>9056450199</v>
      </c>
      <c r="E710" s="189" t="s">
        <v>361</v>
      </c>
      <c r="F710" s="106"/>
      <c r="G710" s="106" t="s">
        <v>1407</v>
      </c>
      <c r="H710" s="107">
        <v>4100</v>
      </c>
      <c r="I710" s="8" t="s">
        <v>1340</v>
      </c>
      <c r="J710" s="108" t="s">
        <v>1690</v>
      </c>
      <c r="K710" s="57">
        <v>30</v>
      </c>
      <c r="L710" s="58">
        <v>30</v>
      </c>
    </row>
    <row r="711" spans="1:12" s="13" customFormat="1" ht="15">
      <c r="A711" s="105">
        <v>677</v>
      </c>
      <c r="B711" s="106" t="s">
        <v>1896</v>
      </c>
      <c r="C711" s="106"/>
      <c r="D711" s="8" t="str">
        <f>"9056450200"</f>
        <v>9056450200</v>
      </c>
      <c r="E711" s="189" t="s">
        <v>361</v>
      </c>
      <c r="F711" s="106"/>
      <c r="G711" s="106" t="s">
        <v>1408</v>
      </c>
      <c r="H711" s="107">
        <v>4100</v>
      </c>
      <c r="I711" s="8" t="s">
        <v>1340</v>
      </c>
      <c r="J711" s="108" t="s">
        <v>1690</v>
      </c>
      <c r="K711" s="57">
        <v>30</v>
      </c>
      <c r="L711" s="58">
        <v>30</v>
      </c>
    </row>
    <row r="712" spans="1:12" s="13" customFormat="1" ht="15">
      <c r="A712" s="105">
        <v>678</v>
      </c>
      <c r="B712" s="106" t="s">
        <v>1896</v>
      </c>
      <c r="C712" s="106"/>
      <c r="D712" s="8" t="str">
        <f>"9056450201"</f>
        <v>9056450201</v>
      </c>
      <c r="E712" s="189" t="s">
        <v>361</v>
      </c>
      <c r="F712" s="106"/>
      <c r="G712" s="106" t="s">
        <v>1409</v>
      </c>
      <c r="H712" s="107">
        <v>4100</v>
      </c>
      <c r="I712" s="8" t="s">
        <v>1340</v>
      </c>
      <c r="J712" s="108" t="s">
        <v>1690</v>
      </c>
      <c r="K712" s="57">
        <v>30</v>
      </c>
      <c r="L712" s="58">
        <v>30</v>
      </c>
    </row>
    <row r="713" spans="1:12" s="13" customFormat="1" ht="15">
      <c r="A713" s="105">
        <v>679</v>
      </c>
      <c r="B713" s="106" t="s">
        <v>1896</v>
      </c>
      <c r="C713" s="106"/>
      <c r="D713" s="8" t="str">
        <f>"9056450202"</f>
        <v>9056450202</v>
      </c>
      <c r="E713" s="189" t="s">
        <v>361</v>
      </c>
      <c r="F713" s="106"/>
      <c r="G713" s="106" t="s">
        <v>1410</v>
      </c>
      <c r="H713" s="107">
        <v>4100</v>
      </c>
      <c r="I713" s="8" t="s">
        <v>1340</v>
      </c>
      <c r="J713" s="108" t="s">
        <v>1690</v>
      </c>
      <c r="K713" s="57">
        <v>30</v>
      </c>
      <c r="L713" s="58">
        <v>30</v>
      </c>
    </row>
    <row r="714" spans="1:12" s="13" customFormat="1" ht="15">
      <c r="A714" s="105">
        <v>680</v>
      </c>
      <c r="B714" s="106" t="s">
        <v>1896</v>
      </c>
      <c r="C714" s="106"/>
      <c r="D714" s="8" t="str">
        <f>"9056450203"</f>
        <v>9056450203</v>
      </c>
      <c r="E714" s="189" t="s">
        <v>361</v>
      </c>
      <c r="F714" s="106"/>
      <c r="G714" s="106" t="s">
        <v>1411</v>
      </c>
      <c r="H714" s="107">
        <v>4100</v>
      </c>
      <c r="I714" s="8" t="s">
        <v>1340</v>
      </c>
      <c r="J714" s="108" t="s">
        <v>1690</v>
      </c>
      <c r="K714" s="57">
        <v>30</v>
      </c>
      <c r="L714" s="58">
        <v>30</v>
      </c>
    </row>
    <row r="715" spans="1:12" s="13" customFormat="1" ht="15">
      <c r="A715" s="105">
        <v>681</v>
      </c>
      <c r="B715" s="106" t="s">
        <v>1896</v>
      </c>
      <c r="C715" s="106"/>
      <c r="D715" s="8" t="str">
        <f>"9056450204"</f>
        <v>9056450204</v>
      </c>
      <c r="E715" s="189" t="s">
        <v>361</v>
      </c>
      <c r="F715" s="106"/>
      <c r="G715" s="106" t="s">
        <v>1412</v>
      </c>
      <c r="H715" s="107">
        <v>4100</v>
      </c>
      <c r="I715" s="8" t="s">
        <v>1340</v>
      </c>
      <c r="J715" s="108" t="s">
        <v>1690</v>
      </c>
      <c r="K715" s="57">
        <v>30</v>
      </c>
      <c r="L715" s="58">
        <v>30</v>
      </c>
    </row>
    <row r="716" spans="1:12" s="13" customFormat="1" ht="15">
      <c r="A716" s="105">
        <v>682</v>
      </c>
      <c r="B716" s="106" t="s">
        <v>1896</v>
      </c>
      <c r="C716" s="106"/>
      <c r="D716" s="8" t="str">
        <f>"9056450205"</f>
        <v>9056450205</v>
      </c>
      <c r="E716" s="189" t="s">
        <v>361</v>
      </c>
      <c r="F716" s="106"/>
      <c r="G716" s="106" t="s">
        <v>1413</v>
      </c>
      <c r="H716" s="107">
        <v>4100</v>
      </c>
      <c r="I716" s="8" t="s">
        <v>1340</v>
      </c>
      <c r="J716" s="108" t="s">
        <v>1690</v>
      </c>
      <c r="K716" s="57">
        <v>30</v>
      </c>
      <c r="L716" s="58">
        <v>30</v>
      </c>
    </row>
    <row r="717" spans="1:12" s="13" customFormat="1" ht="15">
      <c r="A717" s="105">
        <v>683</v>
      </c>
      <c r="B717" s="106" t="s">
        <v>1896</v>
      </c>
      <c r="C717" s="106"/>
      <c r="D717" s="8" t="str">
        <f>"9056450206"</f>
        <v>9056450206</v>
      </c>
      <c r="E717" s="189" t="s">
        <v>361</v>
      </c>
      <c r="F717" s="106"/>
      <c r="G717" s="106" t="s">
        <v>1414</v>
      </c>
      <c r="H717" s="107">
        <v>4100</v>
      </c>
      <c r="I717" s="8" t="s">
        <v>1340</v>
      </c>
      <c r="J717" s="108" t="s">
        <v>1690</v>
      </c>
      <c r="K717" s="57">
        <v>30</v>
      </c>
      <c r="L717" s="58">
        <v>30</v>
      </c>
    </row>
    <row r="718" spans="1:12" s="13" customFormat="1" ht="15">
      <c r="A718" s="105">
        <v>684</v>
      </c>
      <c r="B718" s="106" t="s">
        <v>1896</v>
      </c>
      <c r="C718" s="106"/>
      <c r="D718" s="8" t="str">
        <f>"9056450207"</f>
        <v>9056450207</v>
      </c>
      <c r="E718" s="189" t="s">
        <v>361</v>
      </c>
      <c r="F718" s="106"/>
      <c r="G718" s="106" t="s">
        <v>1415</v>
      </c>
      <c r="H718" s="107">
        <v>4100</v>
      </c>
      <c r="I718" s="8" t="s">
        <v>1340</v>
      </c>
      <c r="J718" s="108" t="s">
        <v>1690</v>
      </c>
      <c r="K718" s="57">
        <v>30</v>
      </c>
      <c r="L718" s="58">
        <v>30</v>
      </c>
    </row>
    <row r="719" spans="1:12" s="13" customFormat="1" ht="15">
      <c r="A719" s="105">
        <v>685</v>
      </c>
      <c r="B719" s="106" t="s">
        <v>1896</v>
      </c>
      <c r="C719" s="106"/>
      <c r="D719" s="8" t="str">
        <f>"9056450208"</f>
        <v>9056450208</v>
      </c>
      <c r="E719" s="189" t="s">
        <v>361</v>
      </c>
      <c r="F719" s="106"/>
      <c r="G719" s="106" t="s">
        <v>1416</v>
      </c>
      <c r="H719" s="107">
        <v>4100</v>
      </c>
      <c r="I719" s="8" t="s">
        <v>1340</v>
      </c>
      <c r="J719" s="108" t="s">
        <v>1690</v>
      </c>
      <c r="K719" s="57">
        <v>30</v>
      </c>
      <c r="L719" s="58">
        <v>30</v>
      </c>
    </row>
    <row r="720" spans="1:12" s="13" customFormat="1" ht="15">
      <c r="A720" s="105">
        <v>686</v>
      </c>
      <c r="B720" s="106" t="s">
        <v>1896</v>
      </c>
      <c r="C720" s="106"/>
      <c r="D720" s="8" t="str">
        <f>"9056450209"</f>
        <v>9056450209</v>
      </c>
      <c r="E720" s="189" t="s">
        <v>361</v>
      </c>
      <c r="F720" s="106"/>
      <c r="G720" s="106" t="s">
        <v>1417</v>
      </c>
      <c r="H720" s="107">
        <v>4100</v>
      </c>
      <c r="I720" s="8" t="s">
        <v>1340</v>
      </c>
      <c r="J720" s="108" t="s">
        <v>1690</v>
      </c>
      <c r="K720" s="57">
        <v>30</v>
      </c>
      <c r="L720" s="58">
        <v>30</v>
      </c>
    </row>
    <row r="721" spans="1:12" s="13" customFormat="1" ht="15">
      <c r="A721" s="105">
        <v>687</v>
      </c>
      <c r="B721" s="106" t="s">
        <v>1896</v>
      </c>
      <c r="C721" s="106"/>
      <c r="D721" s="8" t="str">
        <f>"9056450210"</f>
        <v>9056450210</v>
      </c>
      <c r="E721" s="189" t="s">
        <v>361</v>
      </c>
      <c r="F721" s="106"/>
      <c r="G721" s="106" t="s">
        <v>1418</v>
      </c>
      <c r="H721" s="107">
        <v>4100</v>
      </c>
      <c r="I721" s="8" t="s">
        <v>1340</v>
      </c>
      <c r="J721" s="108" t="s">
        <v>1690</v>
      </c>
      <c r="K721" s="57">
        <v>30</v>
      </c>
      <c r="L721" s="58">
        <v>30</v>
      </c>
    </row>
    <row r="722" spans="1:12" s="13" customFormat="1" ht="15">
      <c r="A722" s="105">
        <v>688</v>
      </c>
      <c r="B722" s="106" t="s">
        <v>1896</v>
      </c>
      <c r="C722" s="106"/>
      <c r="D722" s="8" t="str">
        <f>"9056450211"</f>
        <v>9056450211</v>
      </c>
      <c r="E722" s="189" t="s">
        <v>361</v>
      </c>
      <c r="F722" s="106"/>
      <c r="G722" s="106" t="s">
        <v>1419</v>
      </c>
      <c r="H722" s="107">
        <v>4100</v>
      </c>
      <c r="I722" s="8" t="s">
        <v>1340</v>
      </c>
      <c r="J722" s="108" t="s">
        <v>1690</v>
      </c>
      <c r="K722" s="57">
        <v>30</v>
      </c>
      <c r="L722" s="58">
        <v>30</v>
      </c>
    </row>
    <row r="723" spans="1:12" s="13" customFormat="1" ht="15">
      <c r="A723" s="105">
        <v>689</v>
      </c>
      <c r="B723" s="106" t="s">
        <v>1896</v>
      </c>
      <c r="C723" s="106"/>
      <c r="D723" s="8" t="str">
        <f>"9056450212"</f>
        <v>9056450212</v>
      </c>
      <c r="E723" s="189" t="s">
        <v>361</v>
      </c>
      <c r="F723" s="106"/>
      <c r="G723" s="106" t="s">
        <v>1420</v>
      </c>
      <c r="H723" s="107">
        <v>4100</v>
      </c>
      <c r="I723" s="8" t="s">
        <v>1340</v>
      </c>
      <c r="J723" s="108" t="s">
        <v>1690</v>
      </c>
      <c r="K723" s="57">
        <v>30</v>
      </c>
      <c r="L723" s="58">
        <v>30</v>
      </c>
    </row>
    <row r="724" spans="1:12" s="13" customFormat="1" ht="15">
      <c r="A724" s="105">
        <v>690</v>
      </c>
      <c r="B724" s="106" t="s">
        <v>1896</v>
      </c>
      <c r="C724" s="106"/>
      <c r="D724" s="8" t="str">
        <f>"9056450213"</f>
        <v>9056450213</v>
      </c>
      <c r="E724" s="189" t="s">
        <v>361</v>
      </c>
      <c r="F724" s="106"/>
      <c r="G724" s="106" t="s">
        <v>1421</v>
      </c>
      <c r="H724" s="107">
        <v>4100</v>
      </c>
      <c r="I724" s="8" t="s">
        <v>1340</v>
      </c>
      <c r="J724" s="108" t="s">
        <v>1690</v>
      </c>
      <c r="K724" s="57">
        <v>30</v>
      </c>
      <c r="L724" s="58">
        <v>30</v>
      </c>
    </row>
    <row r="725" spans="1:12" s="13" customFormat="1" ht="15">
      <c r="A725" s="105">
        <v>691</v>
      </c>
      <c r="B725" s="106" t="s">
        <v>1896</v>
      </c>
      <c r="C725" s="106"/>
      <c r="D725" s="8" t="str">
        <f>"9056450214"</f>
        <v>9056450214</v>
      </c>
      <c r="E725" s="189" t="s">
        <v>361</v>
      </c>
      <c r="F725" s="106"/>
      <c r="G725" s="106" t="s">
        <v>1422</v>
      </c>
      <c r="H725" s="107">
        <v>4100</v>
      </c>
      <c r="I725" s="8" t="s">
        <v>1340</v>
      </c>
      <c r="J725" s="108" t="s">
        <v>1690</v>
      </c>
      <c r="K725" s="57">
        <v>30</v>
      </c>
      <c r="L725" s="58">
        <v>30</v>
      </c>
    </row>
    <row r="726" spans="1:12" s="13" customFormat="1" ht="15">
      <c r="A726" s="105">
        <v>692</v>
      </c>
      <c r="B726" s="106" t="s">
        <v>1896</v>
      </c>
      <c r="C726" s="106"/>
      <c r="D726" s="8" t="str">
        <f>"9056450215"</f>
        <v>9056450215</v>
      </c>
      <c r="E726" s="189" t="s">
        <v>361</v>
      </c>
      <c r="F726" s="106"/>
      <c r="G726" s="106" t="s">
        <v>1423</v>
      </c>
      <c r="H726" s="107">
        <v>4100</v>
      </c>
      <c r="I726" s="8" t="s">
        <v>1340</v>
      </c>
      <c r="J726" s="108" t="s">
        <v>1690</v>
      </c>
      <c r="K726" s="57">
        <v>30</v>
      </c>
      <c r="L726" s="58">
        <v>30</v>
      </c>
    </row>
    <row r="727" spans="1:12" s="13" customFormat="1" ht="15">
      <c r="A727" s="105">
        <v>693</v>
      </c>
      <c r="B727" s="106" t="s">
        <v>1896</v>
      </c>
      <c r="C727" s="106"/>
      <c r="D727" s="8" t="str">
        <f>"9056450216"</f>
        <v>9056450216</v>
      </c>
      <c r="E727" s="189" t="s">
        <v>361</v>
      </c>
      <c r="F727" s="106"/>
      <c r="G727" s="106" t="s">
        <v>1424</v>
      </c>
      <c r="H727" s="107">
        <v>4100</v>
      </c>
      <c r="I727" s="8" t="s">
        <v>1340</v>
      </c>
      <c r="J727" s="108" t="s">
        <v>1690</v>
      </c>
      <c r="K727" s="57">
        <v>30</v>
      </c>
      <c r="L727" s="58">
        <v>30</v>
      </c>
    </row>
    <row r="728" spans="1:12" s="13" customFormat="1" ht="15">
      <c r="A728" s="105">
        <v>694</v>
      </c>
      <c r="B728" s="106" t="s">
        <v>1896</v>
      </c>
      <c r="C728" s="106"/>
      <c r="D728" s="8" t="str">
        <f>"9056450217"</f>
        <v>9056450217</v>
      </c>
      <c r="E728" s="189" t="s">
        <v>361</v>
      </c>
      <c r="F728" s="106"/>
      <c r="G728" s="106" t="s">
        <v>1425</v>
      </c>
      <c r="H728" s="107">
        <v>4100</v>
      </c>
      <c r="I728" s="8" t="s">
        <v>1340</v>
      </c>
      <c r="J728" s="108" t="s">
        <v>1690</v>
      </c>
      <c r="K728" s="57">
        <v>30</v>
      </c>
      <c r="L728" s="58">
        <v>30</v>
      </c>
    </row>
    <row r="729" spans="1:12" s="13" customFormat="1" ht="15">
      <c r="A729" s="105">
        <v>695</v>
      </c>
      <c r="B729" s="106" t="s">
        <v>1896</v>
      </c>
      <c r="C729" s="106"/>
      <c r="D729" s="8" t="str">
        <f>"9056450218"</f>
        <v>9056450218</v>
      </c>
      <c r="E729" s="189" t="s">
        <v>361</v>
      </c>
      <c r="F729" s="106"/>
      <c r="G729" s="106" t="s">
        <v>1426</v>
      </c>
      <c r="H729" s="107">
        <v>4100</v>
      </c>
      <c r="I729" s="8" t="s">
        <v>1340</v>
      </c>
      <c r="J729" s="108" t="s">
        <v>1690</v>
      </c>
      <c r="K729" s="57">
        <v>30</v>
      </c>
      <c r="L729" s="58">
        <v>30</v>
      </c>
    </row>
    <row r="730" spans="1:12" s="13" customFormat="1" ht="15">
      <c r="A730" s="105">
        <v>696</v>
      </c>
      <c r="B730" s="106" t="s">
        <v>1896</v>
      </c>
      <c r="C730" s="106"/>
      <c r="D730" s="8" t="str">
        <f>"9056450219"</f>
        <v>9056450219</v>
      </c>
      <c r="E730" s="189" t="s">
        <v>361</v>
      </c>
      <c r="F730" s="106"/>
      <c r="G730" s="106" t="s">
        <v>1427</v>
      </c>
      <c r="H730" s="107">
        <v>4100</v>
      </c>
      <c r="I730" s="8" t="s">
        <v>1340</v>
      </c>
      <c r="J730" s="108" t="s">
        <v>1690</v>
      </c>
      <c r="K730" s="57">
        <v>30</v>
      </c>
      <c r="L730" s="58">
        <v>30</v>
      </c>
    </row>
    <row r="731" spans="1:12" s="13" customFormat="1" ht="15">
      <c r="A731" s="105">
        <v>697</v>
      </c>
      <c r="B731" s="106" t="s">
        <v>1896</v>
      </c>
      <c r="C731" s="106"/>
      <c r="D731" s="8" t="str">
        <f>"9056450220"</f>
        <v>9056450220</v>
      </c>
      <c r="E731" s="189" t="s">
        <v>361</v>
      </c>
      <c r="F731" s="106"/>
      <c r="G731" s="106" t="s">
        <v>1428</v>
      </c>
      <c r="H731" s="107">
        <v>4100</v>
      </c>
      <c r="I731" s="8" t="s">
        <v>1340</v>
      </c>
      <c r="J731" s="108" t="s">
        <v>1690</v>
      </c>
      <c r="K731" s="57">
        <v>30</v>
      </c>
      <c r="L731" s="58">
        <v>30</v>
      </c>
    </row>
    <row r="732" spans="1:12" s="13" customFormat="1" ht="15">
      <c r="A732" s="105">
        <v>698</v>
      </c>
      <c r="B732" s="106" t="s">
        <v>1896</v>
      </c>
      <c r="C732" s="106"/>
      <c r="D732" s="8" t="str">
        <f>"9056450221"</f>
        <v>9056450221</v>
      </c>
      <c r="E732" s="189" t="s">
        <v>361</v>
      </c>
      <c r="F732" s="106"/>
      <c r="G732" s="106" t="s">
        <v>1429</v>
      </c>
      <c r="H732" s="107">
        <v>4100</v>
      </c>
      <c r="I732" s="8" t="s">
        <v>1340</v>
      </c>
      <c r="J732" s="108" t="s">
        <v>1690</v>
      </c>
      <c r="K732" s="57">
        <v>30</v>
      </c>
      <c r="L732" s="58">
        <v>30</v>
      </c>
    </row>
    <row r="733" spans="1:12" s="13" customFormat="1" ht="15">
      <c r="A733" s="105">
        <v>699</v>
      </c>
      <c r="B733" s="106" t="s">
        <v>1896</v>
      </c>
      <c r="C733" s="106"/>
      <c r="D733" s="8" t="str">
        <f>"9056450222"</f>
        <v>9056450222</v>
      </c>
      <c r="E733" s="189" t="s">
        <v>361</v>
      </c>
      <c r="F733" s="106"/>
      <c r="G733" s="106" t="s">
        <v>1430</v>
      </c>
      <c r="H733" s="107">
        <v>4100</v>
      </c>
      <c r="I733" s="8" t="s">
        <v>1340</v>
      </c>
      <c r="J733" s="108" t="s">
        <v>1690</v>
      </c>
      <c r="K733" s="57">
        <v>30</v>
      </c>
      <c r="L733" s="58">
        <v>30</v>
      </c>
    </row>
    <row r="734" spans="1:12" s="13" customFormat="1" ht="15">
      <c r="A734" s="105">
        <v>700</v>
      </c>
      <c r="B734" s="106" t="s">
        <v>1896</v>
      </c>
      <c r="C734" s="106"/>
      <c r="D734" s="8" t="str">
        <f>"9056450223"</f>
        <v>9056450223</v>
      </c>
      <c r="E734" s="189" t="s">
        <v>361</v>
      </c>
      <c r="F734" s="106"/>
      <c r="G734" s="106" t="s">
        <v>1431</v>
      </c>
      <c r="H734" s="107">
        <v>4100</v>
      </c>
      <c r="I734" s="8" t="s">
        <v>1340</v>
      </c>
      <c r="J734" s="108" t="s">
        <v>1690</v>
      </c>
      <c r="K734" s="57">
        <v>30</v>
      </c>
      <c r="L734" s="58">
        <v>30</v>
      </c>
    </row>
    <row r="735" spans="1:12" s="13" customFormat="1" ht="15">
      <c r="A735" s="105">
        <v>700</v>
      </c>
      <c r="B735" s="106" t="s">
        <v>1896</v>
      </c>
      <c r="C735" s="106"/>
      <c r="D735" s="8" t="str">
        <f>"9056409184"</f>
        <v>9056409184</v>
      </c>
      <c r="E735" s="189" t="s">
        <v>361</v>
      </c>
      <c r="F735" s="106"/>
      <c r="G735" s="107" t="str">
        <f>"9056409184"</f>
        <v>9056409184</v>
      </c>
      <c r="H735" s="107">
        <v>4100</v>
      </c>
      <c r="I735" s="8" t="s">
        <v>1340</v>
      </c>
      <c r="J735" s="108" t="s">
        <v>1690</v>
      </c>
      <c r="K735" s="57">
        <v>30</v>
      </c>
      <c r="L735" s="58">
        <v>30</v>
      </c>
    </row>
    <row r="736" spans="1:12" s="13" customFormat="1" ht="15">
      <c r="A736" s="105">
        <v>700</v>
      </c>
      <c r="B736" s="106" t="s">
        <v>1896</v>
      </c>
      <c r="C736" s="106"/>
      <c r="D736" s="8" t="str">
        <f>"9056409185"</f>
        <v>9056409185</v>
      </c>
      <c r="E736" s="189" t="s">
        <v>361</v>
      </c>
      <c r="F736" s="106"/>
      <c r="G736" s="107" t="str">
        <f>"9056409185"</f>
        <v>9056409185</v>
      </c>
      <c r="H736" s="107">
        <v>4100</v>
      </c>
      <c r="I736" s="8" t="s">
        <v>1340</v>
      </c>
      <c r="J736" s="108" t="s">
        <v>1690</v>
      </c>
      <c r="K736" s="57">
        <v>30</v>
      </c>
      <c r="L736" s="58">
        <v>30</v>
      </c>
    </row>
    <row r="737" spans="1:12" s="13" customFormat="1" ht="15">
      <c r="A737" s="105">
        <v>700</v>
      </c>
      <c r="B737" s="106" t="s">
        <v>1896</v>
      </c>
      <c r="C737" s="106"/>
      <c r="D737" s="8" t="str">
        <f>"9056409186"</f>
        <v>9056409186</v>
      </c>
      <c r="E737" s="189" t="s">
        <v>361</v>
      </c>
      <c r="F737" s="106"/>
      <c r="G737" s="107" t="str">
        <f>"9056409186"</f>
        <v>9056409186</v>
      </c>
      <c r="H737" s="107">
        <v>4100</v>
      </c>
      <c r="I737" s="8" t="s">
        <v>1340</v>
      </c>
      <c r="J737" s="108" t="s">
        <v>1690</v>
      </c>
      <c r="K737" s="57">
        <v>30</v>
      </c>
      <c r="L737" s="58">
        <v>30</v>
      </c>
    </row>
    <row r="738" spans="1:12" s="13" customFormat="1" ht="15">
      <c r="A738" s="105">
        <v>700</v>
      </c>
      <c r="B738" s="106" t="s">
        <v>1896</v>
      </c>
      <c r="C738" s="106"/>
      <c r="D738" s="8" t="str">
        <f>"9056409002"</f>
        <v>9056409002</v>
      </c>
      <c r="E738" s="189" t="s">
        <v>361</v>
      </c>
      <c r="F738" s="106"/>
      <c r="G738" s="107" t="str">
        <f>"9056409002"</f>
        <v>9056409002</v>
      </c>
      <c r="H738" s="107">
        <v>4100</v>
      </c>
      <c r="I738" s="8" t="s">
        <v>1340</v>
      </c>
      <c r="J738" s="108" t="s">
        <v>1690</v>
      </c>
      <c r="K738" s="57">
        <v>30</v>
      </c>
      <c r="L738" s="58">
        <v>30</v>
      </c>
    </row>
    <row r="739" spans="1:12" s="13" customFormat="1" ht="15">
      <c r="A739" s="105">
        <v>700</v>
      </c>
      <c r="B739" s="106" t="s">
        <v>1896</v>
      </c>
      <c r="C739" s="106"/>
      <c r="D739" s="8" t="str">
        <f>"9056409003"</f>
        <v>9056409003</v>
      </c>
      <c r="E739" s="189" t="s">
        <v>361</v>
      </c>
      <c r="F739" s="106"/>
      <c r="G739" s="107" t="str">
        <f>"9056409003"</f>
        <v>9056409003</v>
      </c>
      <c r="H739" s="107">
        <v>4100</v>
      </c>
      <c r="I739" s="8" t="s">
        <v>1340</v>
      </c>
      <c r="J739" s="108" t="s">
        <v>1690</v>
      </c>
      <c r="K739" s="57">
        <v>30</v>
      </c>
      <c r="L739" s="58">
        <v>30</v>
      </c>
    </row>
    <row r="740" spans="1:12" s="13" customFormat="1" ht="15">
      <c r="A740" s="105">
        <v>701</v>
      </c>
      <c r="B740" s="106" t="s">
        <v>1896</v>
      </c>
      <c r="C740" s="106"/>
      <c r="D740" s="8" t="str">
        <f>"9090105002"</f>
        <v>9090105002</v>
      </c>
      <c r="E740" s="189" t="s">
        <v>2968</v>
      </c>
      <c r="F740" s="106"/>
      <c r="G740" s="106" t="s">
        <v>1432</v>
      </c>
      <c r="H740" s="107">
        <v>4100</v>
      </c>
      <c r="I740" s="8" t="s">
        <v>317</v>
      </c>
      <c r="J740" s="108" t="s">
        <v>1690</v>
      </c>
      <c r="K740" s="57">
        <v>30</v>
      </c>
      <c r="L740" s="58">
        <v>30</v>
      </c>
    </row>
    <row r="741" spans="1:12" s="13" customFormat="1" ht="15">
      <c r="A741" s="105">
        <v>702</v>
      </c>
      <c r="B741" s="106" t="s">
        <v>1897</v>
      </c>
      <c r="C741" s="106"/>
      <c r="D741" s="8" t="str">
        <f>"9094202049"</f>
        <v>9094202049</v>
      </c>
      <c r="E741" s="189" t="s">
        <v>4374</v>
      </c>
      <c r="F741" s="106"/>
      <c r="G741" s="106" t="s">
        <v>1279</v>
      </c>
      <c r="H741" s="107">
        <v>4200</v>
      </c>
      <c r="I741" s="8" t="s">
        <v>310</v>
      </c>
      <c r="J741" s="108" t="s">
        <v>1690</v>
      </c>
      <c r="K741" s="57">
        <v>30</v>
      </c>
      <c r="L741" s="58">
        <v>30</v>
      </c>
    </row>
    <row r="742" spans="1:12" s="3" customFormat="1" ht="15">
      <c r="A742" s="105">
        <v>703</v>
      </c>
      <c r="B742" s="106"/>
      <c r="C742" s="106"/>
      <c r="D742" s="8" t="str">
        <f>"4120109020"</f>
        <v>4120109020</v>
      </c>
      <c r="E742" s="189" t="s">
        <v>2676</v>
      </c>
      <c r="F742" s="106"/>
      <c r="G742" s="107" t="s">
        <v>1802</v>
      </c>
      <c r="H742" s="107" t="s">
        <v>379</v>
      </c>
      <c r="I742" s="8" t="s">
        <v>260</v>
      </c>
      <c r="J742" s="8" t="s">
        <v>1690</v>
      </c>
      <c r="K742" s="57">
        <v>30</v>
      </c>
      <c r="L742" s="58">
        <v>30</v>
      </c>
    </row>
    <row r="743" spans="1:12" s="3" customFormat="1" ht="15">
      <c r="A743" s="105">
        <v>704</v>
      </c>
      <c r="B743" s="106"/>
      <c r="C743" s="106"/>
      <c r="D743" s="8" t="str">
        <f>"4120109070"</f>
        <v>4120109070</v>
      </c>
      <c r="E743" s="189" t="s">
        <v>2676</v>
      </c>
      <c r="F743" s="106"/>
      <c r="G743" s="107" t="s">
        <v>1802</v>
      </c>
      <c r="H743" s="107" t="s">
        <v>379</v>
      </c>
      <c r="I743" s="8" t="s">
        <v>260</v>
      </c>
      <c r="J743" s="8" t="s">
        <v>1690</v>
      </c>
      <c r="K743" s="57">
        <v>30</v>
      </c>
      <c r="L743" s="58">
        <v>30</v>
      </c>
    </row>
    <row r="744" spans="1:12" s="3" customFormat="1" ht="15">
      <c r="A744" s="105">
        <v>705</v>
      </c>
      <c r="B744" s="106"/>
      <c r="C744" s="106"/>
      <c r="D744" s="8" t="str">
        <f>"4120109080"</f>
        <v>4120109080</v>
      </c>
      <c r="E744" s="189" t="s">
        <v>2676</v>
      </c>
      <c r="F744" s="107"/>
      <c r="G744" s="107" t="s">
        <v>1802</v>
      </c>
      <c r="H744" s="107" t="s">
        <v>379</v>
      </c>
      <c r="I744" s="8" t="s">
        <v>260</v>
      </c>
      <c r="J744" s="8" t="s">
        <v>1690</v>
      </c>
      <c r="K744" s="57">
        <v>30</v>
      </c>
      <c r="L744" s="58">
        <v>30</v>
      </c>
    </row>
    <row r="745" spans="1:12" s="3" customFormat="1" ht="15">
      <c r="A745" s="105">
        <v>706</v>
      </c>
      <c r="B745" s="106"/>
      <c r="C745" s="106"/>
      <c r="D745" s="8" t="str">
        <f>"4120109100"</f>
        <v>4120109100</v>
      </c>
      <c r="E745" s="189" t="s">
        <v>2676</v>
      </c>
      <c r="F745" s="106"/>
      <c r="G745" s="107" t="s">
        <v>1802</v>
      </c>
      <c r="H745" s="107" t="s">
        <v>379</v>
      </c>
      <c r="I745" s="8" t="s">
        <v>260</v>
      </c>
      <c r="J745" s="8" t="s">
        <v>1690</v>
      </c>
      <c r="K745" s="57">
        <v>30</v>
      </c>
      <c r="L745" s="58">
        <v>30</v>
      </c>
    </row>
    <row r="746" spans="1:12" s="3" customFormat="1" ht="15">
      <c r="A746" s="105">
        <v>707</v>
      </c>
      <c r="B746" s="106"/>
      <c r="C746" s="106"/>
      <c r="D746" s="8" t="str">
        <f>"4120109240"</f>
        <v>4120109240</v>
      </c>
      <c r="E746" s="189" t="s">
        <v>2676</v>
      </c>
      <c r="F746" s="106"/>
      <c r="G746" s="107" t="s">
        <v>1802</v>
      </c>
      <c r="H746" s="107" t="s">
        <v>379</v>
      </c>
      <c r="I746" s="8" t="s">
        <v>260</v>
      </c>
      <c r="J746" s="8" t="s">
        <v>1690</v>
      </c>
      <c r="K746" s="57">
        <v>30</v>
      </c>
      <c r="L746" s="58">
        <v>30</v>
      </c>
    </row>
    <row r="747" spans="1:12" s="3" customFormat="1" ht="15">
      <c r="A747" s="105">
        <v>708</v>
      </c>
      <c r="B747" s="106"/>
      <c r="C747" s="106"/>
      <c r="D747" s="8" t="str">
        <f>"4120109260"</f>
        <v>4120109260</v>
      </c>
      <c r="E747" s="189" t="s">
        <v>2676</v>
      </c>
      <c r="F747" s="106"/>
      <c r="G747" s="107" t="s">
        <v>1802</v>
      </c>
      <c r="H747" s="107" t="s">
        <v>379</v>
      </c>
      <c r="I747" s="8" t="s">
        <v>260</v>
      </c>
      <c r="J747" s="8" t="s">
        <v>1690</v>
      </c>
      <c r="K747" s="57">
        <v>30</v>
      </c>
      <c r="L747" s="58">
        <v>30</v>
      </c>
    </row>
    <row r="748" spans="1:12" s="3" customFormat="1" ht="15">
      <c r="A748" s="105">
        <v>709</v>
      </c>
      <c r="B748" s="106"/>
      <c r="C748" s="106"/>
      <c r="D748" s="8" t="str">
        <f>"4120109430"</f>
        <v>4120109430</v>
      </c>
      <c r="E748" s="189" t="s">
        <v>2676</v>
      </c>
      <c r="F748" s="106"/>
      <c r="G748" s="107" t="s">
        <v>1802</v>
      </c>
      <c r="H748" s="107" t="s">
        <v>379</v>
      </c>
      <c r="I748" s="8" t="s">
        <v>260</v>
      </c>
      <c r="J748" s="8" t="s">
        <v>1690</v>
      </c>
      <c r="K748" s="57">
        <v>30</v>
      </c>
      <c r="L748" s="58">
        <v>30</v>
      </c>
    </row>
    <row r="749" spans="1:12" s="3" customFormat="1" ht="15">
      <c r="A749" s="105">
        <v>710</v>
      </c>
      <c r="B749" s="106"/>
      <c r="C749" s="106"/>
      <c r="D749" s="8" t="str">
        <f>"4133130030"</f>
        <v>4133130030</v>
      </c>
      <c r="E749" s="189" t="s">
        <v>238</v>
      </c>
      <c r="F749" s="107"/>
      <c r="G749" s="107" t="s">
        <v>113</v>
      </c>
      <c r="H749" s="107">
        <v>4100</v>
      </c>
      <c r="I749" s="8" t="s">
        <v>226</v>
      </c>
      <c r="J749" s="108" t="s">
        <v>1690</v>
      </c>
      <c r="K749" s="57">
        <v>30</v>
      </c>
      <c r="L749" s="58">
        <v>30</v>
      </c>
    </row>
    <row r="750" spans="1:12" s="3" customFormat="1" ht="15">
      <c r="A750" s="105">
        <v>711</v>
      </c>
      <c r="B750" s="106"/>
      <c r="C750" s="106"/>
      <c r="D750" s="8" t="str">
        <f>"4133735040"</f>
        <v>4133735040</v>
      </c>
      <c r="E750" s="189" t="s">
        <v>597</v>
      </c>
      <c r="F750" s="106"/>
      <c r="G750" s="106" t="s">
        <v>1507</v>
      </c>
      <c r="H750" s="107">
        <v>4110</v>
      </c>
      <c r="I750" s="8" t="s">
        <v>317</v>
      </c>
      <c r="J750" s="8" t="s">
        <v>1690</v>
      </c>
      <c r="K750" s="57">
        <v>30</v>
      </c>
      <c r="L750" s="58">
        <v>30</v>
      </c>
    </row>
    <row r="751" spans="1:12" s="3" customFormat="1" ht="15">
      <c r="A751" s="105">
        <v>712</v>
      </c>
      <c r="B751" s="106"/>
      <c r="C751" s="106"/>
      <c r="D751" s="8" t="str">
        <f>"4134130020"</f>
        <v>4134130020</v>
      </c>
      <c r="E751" s="189" t="s">
        <v>239</v>
      </c>
      <c r="F751" s="107"/>
      <c r="G751" s="107" t="s">
        <v>114</v>
      </c>
      <c r="H751" s="107">
        <v>4100</v>
      </c>
      <c r="I751" s="8" t="s">
        <v>226</v>
      </c>
      <c r="J751" s="8" t="s">
        <v>1690</v>
      </c>
      <c r="K751" s="57">
        <v>30</v>
      </c>
      <c r="L751" s="58">
        <v>30</v>
      </c>
    </row>
    <row r="752" spans="1:12" s="3" customFormat="1" ht="15">
      <c r="A752" s="105">
        <v>713</v>
      </c>
      <c r="B752" s="106"/>
      <c r="C752" s="106"/>
      <c r="D752" s="8" t="str">
        <f>"4140035030"</f>
        <v>4140035030</v>
      </c>
      <c r="E752" s="189" t="s">
        <v>2930</v>
      </c>
      <c r="F752" s="106"/>
      <c r="G752" s="106" t="s">
        <v>1533</v>
      </c>
      <c r="H752" s="107">
        <v>4100</v>
      </c>
      <c r="I752" s="8" t="s">
        <v>317</v>
      </c>
      <c r="J752" s="108" t="s">
        <v>1690</v>
      </c>
      <c r="K752" s="57">
        <v>30</v>
      </c>
      <c r="L752" s="58">
        <v>30</v>
      </c>
    </row>
    <row r="753" spans="1:12" s="3" customFormat="1" ht="15">
      <c r="A753" s="105">
        <v>714</v>
      </c>
      <c r="B753" s="106"/>
      <c r="C753" s="106"/>
      <c r="D753" s="8" t="str">
        <f>"4242134010"</f>
        <v>4242134010</v>
      </c>
      <c r="E753" s="189" t="s">
        <v>646</v>
      </c>
      <c r="F753" s="106"/>
      <c r="G753" s="106" t="s">
        <v>1534</v>
      </c>
      <c r="H753" s="106">
        <v>4200</v>
      </c>
      <c r="I753" s="14" t="s">
        <v>310</v>
      </c>
      <c r="J753" s="14" t="s">
        <v>373</v>
      </c>
      <c r="K753" s="57">
        <v>100</v>
      </c>
      <c r="L753" s="58">
        <v>100</v>
      </c>
    </row>
    <row r="754" spans="1:12" s="3" customFormat="1" ht="15">
      <c r="A754" s="105">
        <v>715</v>
      </c>
      <c r="B754" s="106"/>
      <c r="C754" s="106"/>
      <c r="D754" s="8" t="str">
        <f>"4244350020"</f>
        <v>4244350020</v>
      </c>
      <c r="E754" s="189" t="s">
        <v>651</v>
      </c>
      <c r="F754" s="106"/>
      <c r="G754" s="106" t="s">
        <v>1537</v>
      </c>
      <c r="H754" s="107">
        <v>4200</v>
      </c>
      <c r="I754" s="8" t="s">
        <v>310</v>
      </c>
      <c r="J754" s="110" t="s">
        <v>5287</v>
      </c>
      <c r="K754" s="57">
        <v>30</v>
      </c>
      <c r="L754" s="58">
        <v>30</v>
      </c>
    </row>
    <row r="755" spans="1:12" s="3" customFormat="1" ht="15">
      <c r="A755" s="105">
        <v>716</v>
      </c>
      <c r="B755" s="106"/>
      <c r="C755" s="106"/>
      <c r="D755" s="8" t="str">
        <f>"6617071010"</f>
        <v>6617071010</v>
      </c>
      <c r="E755" s="189" t="s">
        <v>2811</v>
      </c>
      <c r="F755" s="106"/>
      <c r="G755" s="106" t="s">
        <v>1725</v>
      </c>
      <c r="H755" s="107">
        <v>6570</v>
      </c>
      <c r="I755" s="8" t="s">
        <v>1444</v>
      </c>
      <c r="J755" s="8" t="s">
        <v>1690</v>
      </c>
      <c r="K755" s="57">
        <v>30</v>
      </c>
      <c r="L755" s="58">
        <v>30</v>
      </c>
    </row>
    <row r="756" spans="1:12" s="3" customFormat="1" ht="15">
      <c r="A756" s="105">
        <v>717</v>
      </c>
      <c r="B756" s="106"/>
      <c r="C756" s="106"/>
      <c r="D756" s="8" t="str">
        <f>"9011608223"</f>
        <v>9011608223</v>
      </c>
      <c r="E756" s="189" t="s">
        <v>4373</v>
      </c>
      <c r="F756" s="106"/>
      <c r="G756" s="106" t="s">
        <v>1726</v>
      </c>
      <c r="H756" s="107">
        <v>4200</v>
      </c>
      <c r="I756" s="8" t="s">
        <v>310</v>
      </c>
      <c r="J756" s="108" t="s">
        <v>249</v>
      </c>
      <c r="K756" s="57">
        <v>30</v>
      </c>
      <c r="L756" s="58">
        <v>30</v>
      </c>
    </row>
    <row r="757" spans="1:12" s="3" customFormat="1" ht="15">
      <c r="A757" s="105">
        <v>718</v>
      </c>
      <c r="B757" s="106"/>
      <c r="C757" s="106"/>
      <c r="D757" s="8" t="str">
        <f>"9011608233"</f>
        <v>9011608233</v>
      </c>
      <c r="E757" s="189" t="s">
        <v>4373</v>
      </c>
      <c r="F757" s="107"/>
      <c r="G757" s="107">
        <v>9011608233</v>
      </c>
      <c r="H757" s="107">
        <v>4200</v>
      </c>
      <c r="I757" s="8" t="s">
        <v>310</v>
      </c>
      <c r="J757" s="8" t="s">
        <v>249</v>
      </c>
      <c r="K757" s="57">
        <v>30</v>
      </c>
      <c r="L757" s="58">
        <v>30</v>
      </c>
    </row>
    <row r="758" spans="1:12" s="3" customFormat="1" ht="15">
      <c r="A758" s="105">
        <v>719</v>
      </c>
      <c r="B758" s="106"/>
      <c r="C758" s="106"/>
      <c r="D758" s="8" t="str">
        <f>"9011608329"</f>
        <v>9011608329</v>
      </c>
      <c r="E758" s="189" t="s">
        <v>4373</v>
      </c>
      <c r="F758" s="107"/>
      <c r="G758" s="107" t="s">
        <v>130</v>
      </c>
      <c r="H758" s="107">
        <v>4200</v>
      </c>
      <c r="I758" s="8" t="s">
        <v>310</v>
      </c>
      <c r="J758" s="8" t="s">
        <v>249</v>
      </c>
      <c r="K758" s="57">
        <v>30</v>
      </c>
      <c r="L758" s="58">
        <v>30</v>
      </c>
    </row>
    <row r="759" spans="1:12" s="3" customFormat="1" ht="15">
      <c r="A759" s="105">
        <v>720</v>
      </c>
      <c r="B759" s="106"/>
      <c r="C759" s="106"/>
      <c r="D759" s="8" t="str">
        <f>"9011608330"</f>
        <v>9011608330</v>
      </c>
      <c r="E759" s="189" t="s">
        <v>4373</v>
      </c>
      <c r="F759" s="107"/>
      <c r="G759" s="107">
        <v>9011608330</v>
      </c>
      <c r="H759" s="107">
        <v>4200</v>
      </c>
      <c r="I759" s="8" t="s">
        <v>310</v>
      </c>
      <c r="J759" s="8" t="s">
        <v>249</v>
      </c>
      <c r="K759" s="57">
        <v>30</v>
      </c>
      <c r="L759" s="58">
        <v>30</v>
      </c>
    </row>
    <row r="760" spans="1:12" s="3" customFormat="1" ht="15">
      <c r="A760" s="105">
        <v>721</v>
      </c>
      <c r="B760" s="106" t="s">
        <v>1897</v>
      </c>
      <c r="C760" s="106"/>
      <c r="D760" s="8" t="str">
        <f>"9094202052"</f>
        <v>9094202052</v>
      </c>
      <c r="E760" s="189" t="s">
        <v>4374</v>
      </c>
      <c r="F760" s="106"/>
      <c r="G760" s="106" t="s">
        <v>1280</v>
      </c>
      <c r="H760" s="107">
        <v>4200</v>
      </c>
      <c r="I760" s="8" t="s">
        <v>310</v>
      </c>
      <c r="J760" s="14" t="s">
        <v>1891</v>
      </c>
      <c r="K760" s="57">
        <v>30</v>
      </c>
      <c r="L760" s="58">
        <v>30</v>
      </c>
    </row>
    <row r="761" spans="1:12" s="3" customFormat="1" ht="15">
      <c r="A761" s="105">
        <v>722</v>
      </c>
      <c r="B761" s="106"/>
      <c r="C761" s="106"/>
      <c r="D761" s="8" t="str">
        <f>"9422380600"</f>
        <v>9422380600</v>
      </c>
      <c r="E761" s="189" t="s">
        <v>1435</v>
      </c>
      <c r="F761" s="106"/>
      <c r="G761" s="106" t="s">
        <v>1734</v>
      </c>
      <c r="H761" s="107">
        <v>4300</v>
      </c>
      <c r="I761" s="8" t="s">
        <v>310</v>
      </c>
      <c r="J761" s="8" t="s">
        <v>1313</v>
      </c>
      <c r="K761" s="57">
        <v>30</v>
      </c>
      <c r="L761" s="58">
        <v>30</v>
      </c>
    </row>
    <row r="762" spans="1:12" s="3" customFormat="1" ht="15">
      <c r="A762" s="105">
        <v>723</v>
      </c>
      <c r="B762" s="106"/>
      <c r="C762" s="106"/>
      <c r="D762" s="8" t="str">
        <f>"044120K020"</f>
        <v>044120K020</v>
      </c>
      <c r="E762" s="189" t="s">
        <v>4376</v>
      </c>
      <c r="F762" s="107"/>
      <c r="G762" s="107" t="s">
        <v>1802</v>
      </c>
      <c r="H762" s="107">
        <v>4200</v>
      </c>
      <c r="I762" s="8" t="s">
        <v>310</v>
      </c>
      <c r="J762" s="8" t="s">
        <v>1690</v>
      </c>
      <c r="K762" s="57">
        <v>30</v>
      </c>
      <c r="L762" s="58">
        <v>30</v>
      </c>
    </row>
    <row r="763" spans="1:12" s="3" customFormat="1" ht="15">
      <c r="A763" s="105">
        <v>724</v>
      </c>
      <c r="B763" s="106"/>
      <c r="C763" s="106"/>
      <c r="D763" s="8" t="str">
        <f>"314780K010"</f>
        <v>314780K010</v>
      </c>
      <c r="E763" s="189" t="s">
        <v>372</v>
      </c>
      <c r="F763" s="106"/>
      <c r="G763" s="106" t="s">
        <v>132</v>
      </c>
      <c r="H763" s="107">
        <v>4200</v>
      </c>
      <c r="I763" s="8" t="s">
        <v>310</v>
      </c>
      <c r="J763" s="109" t="s">
        <v>373</v>
      </c>
      <c r="K763" s="57">
        <v>100</v>
      </c>
      <c r="L763" s="58">
        <v>100</v>
      </c>
    </row>
    <row r="764" spans="1:12" s="3" customFormat="1" ht="15">
      <c r="A764" s="105">
        <v>725</v>
      </c>
      <c r="B764" s="106"/>
      <c r="C764" s="106"/>
      <c r="D764" s="8" t="str">
        <f>"412220K020"</f>
        <v>412220K020</v>
      </c>
      <c r="E764" s="189" t="s">
        <v>569</v>
      </c>
      <c r="F764" s="106"/>
      <c r="G764" s="106" t="s">
        <v>133</v>
      </c>
      <c r="H764" s="107">
        <v>4110</v>
      </c>
      <c r="I764" s="8" t="s">
        <v>260</v>
      </c>
      <c r="J764" s="108" t="s">
        <v>231</v>
      </c>
      <c r="K764" s="57">
        <v>30</v>
      </c>
      <c r="L764" s="58">
        <v>30</v>
      </c>
    </row>
    <row r="765" spans="1:12" s="3" customFormat="1" ht="15">
      <c r="A765" s="105">
        <v>726</v>
      </c>
      <c r="B765" s="106"/>
      <c r="C765" s="106"/>
      <c r="D765" s="8" t="str">
        <f>"412520K010"</f>
        <v>412520K010</v>
      </c>
      <c r="E765" s="189" t="s">
        <v>259</v>
      </c>
      <c r="F765" s="106"/>
      <c r="G765" s="106" t="s">
        <v>134</v>
      </c>
      <c r="H765" s="107" t="s">
        <v>379</v>
      </c>
      <c r="I765" s="8" t="s">
        <v>260</v>
      </c>
      <c r="J765" s="108" t="s">
        <v>2650</v>
      </c>
      <c r="K765" s="57">
        <v>60</v>
      </c>
      <c r="L765" s="58">
        <v>60</v>
      </c>
    </row>
    <row r="766" spans="1:12" s="3" customFormat="1" ht="15">
      <c r="A766" s="105">
        <v>727</v>
      </c>
      <c r="B766" s="106"/>
      <c r="C766" s="106"/>
      <c r="D766" s="8" t="str">
        <f>"412520K060"</f>
        <v>412520K060</v>
      </c>
      <c r="E766" s="189" t="s">
        <v>259</v>
      </c>
      <c r="F766" s="106"/>
      <c r="G766" s="106" t="s">
        <v>134</v>
      </c>
      <c r="H766" s="107" t="s">
        <v>379</v>
      </c>
      <c r="I766" s="8" t="s">
        <v>260</v>
      </c>
      <c r="J766" s="108" t="s">
        <v>2650</v>
      </c>
      <c r="K766" s="57">
        <v>60</v>
      </c>
      <c r="L766" s="58">
        <v>60</v>
      </c>
    </row>
    <row r="767" spans="1:12" s="3" customFormat="1" ht="15">
      <c r="A767" s="105">
        <v>728</v>
      </c>
      <c r="B767" s="106"/>
      <c r="C767" s="106"/>
      <c r="D767" s="8" t="s">
        <v>123</v>
      </c>
      <c r="E767" s="189" t="s">
        <v>259</v>
      </c>
      <c r="F767" s="106"/>
      <c r="G767" s="107" t="s">
        <v>123</v>
      </c>
      <c r="H767" s="107" t="s">
        <v>315</v>
      </c>
      <c r="I767" s="8" t="s">
        <v>226</v>
      </c>
      <c r="J767" s="108" t="s">
        <v>2650</v>
      </c>
      <c r="K767" s="57">
        <v>60</v>
      </c>
      <c r="L767" s="58">
        <v>60</v>
      </c>
    </row>
    <row r="768" spans="1:12" s="3" customFormat="1" ht="15">
      <c r="A768" s="105">
        <v>729</v>
      </c>
      <c r="B768" s="106"/>
      <c r="C768" s="106"/>
      <c r="D768" s="8" t="s">
        <v>135</v>
      </c>
      <c r="E768" s="189" t="s">
        <v>259</v>
      </c>
      <c r="F768" s="106"/>
      <c r="G768" s="106" t="s">
        <v>135</v>
      </c>
      <c r="H768" s="107" t="s">
        <v>385</v>
      </c>
      <c r="I768" s="8" t="s">
        <v>317</v>
      </c>
      <c r="J768" s="108" t="s">
        <v>2650</v>
      </c>
      <c r="K768" s="57">
        <v>60</v>
      </c>
      <c r="L768" s="58">
        <v>60</v>
      </c>
    </row>
    <row r="769" spans="1:12" s="3" customFormat="1" ht="15">
      <c r="A769" s="105">
        <v>730</v>
      </c>
      <c r="B769" s="106"/>
      <c r="C769" s="106"/>
      <c r="D769" s="8" t="s">
        <v>1531</v>
      </c>
      <c r="E769" s="189" t="s">
        <v>624</v>
      </c>
      <c r="F769" s="106"/>
      <c r="G769" s="106" t="s">
        <v>1531</v>
      </c>
      <c r="H769" s="107" t="s">
        <v>379</v>
      </c>
      <c r="I769" s="8" t="s">
        <v>260</v>
      </c>
      <c r="J769" s="108" t="s">
        <v>580</v>
      </c>
      <c r="K769" s="57">
        <v>30</v>
      </c>
      <c r="L769" s="58">
        <v>30</v>
      </c>
    </row>
    <row r="770" spans="1:12" s="3" customFormat="1" ht="15">
      <c r="A770" s="105">
        <v>731</v>
      </c>
      <c r="B770" s="106"/>
      <c r="C770" s="106"/>
      <c r="D770" s="8" t="s">
        <v>126</v>
      </c>
      <c r="E770" s="189" t="s">
        <v>2658</v>
      </c>
      <c r="F770" s="107"/>
      <c r="G770" s="107" t="s">
        <v>126</v>
      </c>
      <c r="H770" s="107">
        <v>4200</v>
      </c>
      <c r="I770" s="8" t="s">
        <v>310</v>
      </c>
      <c r="J770" s="108" t="s">
        <v>1110</v>
      </c>
      <c r="K770" s="57">
        <v>30</v>
      </c>
      <c r="L770" s="58">
        <v>30</v>
      </c>
    </row>
    <row r="771" spans="1:12" s="3" customFormat="1" ht="15">
      <c r="A771" s="105">
        <v>732</v>
      </c>
      <c r="B771" s="106"/>
      <c r="C771" s="106"/>
      <c r="D771" s="8" t="s">
        <v>1535</v>
      </c>
      <c r="E771" s="189" t="s">
        <v>2815</v>
      </c>
      <c r="F771" s="107"/>
      <c r="G771" s="107" t="s">
        <v>1535</v>
      </c>
      <c r="H771" s="107">
        <v>4200</v>
      </c>
      <c r="I771" s="8" t="s">
        <v>310</v>
      </c>
      <c r="J771" s="108" t="s">
        <v>373</v>
      </c>
      <c r="K771" s="57">
        <v>100</v>
      </c>
      <c r="L771" s="58">
        <v>100</v>
      </c>
    </row>
    <row r="772" spans="1:12" s="3" customFormat="1" ht="15">
      <c r="A772" s="105">
        <v>733</v>
      </c>
      <c r="B772" s="106"/>
      <c r="C772" s="106"/>
      <c r="D772" s="8" t="s">
        <v>1536</v>
      </c>
      <c r="E772" s="189" t="s">
        <v>2815</v>
      </c>
      <c r="F772" s="107"/>
      <c r="G772" s="107" t="s">
        <v>1536</v>
      </c>
      <c r="H772" s="107">
        <v>4200</v>
      </c>
      <c r="I772" s="8" t="s">
        <v>310</v>
      </c>
      <c r="J772" s="108" t="s">
        <v>373</v>
      </c>
      <c r="K772" s="57">
        <v>100</v>
      </c>
      <c r="L772" s="58">
        <v>100</v>
      </c>
    </row>
    <row r="773" spans="1:12" s="3" customFormat="1" ht="15">
      <c r="A773" s="105">
        <v>734</v>
      </c>
      <c r="B773" s="106"/>
      <c r="C773" s="106"/>
      <c r="D773" s="8" t="s">
        <v>145</v>
      </c>
      <c r="E773" s="189" t="s">
        <v>2815</v>
      </c>
      <c r="F773" s="107"/>
      <c r="G773" s="107" t="s">
        <v>145</v>
      </c>
      <c r="H773" s="107">
        <v>4200</v>
      </c>
      <c r="I773" s="8" t="s">
        <v>310</v>
      </c>
      <c r="J773" s="108" t="s">
        <v>373</v>
      </c>
      <c r="K773" s="57">
        <v>100</v>
      </c>
      <c r="L773" s="58">
        <v>100</v>
      </c>
    </row>
    <row r="774" spans="1:12" s="3" customFormat="1" ht="15">
      <c r="A774" s="105">
        <v>735</v>
      </c>
      <c r="B774" s="106"/>
      <c r="C774" s="106"/>
      <c r="D774" s="8" t="s">
        <v>146</v>
      </c>
      <c r="E774" s="189" t="s">
        <v>2815</v>
      </c>
      <c r="F774" s="107"/>
      <c r="G774" s="107" t="s">
        <v>146</v>
      </c>
      <c r="H774" s="107">
        <v>4200</v>
      </c>
      <c r="I774" s="8" t="s">
        <v>310</v>
      </c>
      <c r="J774" s="108" t="s">
        <v>373</v>
      </c>
      <c r="K774" s="57">
        <v>100</v>
      </c>
      <c r="L774" s="58">
        <v>100</v>
      </c>
    </row>
    <row r="775" spans="1:12" s="12" customFormat="1" ht="15">
      <c r="A775" s="105">
        <v>736</v>
      </c>
      <c r="B775" s="106"/>
      <c r="C775" s="106"/>
      <c r="D775" s="8" t="s">
        <v>1538</v>
      </c>
      <c r="E775" s="189" t="s">
        <v>662</v>
      </c>
      <c r="F775" s="106"/>
      <c r="G775" s="106" t="s">
        <v>1538</v>
      </c>
      <c r="H775" s="107">
        <v>4300</v>
      </c>
      <c r="I775" s="8" t="s">
        <v>310</v>
      </c>
      <c r="J775" s="108" t="s">
        <v>663</v>
      </c>
      <c r="K775" s="57">
        <v>60</v>
      </c>
      <c r="L775" s="58">
        <v>60</v>
      </c>
    </row>
    <row r="776" spans="1:12" s="12" customFormat="1" ht="15">
      <c r="A776" s="105">
        <v>737</v>
      </c>
      <c r="B776" s="106"/>
      <c r="C776" s="106"/>
      <c r="D776" s="8" t="s">
        <v>1539</v>
      </c>
      <c r="E776" s="189" t="s">
        <v>662</v>
      </c>
      <c r="F776" s="106"/>
      <c r="G776" s="106" t="s">
        <v>1539</v>
      </c>
      <c r="H776" s="107">
        <v>4300</v>
      </c>
      <c r="I776" s="8" t="s">
        <v>310</v>
      </c>
      <c r="J776" s="108" t="s">
        <v>663</v>
      </c>
      <c r="K776" s="57">
        <v>60</v>
      </c>
      <c r="L776" s="58">
        <v>60</v>
      </c>
    </row>
    <row r="777" spans="1:12" s="12" customFormat="1" ht="15">
      <c r="A777" s="105">
        <v>738</v>
      </c>
      <c r="B777" s="106"/>
      <c r="C777" s="106"/>
      <c r="D777" s="8" t="s">
        <v>102</v>
      </c>
      <c r="E777" s="189" t="s">
        <v>87</v>
      </c>
      <c r="F777" s="107"/>
      <c r="G777" s="107" t="s">
        <v>102</v>
      </c>
      <c r="H777" s="107">
        <v>4200</v>
      </c>
      <c r="I777" s="8" t="s">
        <v>310</v>
      </c>
      <c r="J777" s="8" t="s">
        <v>663</v>
      </c>
      <c r="K777" s="59">
        <v>60</v>
      </c>
      <c r="L777" s="54">
        <v>60</v>
      </c>
    </row>
    <row r="778" spans="1:12" s="12" customFormat="1" ht="15">
      <c r="A778" s="105">
        <v>739</v>
      </c>
      <c r="B778" s="106"/>
      <c r="C778" s="106"/>
      <c r="D778" s="8" t="s">
        <v>101</v>
      </c>
      <c r="E778" s="189" t="s">
        <v>662</v>
      </c>
      <c r="F778" s="107"/>
      <c r="G778" s="107" t="s">
        <v>101</v>
      </c>
      <c r="H778" s="107">
        <v>4200</v>
      </c>
      <c r="I778" s="8" t="s">
        <v>310</v>
      </c>
      <c r="J778" s="8" t="s">
        <v>663</v>
      </c>
      <c r="K778" s="59">
        <v>60</v>
      </c>
      <c r="L778" s="54">
        <v>60</v>
      </c>
    </row>
    <row r="779" spans="1:12" s="12" customFormat="1" ht="15">
      <c r="A779" s="105">
        <v>740</v>
      </c>
      <c r="B779" s="106"/>
      <c r="C779" s="106"/>
      <c r="D779" s="8" t="s">
        <v>1540</v>
      </c>
      <c r="E779" s="189" t="s">
        <v>664</v>
      </c>
      <c r="F779" s="106"/>
      <c r="G779" s="106" t="s">
        <v>1540</v>
      </c>
      <c r="H779" s="107">
        <v>4300</v>
      </c>
      <c r="I779" s="8" t="s">
        <v>310</v>
      </c>
      <c r="J779" s="108" t="s">
        <v>373</v>
      </c>
      <c r="K779" s="57">
        <v>100</v>
      </c>
      <c r="L779" s="58">
        <v>100</v>
      </c>
    </row>
    <row r="780" spans="1:12" s="12" customFormat="1" ht="15">
      <c r="A780" s="105">
        <v>741</v>
      </c>
      <c r="B780" s="106"/>
      <c r="C780" s="106"/>
      <c r="D780" s="8" t="s">
        <v>1541</v>
      </c>
      <c r="E780" s="189" t="s">
        <v>664</v>
      </c>
      <c r="F780" s="106"/>
      <c r="G780" s="106" t="s">
        <v>1541</v>
      </c>
      <c r="H780" s="107">
        <v>4300</v>
      </c>
      <c r="I780" s="8" t="s">
        <v>310</v>
      </c>
      <c r="J780" s="108" t="s">
        <v>373</v>
      </c>
      <c r="K780" s="57">
        <v>100</v>
      </c>
      <c r="L780" s="58">
        <v>100</v>
      </c>
    </row>
    <row r="781" spans="1:12" s="12" customFormat="1" ht="15">
      <c r="A781" s="105">
        <v>742</v>
      </c>
      <c r="B781" s="106"/>
      <c r="C781" s="106"/>
      <c r="D781" s="8" t="s">
        <v>148</v>
      </c>
      <c r="E781" s="189" t="s">
        <v>168</v>
      </c>
      <c r="F781" s="106"/>
      <c r="G781" s="106" t="s">
        <v>148</v>
      </c>
      <c r="H781" s="107">
        <v>4300</v>
      </c>
      <c r="I781" s="8" t="s">
        <v>310</v>
      </c>
      <c r="J781" s="108" t="s">
        <v>373</v>
      </c>
      <c r="K781" s="57">
        <v>100</v>
      </c>
      <c r="L781" s="58">
        <v>100</v>
      </c>
    </row>
    <row r="782" spans="1:12" s="12" customFormat="1" ht="15">
      <c r="A782" s="105">
        <v>743</v>
      </c>
      <c r="B782" s="106"/>
      <c r="C782" s="106"/>
      <c r="D782" s="8" t="s">
        <v>1542</v>
      </c>
      <c r="E782" s="189" t="s">
        <v>679</v>
      </c>
      <c r="F782" s="106"/>
      <c r="G782" s="106" t="s">
        <v>1542</v>
      </c>
      <c r="H782" s="107">
        <v>4300</v>
      </c>
      <c r="I782" s="8" t="s">
        <v>4603</v>
      </c>
      <c r="J782" s="108" t="s">
        <v>1110</v>
      </c>
      <c r="K782" s="57">
        <v>30</v>
      </c>
      <c r="L782" s="58">
        <v>30</v>
      </c>
    </row>
    <row r="783" spans="1:12" s="12" customFormat="1" ht="15">
      <c r="A783" s="105">
        <v>744</v>
      </c>
      <c r="B783" s="106"/>
      <c r="C783" s="106"/>
      <c r="D783" s="8" t="s">
        <v>1543</v>
      </c>
      <c r="E783" s="189" t="s">
        <v>679</v>
      </c>
      <c r="F783" s="106"/>
      <c r="G783" s="106" t="s">
        <v>1543</v>
      </c>
      <c r="H783" s="107">
        <v>4300</v>
      </c>
      <c r="I783" s="8" t="s">
        <v>4603</v>
      </c>
      <c r="J783" s="108" t="s">
        <v>1110</v>
      </c>
      <c r="K783" s="57">
        <v>30</v>
      </c>
      <c r="L783" s="58">
        <v>30</v>
      </c>
    </row>
    <row r="784" spans="1:12" s="12" customFormat="1" ht="15">
      <c r="A784" s="105">
        <v>745</v>
      </c>
      <c r="B784" s="106"/>
      <c r="C784" s="106"/>
      <c r="D784" s="8" t="s">
        <v>1544</v>
      </c>
      <c r="E784" s="189" t="s">
        <v>680</v>
      </c>
      <c r="F784" s="106"/>
      <c r="G784" s="106" t="s">
        <v>1544</v>
      </c>
      <c r="H784" s="107">
        <v>4300</v>
      </c>
      <c r="I784" s="8" t="s">
        <v>4603</v>
      </c>
      <c r="J784" s="108" t="s">
        <v>1110</v>
      </c>
      <c r="K784" s="57">
        <v>30</v>
      </c>
      <c r="L784" s="58">
        <v>30</v>
      </c>
    </row>
    <row r="785" spans="1:12" s="12" customFormat="1" ht="15">
      <c r="A785" s="105">
        <v>746</v>
      </c>
      <c r="B785" s="106"/>
      <c r="C785" s="106"/>
      <c r="D785" s="8" t="s">
        <v>1545</v>
      </c>
      <c r="E785" s="189" t="s">
        <v>679</v>
      </c>
      <c r="F785" s="106"/>
      <c r="G785" s="106" t="s">
        <v>1545</v>
      </c>
      <c r="H785" s="107">
        <v>4300</v>
      </c>
      <c r="I785" s="8" t="s">
        <v>4603</v>
      </c>
      <c r="J785" s="108" t="s">
        <v>1110</v>
      </c>
      <c r="K785" s="57">
        <v>30</v>
      </c>
      <c r="L785" s="58">
        <v>30</v>
      </c>
    </row>
    <row r="786" spans="1:12" s="12" customFormat="1" ht="15">
      <c r="A786" s="105">
        <v>747</v>
      </c>
      <c r="B786" s="106"/>
      <c r="C786" s="106"/>
      <c r="D786" s="8" t="s">
        <v>1546</v>
      </c>
      <c r="E786" s="189" t="s">
        <v>679</v>
      </c>
      <c r="F786" s="106"/>
      <c r="G786" s="106" t="s">
        <v>1546</v>
      </c>
      <c r="H786" s="107">
        <v>4300</v>
      </c>
      <c r="I786" s="8" t="s">
        <v>4603</v>
      </c>
      <c r="J786" s="108" t="s">
        <v>1110</v>
      </c>
      <c r="K786" s="57">
        <v>30</v>
      </c>
      <c r="L786" s="58">
        <v>30</v>
      </c>
    </row>
    <row r="787" spans="1:12" s="12" customFormat="1" ht="15">
      <c r="A787" s="105">
        <v>748</v>
      </c>
      <c r="B787" s="106"/>
      <c r="C787" s="106"/>
      <c r="D787" s="8" t="s">
        <v>1547</v>
      </c>
      <c r="E787" s="189" t="s">
        <v>679</v>
      </c>
      <c r="F787" s="106"/>
      <c r="G787" s="106" t="s">
        <v>1547</v>
      </c>
      <c r="H787" s="107">
        <v>4300</v>
      </c>
      <c r="I787" s="8" t="s">
        <v>4603</v>
      </c>
      <c r="J787" s="108" t="s">
        <v>1110</v>
      </c>
      <c r="K787" s="57">
        <v>30</v>
      </c>
      <c r="L787" s="58">
        <v>30</v>
      </c>
    </row>
    <row r="788" spans="1:12" s="12" customFormat="1" ht="15">
      <c r="A788" s="105">
        <v>749</v>
      </c>
      <c r="B788" s="106"/>
      <c r="C788" s="106"/>
      <c r="D788" s="8" t="s">
        <v>1548</v>
      </c>
      <c r="E788" s="189" t="s">
        <v>680</v>
      </c>
      <c r="F788" s="106"/>
      <c r="G788" s="106" t="s">
        <v>1548</v>
      </c>
      <c r="H788" s="107">
        <v>4300</v>
      </c>
      <c r="I788" s="8" t="s">
        <v>4603</v>
      </c>
      <c r="J788" s="108" t="s">
        <v>1110</v>
      </c>
      <c r="K788" s="57">
        <v>30</v>
      </c>
      <c r="L788" s="58">
        <v>30</v>
      </c>
    </row>
    <row r="789" spans="1:12" s="12" customFormat="1" ht="15">
      <c r="A789" s="105">
        <v>750</v>
      </c>
      <c r="B789" s="106"/>
      <c r="C789" s="106"/>
      <c r="D789" s="8" t="s">
        <v>1549</v>
      </c>
      <c r="E789" s="189" t="s">
        <v>680</v>
      </c>
      <c r="F789" s="106"/>
      <c r="G789" s="106" t="s">
        <v>1549</v>
      </c>
      <c r="H789" s="107">
        <v>4300</v>
      </c>
      <c r="I789" s="8" t="s">
        <v>4603</v>
      </c>
      <c r="J789" s="108" t="s">
        <v>1110</v>
      </c>
      <c r="K789" s="57">
        <v>30</v>
      </c>
      <c r="L789" s="58">
        <v>30</v>
      </c>
    </row>
    <row r="790" spans="1:12" s="12" customFormat="1" ht="15">
      <c r="A790" s="105">
        <v>751</v>
      </c>
      <c r="B790" s="106"/>
      <c r="C790" s="106"/>
      <c r="D790" s="8" t="s">
        <v>331</v>
      </c>
      <c r="E790" s="189" t="s">
        <v>328</v>
      </c>
      <c r="F790" s="107"/>
      <c r="G790" s="107" t="s">
        <v>331</v>
      </c>
      <c r="H790" s="107">
        <v>4300</v>
      </c>
      <c r="I790" s="8" t="s">
        <v>4603</v>
      </c>
      <c r="J790" s="8" t="s">
        <v>1976</v>
      </c>
      <c r="K790" s="57">
        <v>30</v>
      </c>
      <c r="L790" s="58">
        <v>30</v>
      </c>
    </row>
    <row r="791" spans="1:12" s="12" customFormat="1" ht="15">
      <c r="A791" s="105">
        <v>752</v>
      </c>
      <c r="B791" s="106"/>
      <c r="C791" s="106"/>
      <c r="D791" s="8" t="s">
        <v>332</v>
      </c>
      <c r="E791" s="189" t="s">
        <v>328</v>
      </c>
      <c r="F791" s="107"/>
      <c r="G791" s="107" t="s">
        <v>332</v>
      </c>
      <c r="H791" s="107">
        <v>4300</v>
      </c>
      <c r="I791" s="8" t="s">
        <v>4603</v>
      </c>
      <c r="J791" s="8" t="s">
        <v>1976</v>
      </c>
      <c r="K791" s="57">
        <v>30</v>
      </c>
      <c r="L791" s="58">
        <v>30</v>
      </c>
    </row>
    <row r="792" spans="1:12" s="12" customFormat="1" ht="15">
      <c r="A792" s="105">
        <v>753</v>
      </c>
      <c r="B792" s="106"/>
      <c r="C792" s="106"/>
      <c r="D792" s="8" t="s">
        <v>1772</v>
      </c>
      <c r="E792" s="189" t="s">
        <v>681</v>
      </c>
      <c r="F792" s="106"/>
      <c r="G792" s="106" t="s">
        <v>1772</v>
      </c>
      <c r="H792" s="107">
        <v>5110</v>
      </c>
      <c r="I792" s="8" t="s">
        <v>267</v>
      </c>
      <c r="J792" s="108" t="s">
        <v>1110</v>
      </c>
      <c r="K792" s="57">
        <v>30</v>
      </c>
      <c r="L792" s="58">
        <v>30</v>
      </c>
    </row>
    <row r="793" spans="1:12" s="12" customFormat="1" ht="15">
      <c r="A793" s="105">
        <v>754</v>
      </c>
      <c r="B793" s="105"/>
      <c r="C793" s="105"/>
      <c r="D793" s="8" t="s">
        <v>1433</v>
      </c>
      <c r="E793" s="189" t="s">
        <v>681</v>
      </c>
      <c r="F793" s="106"/>
      <c r="G793" s="106" t="s">
        <v>1433</v>
      </c>
      <c r="H793" s="107">
        <v>5110</v>
      </c>
      <c r="I793" s="8" t="s">
        <v>267</v>
      </c>
      <c r="J793" s="108" t="s">
        <v>1110</v>
      </c>
      <c r="K793" s="57">
        <v>30</v>
      </c>
      <c r="L793" s="58">
        <v>30</v>
      </c>
    </row>
    <row r="794" spans="1:12" s="12" customFormat="1" ht="15">
      <c r="A794" s="105">
        <v>755</v>
      </c>
      <c r="B794" s="106"/>
      <c r="C794" s="106"/>
      <c r="D794" s="8" t="s">
        <v>1773</v>
      </c>
      <c r="E794" s="189" t="s">
        <v>681</v>
      </c>
      <c r="F794" s="106"/>
      <c r="G794" s="106" t="s">
        <v>1773</v>
      </c>
      <c r="H794" s="107">
        <v>5110</v>
      </c>
      <c r="I794" s="8" t="s">
        <v>267</v>
      </c>
      <c r="J794" s="108" t="s">
        <v>1110</v>
      </c>
      <c r="K794" s="57">
        <v>30</v>
      </c>
      <c r="L794" s="58">
        <v>30</v>
      </c>
    </row>
    <row r="795" spans="1:12" s="9" customFormat="1" ht="15">
      <c r="A795" s="105">
        <v>756</v>
      </c>
      <c r="B795" s="105"/>
      <c r="C795" s="105"/>
      <c r="D795" s="8" t="s">
        <v>1964</v>
      </c>
      <c r="E795" s="189" t="s">
        <v>681</v>
      </c>
      <c r="F795" s="106"/>
      <c r="G795" s="106" t="s">
        <v>1964</v>
      </c>
      <c r="H795" s="107">
        <v>5110</v>
      </c>
      <c r="I795" s="8" t="s">
        <v>267</v>
      </c>
      <c r="J795" s="108" t="s">
        <v>1110</v>
      </c>
      <c r="K795" s="57">
        <v>30</v>
      </c>
      <c r="L795" s="58">
        <v>30</v>
      </c>
    </row>
    <row r="796" spans="1:12" s="13" customFormat="1" ht="15">
      <c r="A796" s="105">
        <v>757</v>
      </c>
      <c r="B796" s="105"/>
      <c r="C796" s="105"/>
      <c r="D796" s="8" t="s">
        <v>1805</v>
      </c>
      <c r="E796" s="189" t="s">
        <v>681</v>
      </c>
      <c r="F796" s="106"/>
      <c r="G796" s="106" t="s">
        <v>1805</v>
      </c>
      <c r="H796" s="107">
        <v>5110</v>
      </c>
      <c r="I796" s="8" t="s">
        <v>267</v>
      </c>
      <c r="J796" s="108" t="s">
        <v>1110</v>
      </c>
      <c r="K796" s="57">
        <v>30</v>
      </c>
      <c r="L796" s="58">
        <v>30</v>
      </c>
    </row>
    <row r="797" spans="1:12" s="13" customFormat="1" ht="15">
      <c r="A797" s="105">
        <v>758</v>
      </c>
      <c r="B797" s="105"/>
      <c r="C797" s="105"/>
      <c r="D797" s="8" t="s">
        <v>1956</v>
      </c>
      <c r="E797" s="189" t="s">
        <v>681</v>
      </c>
      <c r="F797" s="106"/>
      <c r="G797" s="106" t="s">
        <v>1956</v>
      </c>
      <c r="H797" s="107">
        <v>5110</v>
      </c>
      <c r="I797" s="8" t="s">
        <v>267</v>
      </c>
      <c r="J797" s="108" t="s">
        <v>1110</v>
      </c>
      <c r="K797" s="57">
        <v>30</v>
      </c>
      <c r="L797" s="58">
        <v>30</v>
      </c>
    </row>
    <row r="798" spans="1:12" s="13" customFormat="1" ht="15">
      <c r="A798" s="105">
        <v>759</v>
      </c>
      <c r="B798" s="105"/>
      <c r="C798" s="105"/>
      <c r="D798" s="8" t="s">
        <v>1550</v>
      </c>
      <c r="E798" s="189" t="s">
        <v>681</v>
      </c>
      <c r="F798" s="106"/>
      <c r="G798" s="106" t="s">
        <v>1550</v>
      </c>
      <c r="H798" s="107">
        <v>5110</v>
      </c>
      <c r="I798" s="8" t="s">
        <v>267</v>
      </c>
      <c r="J798" s="108" t="s">
        <v>1110</v>
      </c>
      <c r="K798" s="57">
        <v>30</v>
      </c>
      <c r="L798" s="58">
        <v>30</v>
      </c>
    </row>
    <row r="799" spans="1:12" s="3" customFormat="1" ht="15">
      <c r="A799" s="105">
        <v>760</v>
      </c>
      <c r="B799" s="105"/>
      <c r="C799" s="105"/>
      <c r="D799" s="8" t="s">
        <v>1551</v>
      </c>
      <c r="E799" s="189" t="s">
        <v>681</v>
      </c>
      <c r="F799" s="106"/>
      <c r="G799" s="106" t="s">
        <v>1551</v>
      </c>
      <c r="H799" s="107">
        <v>5110</v>
      </c>
      <c r="I799" s="8" t="s">
        <v>267</v>
      </c>
      <c r="J799" s="108" t="s">
        <v>1110</v>
      </c>
      <c r="K799" s="57">
        <v>30</v>
      </c>
      <c r="L799" s="58">
        <v>30</v>
      </c>
    </row>
    <row r="800" spans="1:12" s="3" customFormat="1" ht="15">
      <c r="A800" s="105">
        <v>761</v>
      </c>
      <c r="B800" s="105"/>
      <c r="C800" s="105"/>
      <c r="D800" s="8" t="s">
        <v>1552</v>
      </c>
      <c r="E800" s="189" t="s">
        <v>681</v>
      </c>
      <c r="F800" s="106"/>
      <c r="G800" s="106" t="s">
        <v>1552</v>
      </c>
      <c r="H800" s="107">
        <v>5110</v>
      </c>
      <c r="I800" s="8" t="s">
        <v>267</v>
      </c>
      <c r="J800" s="108" t="s">
        <v>1110</v>
      </c>
      <c r="K800" s="57">
        <v>30</v>
      </c>
      <c r="L800" s="58">
        <v>30</v>
      </c>
    </row>
    <row r="801" spans="1:12" s="3" customFormat="1" ht="15">
      <c r="A801" s="105">
        <v>762</v>
      </c>
      <c r="B801" s="105"/>
      <c r="C801" s="105"/>
      <c r="D801" s="8" t="s">
        <v>1806</v>
      </c>
      <c r="E801" s="189" t="s">
        <v>681</v>
      </c>
      <c r="F801" s="106"/>
      <c r="G801" s="106" t="s">
        <v>1806</v>
      </c>
      <c r="H801" s="107">
        <v>5110</v>
      </c>
      <c r="I801" s="8" t="s">
        <v>267</v>
      </c>
      <c r="J801" s="108" t="s">
        <v>1110</v>
      </c>
      <c r="K801" s="57">
        <v>30</v>
      </c>
      <c r="L801" s="58">
        <v>30</v>
      </c>
    </row>
    <row r="802" spans="1:12" s="3" customFormat="1" ht="15">
      <c r="A802" s="105">
        <v>763</v>
      </c>
      <c r="B802" s="105"/>
      <c r="C802" s="105"/>
      <c r="D802" s="8" t="s">
        <v>1553</v>
      </c>
      <c r="E802" s="189" t="s">
        <v>681</v>
      </c>
      <c r="F802" s="106"/>
      <c r="G802" s="106" t="s">
        <v>1553</v>
      </c>
      <c r="H802" s="107">
        <v>5110</v>
      </c>
      <c r="I802" s="8" t="s">
        <v>267</v>
      </c>
      <c r="J802" s="108" t="s">
        <v>1110</v>
      </c>
      <c r="K802" s="57">
        <v>30</v>
      </c>
      <c r="L802" s="58">
        <v>30</v>
      </c>
    </row>
    <row r="803" spans="1:12" s="3" customFormat="1" ht="15">
      <c r="A803" s="105">
        <v>764</v>
      </c>
      <c r="B803" s="105"/>
      <c r="C803" s="105"/>
      <c r="D803" s="8" t="s">
        <v>1554</v>
      </c>
      <c r="E803" s="189" t="s">
        <v>681</v>
      </c>
      <c r="F803" s="106"/>
      <c r="G803" s="106" t="s">
        <v>1554</v>
      </c>
      <c r="H803" s="107">
        <v>5110</v>
      </c>
      <c r="I803" s="8" t="s">
        <v>267</v>
      </c>
      <c r="J803" s="108" t="s">
        <v>1110</v>
      </c>
      <c r="K803" s="57">
        <v>30</v>
      </c>
      <c r="L803" s="58">
        <v>30</v>
      </c>
    </row>
    <row r="804" spans="1:12" s="3" customFormat="1" ht="15">
      <c r="A804" s="105">
        <v>765</v>
      </c>
      <c r="B804" s="105"/>
      <c r="C804" s="105"/>
      <c r="D804" s="8" t="s">
        <v>1957</v>
      </c>
      <c r="E804" s="189" t="s">
        <v>681</v>
      </c>
      <c r="F804" s="106"/>
      <c r="G804" s="106" t="s">
        <v>1957</v>
      </c>
      <c r="H804" s="107">
        <v>5110</v>
      </c>
      <c r="I804" s="8" t="s">
        <v>267</v>
      </c>
      <c r="J804" s="108" t="s">
        <v>1110</v>
      </c>
      <c r="K804" s="57">
        <v>30</v>
      </c>
      <c r="L804" s="58">
        <v>30</v>
      </c>
    </row>
    <row r="805" spans="1:12" s="3" customFormat="1" ht="15">
      <c r="A805" s="105">
        <v>766</v>
      </c>
      <c r="B805" s="105"/>
      <c r="C805" s="105"/>
      <c r="D805" s="8" t="s">
        <v>1807</v>
      </c>
      <c r="E805" s="189" t="s">
        <v>681</v>
      </c>
      <c r="F805" s="106"/>
      <c r="G805" s="106" t="s">
        <v>1807</v>
      </c>
      <c r="H805" s="107">
        <v>5110</v>
      </c>
      <c r="I805" s="8" t="s">
        <v>267</v>
      </c>
      <c r="J805" s="108" t="s">
        <v>1110</v>
      </c>
      <c r="K805" s="57">
        <v>30</v>
      </c>
      <c r="L805" s="58">
        <v>30</v>
      </c>
    </row>
    <row r="806" spans="1:12" s="3" customFormat="1" ht="15">
      <c r="A806" s="105">
        <v>767</v>
      </c>
      <c r="B806" s="105"/>
      <c r="C806" s="105"/>
      <c r="D806" s="8" t="s">
        <v>1555</v>
      </c>
      <c r="E806" s="189" t="s">
        <v>681</v>
      </c>
      <c r="F806" s="106"/>
      <c r="G806" s="106" t="s">
        <v>1555</v>
      </c>
      <c r="H806" s="107">
        <v>5110</v>
      </c>
      <c r="I806" s="8" t="s">
        <v>267</v>
      </c>
      <c r="J806" s="108" t="s">
        <v>1110</v>
      </c>
      <c r="K806" s="57">
        <v>30</v>
      </c>
      <c r="L806" s="58">
        <v>30</v>
      </c>
    </row>
    <row r="807" spans="1:12" s="3" customFormat="1" ht="15">
      <c r="A807" s="105">
        <v>768</v>
      </c>
      <c r="B807" s="105"/>
      <c r="C807" s="105"/>
      <c r="D807" s="8" t="s">
        <v>1556</v>
      </c>
      <c r="E807" s="189" t="s">
        <v>681</v>
      </c>
      <c r="F807" s="106"/>
      <c r="G807" s="106" t="s">
        <v>1556</v>
      </c>
      <c r="H807" s="107">
        <v>5110</v>
      </c>
      <c r="I807" s="8" t="s">
        <v>267</v>
      </c>
      <c r="J807" s="108" t="s">
        <v>1110</v>
      </c>
      <c r="K807" s="57">
        <v>30</v>
      </c>
      <c r="L807" s="58">
        <v>30</v>
      </c>
    </row>
    <row r="808" spans="1:12" s="3" customFormat="1" ht="15">
      <c r="A808" s="105">
        <v>769</v>
      </c>
      <c r="B808" s="106"/>
      <c r="C808" s="106"/>
      <c r="D808" s="8" t="s">
        <v>1958</v>
      </c>
      <c r="E808" s="189" t="s">
        <v>681</v>
      </c>
      <c r="F808" s="106"/>
      <c r="G808" s="106" t="s">
        <v>1958</v>
      </c>
      <c r="H808" s="107">
        <v>5110</v>
      </c>
      <c r="I808" s="8" t="s">
        <v>267</v>
      </c>
      <c r="J808" s="108" t="s">
        <v>1110</v>
      </c>
      <c r="K808" s="57">
        <v>30</v>
      </c>
      <c r="L808" s="58">
        <v>30</v>
      </c>
    </row>
    <row r="809" spans="1:12" s="3" customFormat="1" ht="15">
      <c r="A809" s="105">
        <v>770</v>
      </c>
      <c r="B809" s="105"/>
      <c r="C809" s="105"/>
      <c r="D809" s="8" t="s">
        <v>1820</v>
      </c>
      <c r="E809" s="189" t="s">
        <v>681</v>
      </c>
      <c r="F809" s="106"/>
      <c r="G809" s="106" t="s">
        <v>1820</v>
      </c>
      <c r="H809" s="107">
        <v>5110</v>
      </c>
      <c r="I809" s="8" t="s">
        <v>267</v>
      </c>
      <c r="J809" s="108" t="s">
        <v>1110</v>
      </c>
      <c r="K809" s="57">
        <v>30</v>
      </c>
      <c r="L809" s="58">
        <v>30</v>
      </c>
    </row>
    <row r="810" spans="1:12" s="3" customFormat="1" ht="15">
      <c r="A810" s="105">
        <v>771</v>
      </c>
      <c r="B810" s="106"/>
      <c r="C810" s="106"/>
      <c r="D810" s="8" t="s">
        <v>1557</v>
      </c>
      <c r="E810" s="189" t="s">
        <v>681</v>
      </c>
      <c r="F810" s="106"/>
      <c r="G810" s="106" t="s">
        <v>1557</v>
      </c>
      <c r="H810" s="107">
        <v>5110</v>
      </c>
      <c r="I810" s="8" t="s">
        <v>267</v>
      </c>
      <c r="J810" s="108" t="s">
        <v>1110</v>
      </c>
      <c r="K810" s="57">
        <v>30</v>
      </c>
      <c r="L810" s="58">
        <v>30</v>
      </c>
    </row>
    <row r="811" spans="1:12" s="3" customFormat="1" ht="15">
      <c r="A811" s="105">
        <v>772</v>
      </c>
      <c r="B811" s="105"/>
      <c r="C811" s="105"/>
      <c r="D811" s="8" t="s">
        <v>1821</v>
      </c>
      <c r="E811" s="189" t="s">
        <v>681</v>
      </c>
      <c r="F811" s="106"/>
      <c r="G811" s="106" t="s">
        <v>1821</v>
      </c>
      <c r="H811" s="107">
        <v>5110</v>
      </c>
      <c r="I811" s="8" t="s">
        <v>267</v>
      </c>
      <c r="J811" s="108" t="s">
        <v>1110</v>
      </c>
      <c r="K811" s="57">
        <v>30</v>
      </c>
      <c r="L811" s="58">
        <v>30</v>
      </c>
    </row>
    <row r="812" spans="1:12" s="3" customFormat="1" ht="15">
      <c r="A812" s="105">
        <v>773</v>
      </c>
      <c r="B812" s="106"/>
      <c r="C812" s="106"/>
      <c r="D812" s="8" t="s">
        <v>1558</v>
      </c>
      <c r="E812" s="189" t="s">
        <v>681</v>
      </c>
      <c r="F812" s="106"/>
      <c r="G812" s="106" t="s">
        <v>1558</v>
      </c>
      <c r="H812" s="107">
        <v>5110</v>
      </c>
      <c r="I812" s="8" t="s">
        <v>267</v>
      </c>
      <c r="J812" s="108" t="s">
        <v>1110</v>
      </c>
      <c r="K812" s="57">
        <v>30</v>
      </c>
      <c r="L812" s="58">
        <v>30</v>
      </c>
    </row>
    <row r="813" spans="1:12" s="3" customFormat="1" ht="15">
      <c r="A813" s="105">
        <v>774</v>
      </c>
      <c r="B813" s="105"/>
      <c r="C813" s="105"/>
      <c r="D813" s="8" t="s">
        <v>1822</v>
      </c>
      <c r="E813" s="189" t="s">
        <v>681</v>
      </c>
      <c r="F813" s="106"/>
      <c r="G813" s="106" t="s">
        <v>1822</v>
      </c>
      <c r="H813" s="107">
        <v>5110</v>
      </c>
      <c r="I813" s="8" t="s">
        <v>267</v>
      </c>
      <c r="J813" s="108" t="s">
        <v>1110</v>
      </c>
      <c r="K813" s="57">
        <v>30</v>
      </c>
      <c r="L813" s="58">
        <v>30</v>
      </c>
    </row>
    <row r="814" spans="1:12" s="3" customFormat="1" ht="15">
      <c r="A814" s="105">
        <v>775</v>
      </c>
      <c r="B814" s="106"/>
      <c r="C814" s="106"/>
      <c r="D814" s="8" t="s">
        <v>1775</v>
      </c>
      <c r="E814" s="189" t="s">
        <v>681</v>
      </c>
      <c r="F814" s="106"/>
      <c r="G814" s="106" t="s">
        <v>1775</v>
      </c>
      <c r="H814" s="107">
        <v>5110</v>
      </c>
      <c r="I814" s="8" t="s">
        <v>267</v>
      </c>
      <c r="J814" s="108" t="s">
        <v>1110</v>
      </c>
      <c r="K814" s="57">
        <v>30</v>
      </c>
      <c r="L814" s="58">
        <v>30</v>
      </c>
    </row>
    <row r="815" spans="1:12" s="3" customFormat="1" ht="15">
      <c r="A815" s="105">
        <v>776</v>
      </c>
      <c r="B815" s="105"/>
      <c r="C815" s="105"/>
      <c r="D815" s="8" t="s">
        <v>1823</v>
      </c>
      <c r="E815" s="189" t="s">
        <v>681</v>
      </c>
      <c r="F815" s="106"/>
      <c r="G815" s="106" t="s">
        <v>1823</v>
      </c>
      <c r="H815" s="107">
        <v>5110</v>
      </c>
      <c r="I815" s="8" t="s">
        <v>267</v>
      </c>
      <c r="J815" s="108" t="s">
        <v>1110</v>
      </c>
      <c r="K815" s="57">
        <v>30</v>
      </c>
      <c r="L815" s="58">
        <v>30</v>
      </c>
    </row>
    <row r="816" spans="1:12" s="3" customFormat="1" ht="15">
      <c r="A816" s="105">
        <v>777</v>
      </c>
      <c r="B816" s="106"/>
      <c r="C816" s="106"/>
      <c r="D816" s="8" t="s">
        <v>1559</v>
      </c>
      <c r="E816" s="189" t="s">
        <v>681</v>
      </c>
      <c r="F816" s="106"/>
      <c r="G816" s="106" t="s">
        <v>1559</v>
      </c>
      <c r="H816" s="107">
        <v>5110</v>
      </c>
      <c r="I816" s="8" t="s">
        <v>267</v>
      </c>
      <c r="J816" s="108" t="s">
        <v>1110</v>
      </c>
      <c r="K816" s="57">
        <v>30</v>
      </c>
      <c r="L816" s="58">
        <v>30</v>
      </c>
    </row>
    <row r="817" spans="1:12" s="9" customFormat="1" ht="15">
      <c r="A817" s="105">
        <v>778</v>
      </c>
      <c r="B817" s="105"/>
      <c r="C817" s="105"/>
      <c r="D817" s="8" t="s">
        <v>1824</v>
      </c>
      <c r="E817" s="189" t="s">
        <v>681</v>
      </c>
      <c r="F817" s="106"/>
      <c r="G817" s="106" t="s">
        <v>1824</v>
      </c>
      <c r="H817" s="107">
        <v>5110</v>
      </c>
      <c r="I817" s="8" t="s">
        <v>267</v>
      </c>
      <c r="J817" s="108" t="s">
        <v>1110</v>
      </c>
      <c r="K817" s="57">
        <v>30</v>
      </c>
      <c r="L817" s="58">
        <v>30</v>
      </c>
    </row>
    <row r="818" spans="1:12" s="9" customFormat="1" ht="15">
      <c r="A818" s="105">
        <v>779</v>
      </c>
      <c r="B818" s="106"/>
      <c r="C818" s="106"/>
      <c r="D818" s="8" t="s">
        <v>100</v>
      </c>
      <c r="E818" s="189" t="s">
        <v>681</v>
      </c>
      <c r="F818" s="106"/>
      <c r="G818" s="107" t="s">
        <v>100</v>
      </c>
      <c r="H818" s="107">
        <v>5110</v>
      </c>
      <c r="I818" s="8" t="s">
        <v>267</v>
      </c>
      <c r="J818" s="108" t="s">
        <v>1110</v>
      </c>
      <c r="K818" s="57">
        <v>30</v>
      </c>
      <c r="L818" s="58">
        <v>30</v>
      </c>
    </row>
    <row r="819" spans="1:12" s="9" customFormat="1" ht="15">
      <c r="A819" s="105">
        <v>780</v>
      </c>
      <c r="B819" s="105"/>
      <c r="C819" s="105"/>
      <c r="D819" s="8" t="s">
        <v>1500</v>
      </c>
      <c r="E819" s="189" t="s">
        <v>681</v>
      </c>
      <c r="F819" s="106"/>
      <c r="G819" s="106" t="s">
        <v>1500</v>
      </c>
      <c r="H819" s="107">
        <v>5110</v>
      </c>
      <c r="I819" s="8" t="s">
        <v>267</v>
      </c>
      <c r="J819" s="108" t="s">
        <v>1110</v>
      </c>
      <c r="K819" s="57">
        <v>30</v>
      </c>
      <c r="L819" s="58">
        <v>30</v>
      </c>
    </row>
    <row r="820" spans="1:12" s="9" customFormat="1" ht="15">
      <c r="A820" s="105">
        <v>781</v>
      </c>
      <c r="B820" s="106"/>
      <c r="C820" s="106"/>
      <c r="D820" s="8" t="s">
        <v>99</v>
      </c>
      <c r="E820" s="189" t="s">
        <v>681</v>
      </c>
      <c r="F820" s="106"/>
      <c r="G820" s="107" t="s">
        <v>99</v>
      </c>
      <c r="H820" s="107">
        <v>5110</v>
      </c>
      <c r="I820" s="8" t="s">
        <v>267</v>
      </c>
      <c r="J820" s="108" t="s">
        <v>1110</v>
      </c>
      <c r="K820" s="57">
        <v>30</v>
      </c>
      <c r="L820" s="58">
        <v>30</v>
      </c>
    </row>
    <row r="821" spans="1:12" s="3" customFormat="1" ht="15">
      <c r="A821" s="105">
        <v>782</v>
      </c>
      <c r="B821" s="105"/>
      <c r="C821" s="105"/>
      <c r="D821" s="8" t="s">
        <v>1502</v>
      </c>
      <c r="E821" s="189" t="s">
        <v>681</v>
      </c>
      <c r="F821" s="106"/>
      <c r="G821" s="106" t="s">
        <v>1502</v>
      </c>
      <c r="H821" s="107">
        <v>5110</v>
      </c>
      <c r="I821" s="8" t="s">
        <v>267</v>
      </c>
      <c r="J821" s="108" t="s">
        <v>1110</v>
      </c>
      <c r="K821" s="57">
        <v>30</v>
      </c>
      <c r="L821" s="58">
        <v>30</v>
      </c>
    </row>
    <row r="822" spans="1:12" s="3" customFormat="1" ht="15">
      <c r="A822" s="105">
        <v>783</v>
      </c>
      <c r="B822" s="105"/>
      <c r="C822" s="105"/>
      <c r="D822" s="8" t="s">
        <v>1560</v>
      </c>
      <c r="E822" s="189" t="s">
        <v>681</v>
      </c>
      <c r="F822" s="106"/>
      <c r="G822" s="106" t="s">
        <v>1560</v>
      </c>
      <c r="H822" s="107">
        <v>5110</v>
      </c>
      <c r="I822" s="8" t="s">
        <v>267</v>
      </c>
      <c r="J822" s="108" t="s">
        <v>1110</v>
      </c>
      <c r="K822" s="57">
        <v>30</v>
      </c>
      <c r="L822" s="58">
        <v>30</v>
      </c>
    </row>
    <row r="823" spans="1:12" s="3" customFormat="1" ht="15">
      <c r="A823" s="105">
        <v>784</v>
      </c>
      <c r="B823" s="105"/>
      <c r="C823" s="105"/>
      <c r="D823" s="8" t="s">
        <v>1733</v>
      </c>
      <c r="E823" s="189" t="s">
        <v>681</v>
      </c>
      <c r="F823" s="106"/>
      <c r="G823" s="106" t="s">
        <v>1733</v>
      </c>
      <c r="H823" s="107">
        <v>5110</v>
      </c>
      <c r="I823" s="8" t="s">
        <v>267</v>
      </c>
      <c r="J823" s="108" t="s">
        <v>1110</v>
      </c>
      <c r="K823" s="57">
        <v>30</v>
      </c>
      <c r="L823" s="58">
        <v>30</v>
      </c>
    </row>
    <row r="824" spans="1:12" s="3" customFormat="1" ht="15">
      <c r="A824" s="105">
        <v>785</v>
      </c>
      <c r="B824" s="106"/>
      <c r="C824" s="106"/>
      <c r="D824" s="8" t="s">
        <v>1876</v>
      </c>
      <c r="E824" s="189" t="s">
        <v>681</v>
      </c>
      <c r="F824" s="106"/>
      <c r="G824" s="107" t="s">
        <v>1876</v>
      </c>
      <c r="H824" s="107">
        <v>5110</v>
      </c>
      <c r="I824" s="8" t="s">
        <v>267</v>
      </c>
      <c r="J824" s="108" t="s">
        <v>1110</v>
      </c>
      <c r="K824" s="57">
        <v>30</v>
      </c>
      <c r="L824" s="58">
        <v>30</v>
      </c>
    </row>
    <row r="825" spans="1:12" s="3" customFormat="1" ht="15">
      <c r="A825" s="105">
        <v>786</v>
      </c>
      <c r="B825" s="105"/>
      <c r="C825" s="105"/>
      <c r="D825" s="8" t="s">
        <v>1501</v>
      </c>
      <c r="E825" s="189" t="s">
        <v>681</v>
      </c>
      <c r="F825" s="106"/>
      <c r="G825" s="106" t="s">
        <v>1501</v>
      </c>
      <c r="H825" s="107">
        <v>5110</v>
      </c>
      <c r="I825" s="8" t="s">
        <v>267</v>
      </c>
      <c r="J825" s="108" t="s">
        <v>1110</v>
      </c>
      <c r="K825" s="57">
        <v>30</v>
      </c>
      <c r="L825" s="58">
        <v>30</v>
      </c>
    </row>
    <row r="826" spans="1:12" s="3" customFormat="1" ht="15">
      <c r="A826" s="105">
        <v>787</v>
      </c>
      <c r="B826" s="106"/>
      <c r="C826" s="106"/>
      <c r="D826" s="8" t="s">
        <v>1877</v>
      </c>
      <c r="E826" s="189" t="s">
        <v>681</v>
      </c>
      <c r="F826" s="106"/>
      <c r="G826" s="107" t="s">
        <v>1877</v>
      </c>
      <c r="H826" s="107">
        <v>5110</v>
      </c>
      <c r="I826" s="8" t="s">
        <v>267</v>
      </c>
      <c r="J826" s="108" t="s">
        <v>1110</v>
      </c>
      <c r="K826" s="57">
        <v>30</v>
      </c>
      <c r="L826" s="58">
        <v>30</v>
      </c>
    </row>
    <row r="827" spans="1:12" s="3" customFormat="1" ht="15">
      <c r="A827" s="105">
        <v>788</v>
      </c>
      <c r="B827" s="105"/>
      <c r="C827" s="105"/>
      <c r="D827" s="8" t="s">
        <v>1503</v>
      </c>
      <c r="E827" s="189" t="s">
        <v>681</v>
      </c>
      <c r="F827" s="106"/>
      <c r="G827" s="106" t="s">
        <v>1503</v>
      </c>
      <c r="H827" s="107">
        <v>5110</v>
      </c>
      <c r="I827" s="8" t="s">
        <v>267</v>
      </c>
      <c r="J827" s="108" t="s">
        <v>1110</v>
      </c>
      <c r="K827" s="57">
        <v>30</v>
      </c>
      <c r="L827" s="58">
        <v>30</v>
      </c>
    </row>
    <row r="828" spans="1:12" s="3" customFormat="1" ht="15">
      <c r="A828" s="105">
        <v>789</v>
      </c>
      <c r="B828" s="105"/>
      <c r="C828" s="105"/>
      <c r="D828" s="8" t="s">
        <v>1878</v>
      </c>
      <c r="E828" s="189" t="s">
        <v>681</v>
      </c>
      <c r="F828" s="106"/>
      <c r="G828" s="106" t="s">
        <v>1878</v>
      </c>
      <c r="H828" s="107">
        <v>5110</v>
      </c>
      <c r="I828" s="8" t="s">
        <v>267</v>
      </c>
      <c r="J828" s="108" t="s">
        <v>1110</v>
      </c>
      <c r="K828" s="57">
        <v>30</v>
      </c>
      <c r="L828" s="58">
        <v>30</v>
      </c>
    </row>
    <row r="829" spans="1:12" s="3" customFormat="1" ht="15">
      <c r="A829" s="105">
        <v>790</v>
      </c>
      <c r="B829" s="105"/>
      <c r="C829" s="105"/>
      <c r="D829" s="8" t="s">
        <v>1879</v>
      </c>
      <c r="E829" s="189" t="s">
        <v>681</v>
      </c>
      <c r="F829" s="106"/>
      <c r="G829" s="106" t="s">
        <v>1879</v>
      </c>
      <c r="H829" s="107">
        <v>5110</v>
      </c>
      <c r="I829" s="8" t="s">
        <v>267</v>
      </c>
      <c r="J829" s="108" t="s">
        <v>1110</v>
      </c>
      <c r="K829" s="57">
        <v>30</v>
      </c>
      <c r="L829" s="58">
        <v>30</v>
      </c>
    </row>
    <row r="830" spans="1:12" s="3" customFormat="1" ht="15">
      <c r="A830" s="105">
        <v>791</v>
      </c>
      <c r="B830" s="105"/>
      <c r="C830" s="105"/>
      <c r="D830" s="8" t="s">
        <v>1880</v>
      </c>
      <c r="E830" s="189" t="s">
        <v>681</v>
      </c>
      <c r="F830" s="106"/>
      <c r="G830" s="106" t="s">
        <v>1880</v>
      </c>
      <c r="H830" s="107">
        <v>5110</v>
      </c>
      <c r="I830" s="8" t="s">
        <v>267</v>
      </c>
      <c r="J830" s="108" t="s">
        <v>1110</v>
      </c>
      <c r="K830" s="57">
        <v>30</v>
      </c>
      <c r="L830" s="58">
        <v>30</v>
      </c>
    </row>
    <row r="831" spans="1:12" s="3" customFormat="1" ht="15">
      <c r="A831" s="105">
        <v>792</v>
      </c>
      <c r="B831" s="106"/>
      <c r="C831" s="106"/>
      <c r="D831" s="8" t="s">
        <v>1450</v>
      </c>
      <c r="E831" s="189" t="s">
        <v>681</v>
      </c>
      <c r="F831" s="106"/>
      <c r="G831" s="106" t="s">
        <v>1450</v>
      </c>
      <c r="H831" s="107">
        <v>5110</v>
      </c>
      <c r="I831" s="8" t="s">
        <v>267</v>
      </c>
      <c r="J831" s="108" t="s">
        <v>1110</v>
      </c>
      <c r="K831" s="57">
        <v>30</v>
      </c>
      <c r="L831" s="58">
        <v>30</v>
      </c>
    </row>
    <row r="832" spans="1:12" s="3" customFormat="1" ht="15">
      <c r="A832" s="105">
        <v>793</v>
      </c>
      <c r="B832" s="105"/>
      <c r="C832" s="105"/>
      <c r="D832" s="8" t="s">
        <v>1825</v>
      </c>
      <c r="E832" s="189" t="s">
        <v>681</v>
      </c>
      <c r="F832" s="106"/>
      <c r="G832" s="106" t="s">
        <v>1825</v>
      </c>
      <c r="H832" s="107">
        <v>5110</v>
      </c>
      <c r="I832" s="8" t="s">
        <v>267</v>
      </c>
      <c r="J832" s="108" t="s">
        <v>1110</v>
      </c>
      <c r="K832" s="57">
        <v>30</v>
      </c>
      <c r="L832" s="58">
        <v>30</v>
      </c>
    </row>
    <row r="833" spans="1:12" s="3" customFormat="1" ht="15">
      <c r="A833" s="105">
        <v>794</v>
      </c>
      <c r="B833" s="106"/>
      <c r="C833" s="106"/>
      <c r="D833" s="8" t="s">
        <v>1881</v>
      </c>
      <c r="E833" s="189" t="s">
        <v>681</v>
      </c>
      <c r="F833" s="106"/>
      <c r="G833" s="106" t="s">
        <v>1881</v>
      </c>
      <c r="H833" s="107">
        <v>5110</v>
      </c>
      <c r="I833" s="8" t="s">
        <v>267</v>
      </c>
      <c r="J833" s="108" t="s">
        <v>1110</v>
      </c>
      <c r="K833" s="57">
        <v>30</v>
      </c>
      <c r="L833" s="58">
        <v>30</v>
      </c>
    </row>
    <row r="834" spans="1:12" s="3" customFormat="1" ht="15">
      <c r="A834" s="105">
        <v>795</v>
      </c>
      <c r="B834" s="105"/>
      <c r="C834" s="105"/>
      <c r="D834" s="8" t="s">
        <v>1826</v>
      </c>
      <c r="E834" s="189" t="s">
        <v>681</v>
      </c>
      <c r="F834" s="106"/>
      <c r="G834" s="106" t="s">
        <v>1826</v>
      </c>
      <c r="H834" s="107">
        <v>5110</v>
      </c>
      <c r="I834" s="8" t="s">
        <v>267</v>
      </c>
      <c r="J834" s="108" t="s">
        <v>1110</v>
      </c>
      <c r="K834" s="57">
        <v>30</v>
      </c>
      <c r="L834" s="58">
        <v>30</v>
      </c>
    </row>
    <row r="835" spans="1:12" s="3" customFormat="1" ht="15">
      <c r="A835" s="105">
        <v>796</v>
      </c>
      <c r="B835" s="106"/>
      <c r="C835" s="106"/>
      <c r="D835" s="8" t="s">
        <v>1882</v>
      </c>
      <c r="E835" s="189" t="s">
        <v>681</v>
      </c>
      <c r="F835" s="106"/>
      <c r="G835" s="106" t="s">
        <v>1882</v>
      </c>
      <c r="H835" s="107">
        <v>5110</v>
      </c>
      <c r="I835" s="8" t="s">
        <v>267</v>
      </c>
      <c r="J835" s="108" t="s">
        <v>1110</v>
      </c>
      <c r="K835" s="57">
        <v>30</v>
      </c>
      <c r="L835" s="58">
        <v>30</v>
      </c>
    </row>
    <row r="836" spans="1:12" s="3" customFormat="1" ht="15">
      <c r="A836" s="105">
        <v>797</v>
      </c>
      <c r="B836" s="105"/>
      <c r="C836" s="105"/>
      <c r="D836" s="8" t="s">
        <v>1827</v>
      </c>
      <c r="E836" s="189" t="s">
        <v>681</v>
      </c>
      <c r="F836" s="106"/>
      <c r="G836" s="106" t="s">
        <v>1827</v>
      </c>
      <c r="H836" s="107">
        <v>5110</v>
      </c>
      <c r="I836" s="8" t="s">
        <v>267</v>
      </c>
      <c r="J836" s="108" t="s">
        <v>1110</v>
      </c>
      <c r="K836" s="57">
        <v>30</v>
      </c>
      <c r="L836" s="58">
        <v>30</v>
      </c>
    </row>
    <row r="837" spans="1:12" s="3" customFormat="1" ht="15">
      <c r="A837" s="105">
        <v>798</v>
      </c>
      <c r="B837" s="106"/>
      <c r="C837" s="106"/>
      <c r="D837" s="8" t="s">
        <v>1883</v>
      </c>
      <c r="E837" s="189" t="s">
        <v>681</v>
      </c>
      <c r="F837" s="106"/>
      <c r="G837" s="106" t="s">
        <v>1883</v>
      </c>
      <c r="H837" s="107">
        <v>5110</v>
      </c>
      <c r="I837" s="8" t="s">
        <v>267</v>
      </c>
      <c r="J837" s="108" t="s">
        <v>1110</v>
      </c>
      <c r="K837" s="57">
        <v>30</v>
      </c>
      <c r="L837" s="58">
        <v>30</v>
      </c>
    </row>
    <row r="838" spans="1:12" s="3" customFormat="1" ht="15">
      <c r="A838" s="105">
        <v>799</v>
      </c>
      <c r="B838" s="106"/>
      <c r="C838" s="106"/>
      <c r="D838" s="8" t="s">
        <v>1451</v>
      </c>
      <c r="E838" s="189" t="s">
        <v>681</v>
      </c>
      <c r="F838" s="106"/>
      <c r="G838" s="106" t="s">
        <v>1451</v>
      </c>
      <c r="H838" s="107">
        <v>5110</v>
      </c>
      <c r="I838" s="8" t="s">
        <v>267</v>
      </c>
      <c r="J838" s="108" t="s">
        <v>1110</v>
      </c>
      <c r="K838" s="57">
        <v>30</v>
      </c>
      <c r="L838" s="58">
        <v>30</v>
      </c>
    </row>
    <row r="839" spans="1:12" s="3" customFormat="1" ht="15">
      <c r="A839" s="105">
        <v>800</v>
      </c>
      <c r="B839" s="105"/>
      <c r="C839" s="105"/>
      <c r="D839" s="8" t="s">
        <v>1828</v>
      </c>
      <c r="E839" s="189" t="s">
        <v>681</v>
      </c>
      <c r="F839" s="106"/>
      <c r="G839" s="106" t="s">
        <v>1828</v>
      </c>
      <c r="H839" s="107">
        <v>5110</v>
      </c>
      <c r="I839" s="8" t="s">
        <v>267</v>
      </c>
      <c r="J839" s="108" t="s">
        <v>1110</v>
      </c>
      <c r="K839" s="57">
        <v>30</v>
      </c>
      <c r="L839" s="58">
        <v>30</v>
      </c>
    </row>
    <row r="840" spans="1:12" s="3" customFormat="1" ht="15">
      <c r="A840" s="105">
        <v>801</v>
      </c>
      <c r="B840" s="106"/>
      <c r="C840" s="106"/>
      <c r="D840" s="8" t="s">
        <v>1561</v>
      </c>
      <c r="E840" s="189" t="s">
        <v>681</v>
      </c>
      <c r="F840" s="106"/>
      <c r="G840" s="106" t="s">
        <v>1561</v>
      </c>
      <c r="H840" s="107">
        <v>5110</v>
      </c>
      <c r="I840" s="8" t="s">
        <v>267</v>
      </c>
      <c r="J840" s="108" t="s">
        <v>1110</v>
      </c>
      <c r="K840" s="57">
        <v>30</v>
      </c>
      <c r="L840" s="58">
        <v>30</v>
      </c>
    </row>
    <row r="841" spans="1:12" s="3" customFormat="1" ht="15">
      <c r="A841" s="105">
        <v>802</v>
      </c>
      <c r="B841" s="105"/>
      <c r="C841" s="105"/>
      <c r="D841" s="8" t="s">
        <v>1829</v>
      </c>
      <c r="E841" s="189" t="s">
        <v>681</v>
      </c>
      <c r="F841" s="106"/>
      <c r="G841" s="106" t="s">
        <v>1829</v>
      </c>
      <c r="H841" s="107">
        <v>5110</v>
      </c>
      <c r="I841" s="8" t="s">
        <v>267</v>
      </c>
      <c r="J841" s="108" t="s">
        <v>1110</v>
      </c>
      <c r="K841" s="57">
        <v>30</v>
      </c>
      <c r="L841" s="58">
        <v>30</v>
      </c>
    </row>
    <row r="842" spans="1:12" s="3" customFormat="1" ht="15">
      <c r="A842" s="105">
        <v>803</v>
      </c>
      <c r="B842" s="106"/>
      <c r="C842" s="106"/>
      <c r="D842" s="8" t="s">
        <v>1776</v>
      </c>
      <c r="E842" s="189" t="s">
        <v>681</v>
      </c>
      <c r="F842" s="106"/>
      <c r="G842" s="107" t="s">
        <v>1776</v>
      </c>
      <c r="H842" s="107">
        <v>5110</v>
      </c>
      <c r="I842" s="8" t="s">
        <v>267</v>
      </c>
      <c r="J842" s="108" t="s">
        <v>1110</v>
      </c>
      <c r="K842" s="57">
        <v>30</v>
      </c>
      <c r="L842" s="58">
        <v>30</v>
      </c>
    </row>
    <row r="843" spans="1:12" s="3" customFormat="1" ht="15">
      <c r="A843" s="105">
        <v>804</v>
      </c>
      <c r="B843" s="105"/>
      <c r="C843" s="105"/>
      <c r="D843" s="8" t="s">
        <v>1504</v>
      </c>
      <c r="E843" s="189" t="s">
        <v>681</v>
      </c>
      <c r="F843" s="106"/>
      <c r="G843" s="106" t="s">
        <v>1504</v>
      </c>
      <c r="H843" s="107">
        <v>5110</v>
      </c>
      <c r="I843" s="8" t="s">
        <v>267</v>
      </c>
      <c r="J843" s="108" t="s">
        <v>1110</v>
      </c>
      <c r="K843" s="57">
        <v>30</v>
      </c>
      <c r="L843" s="58">
        <v>30</v>
      </c>
    </row>
    <row r="844" spans="1:12" s="3" customFormat="1" ht="15">
      <c r="A844" s="105">
        <v>805</v>
      </c>
      <c r="B844" s="106"/>
      <c r="C844" s="106"/>
      <c r="D844" s="8" t="s">
        <v>658</v>
      </c>
      <c r="E844" s="189" t="s">
        <v>681</v>
      </c>
      <c r="F844" s="106"/>
      <c r="G844" s="106" t="s">
        <v>658</v>
      </c>
      <c r="H844" s="107">
        <v>5110</v>
      </c>
      <c r="I844" s="8" t="s">
        <v>267</v>
      </c>
      <c r="J844" s="108" t="s">
        <v>1110</v>
      </c>
      <c r="K844" s="57">
        <v>30</v>
      </c>
      <c r="L844" s="58">
        <v>30</v>
      </c>
    </row>
    <row r="845" spans="1:12" s="3" customFormat="1" ht="15">
      <c r="A845" s="105">
        <v>806</v>
      </c>
      <c r="B845" s="105"/>
      <c r="C845" s="105"/>
      <c r="D845" s="8" t="s">
        <v>1965</v>
      </c>
      <c r="E845" s="189" t="s">
        <v>681</v>
      </c>
      <c r="F845" s="106"/>
      <c r="G845" s="106" t="s">
        <v>1965</v>
      </c>
      <c r="H845" s="107">
        <v>5110</v>
      </c>
      <c r="I845" s="8" t="s">
        <v>267</v>
      </c>
      <c r="J845" s="108" t="s">
        <v>1110</v>
      </c>
      <c r="K845" s="57">
        <v>30</v>
      </c>
      <c r="L845" s="58">
        <v>30</v>
      </c>
    </row>
    <row r="846" spans="1:12" s="3" customFormat="1" ht="15">
      <c r="A846" s="105">
        <v>807</v>
      </c>
      <c r="B846" s="106"/>
      <c r="C846" s="106"/>
      <c r="D846" s="8" t="s">
        <v>1777</v>
      </c>
      <c r="E846" s="189" t="s">
        <v>681</v>
      </c>
      <c r="F846" s="106"/>
      <c r="G846" s="107" t="s">
        <v>1777</v>
      </c>
      <c r="H846" s="107">
        <v>5110</v>
      </c>
      <c r="I846" s="8" t="s">
        <v>267</v>
      </c>
      <c r="J846" s="108" t="s">
        <v>1110</v>
      </c>
      <c r="K846" s="57">
        <v>30</v>
      </c>
      <c r="L846" s="58">
        <v>30</v>
      </c>
    </row>
    <row r="847" spans="1:12" s="4" customFormat="1" ht="15">
      <c r="A847" s="105">
        <v>808</v>
      </c>
      <c r="B847" s="105"/>
      <c r="C847" s="105"/>
      <c r="D847" s="8" t="s">
        <v>1505</v>
      </c>
      <c r="E847" s="189" t="s">
        <v>681</v>
      </c>
      <c r="F847" s="106"/>
      <c r="G847" s="106" t="s">
        <v>1505</v>
      </c>
      <c r="H847" s="107">
        <v>5110</v>
      </c>
      <c r="I847" s="8" t="s">
        <v>267</v>
      </c>
      <c r="J847" s="108" t="s">
        <v>1110</v>
      </c>
      <c r="K847" s="57">
        <v>30</v>
      </c>
      <c r="L847" s="58">
        <v>30</v>
      </c>
    </row>
    <row r="848" spans="1:12" s="4" customFormat="1" ht="15">
      <c r="A848" s="105">
        <v>809</v>
      </c>
      <c r="B848" s="106"/>
      <c r="C848" s="106"/>
      <c r="D848" s="8" t="s">
        <v>1778</v>
      </c>
      <c r="E848" s="189" t="s">
        <v>681</v>
      </c>
      <c r="F848" s="106"/>
      <c r="G848" s="107" t="s">
        <v>1778</v>
      </c>
      <c r="H848" s="107">
        <v>5110</v>
      </c>
      <c r="I848" s="8" t="s">
        <v>267</v>
      </c>
      <c r="J848" s="108" t="s">
        <v>1110</v>
      </c>
      <c r="K848" s="57">
        <v>30</v>
      </c>
      <c r="L848" s="58">
        <v>30</v>
      </c>
    </row>
    <row r="849" spans="1:12" s="4" customFormat="1" ht="15">
      <c r="A849" s="105">
        <v>810</v>
      </c>
      <c r="B849" s="105"/>
      <c r="C849" s="105"/>
      <c r="D849" s="8" t="s">
        <v>1506</v>
      </c>
      <c r="E849" s="189" t="s">
        <v>681</v>
      </c>
      <c r="F849" s="106"/>
      <c r="G849" s="106" t="s">
        <v>1506</v>
      </c>
      <c r="H849" s="107">
        <v>5110</v>
      </c>
      <c r="I849" s="8" t="s">
        <v>267</v>
      </c>
      <c r="J849" s="108" t="s">
        <v>1110</v>
      </c>
      <c r="K849" s="57">
        <v>30</v>
      </c>
      <c r="L849" s="58">
        <v>30</v>
      </c>
    </row>
    <row r="850" spans="1:12" s="4" customFormat="1" ht="15">
      <c r="A850" s="105">
        <v>811</v>
      </c>
      <c r="B850" s="105"/>
      <c r="C850" s="105"/>
      <c r="D850" s="8" t="s">
        <v>1779</v>
      </c>
      <c r="E850" s="189" t="s">
        <v>681</v>
      </c>
      <c r="F850" s="106"/>
      <c r="G850" s="106" t="s">
        <v>1779</v>
      </c>
      <c r="H850" s="107">
        <v>5110</v>
      </c>
      <c r="I850" s="8" t="s">
        <v>267</v>
      </c>
      <c r="J850" s="108" t="s">
        <v>1110</v>
      </c>
      <c r="K850" s="57">
        <v>30</v>
      </c>
      <c r="L850" s="58">
        <v>30</v>
      </c>
    </row>
    <row r="851" spans="1:12" s="3" customFormat="1" ht="15">
      <c r="A851" s="105">
        <v>812</v>
      </c>
      <c r="B851" s="105"/>
      <c r="C851" s="105"/>
      <c r="D851" s="8" t="s">
        <v>1109</v>
      </c>
      <c r="E851" s="189" t="s">
        <v>681</v>
      </c>
      <c r="F851" s="106"/>
      <c r="G851" s="106" t="s">
        <v>1109</v>
      </c>
      <c r="H851" s="107">
        <v>5110</v>
      </c>
      <c r="I851" s="8" t="s">
        <v>267</v>
      </c>
      <c r="J851" s="108" t="s">
        <v>1110</v>
      </c>
      <c r="K851" s="57">
        <v>30</v>
      </c>
      <c r="L851" s="58">
        <v>30</v>
      </c>
    </row>
    <row r="852" spans="1:12" s="4" customFormat="1" ht="15">
      <c r="A852" s="105">
        <v>813</v>
      </c>
      <c r="B852" s="105"/>
      <c r="C852" s="105"/>
      <c r="D852" s="8" t="s">
        <v>118</v>
      </c>
      <c r="E852" s="189" t="s">
        <v>681</v>
      </c>
      <c r="F852" s="106"/>
      <c r="G852" s="106" t="s">
        <v>118</v>
      </c>
      <c r="H852" s="107">
        <v>5110</v>
      </c>
      <c r="I852" s="8" t="s">
        <v>267</v>
      </c>
      <c r="J852" s="108" t="s">
        <v>1110</v>
      </c>
      <c r="K852" s="57">
        <v>30</v>
      </c>
      <c r="L852" s="58">
        <v>30</v>
      </c>
    </row>
    <row r="853" spans="1:12" s="4" customFormat="1" ht="15">
      <c r="A853" s="105">
        <v>814</v>
      </c>
      <c r="B853" s="105"/>
      <c r="C853" s="105"/>
      <c r="D853" s="8" t="s">
        <v>1434</v>
      </c>
      <c r="E853" s="189" t="s">
        <v>681</v>
      </c>
      <c r="F853" s="106"/>
      <c r="G853" s="106" t="s">
        <v>1434</v>
      </c>
      <c r="H853" s="107">
        <v>5110</v>
      </c>
      <c r="I853" s="8" t="s">
        <v>267</v>
      </c>
      <c r="J853" s="108" t="s">
        <v>1110</v>
      </c>
      <c r="K853" s="57">
        <v>30</v>
      </c>
      <c r="L853" s="58">
        <v>30</v>
      </c>
    </row>
    <row r="854" spans="1:12" s="4" customFormat="1" ht="15">
      <c r="A854" s="105">
        <v>815</v>
      </c>
      <c r="B854" s="105"/>
      <c r="C854" s="105"/>
      <c r="D854" s="8" t="s">
        <v>1114</v>
      </c>
      <c r="E854" s="189" t="s">
        <v>681</v>
      </c>
      <c r="F854" s="106"/>
      <c r="G854" s="106" t="s">
        <v>1114</v>
      </c>
      <c r="H854" s="107">
        <v>5110</v>
      </c>
      <c r="I854" s="8" t="s">
        <v>267</v>
      </c>
      <c r="J854" s="108" t="s">
        <v>1110</v>
      </c>
      <c r="K854" s="57">
        <v>30</v>
      </c>
      <c r="L854" s="58">
        <v>30</v>
      </c>
    </row>
    <row r="855" spans="1:12" s="4" customFormat="1" ht="15">
      <c r="A855" s="105">
        <v>816</v>
      </c>
      <c r="B855" s="105"/>
      <c r="C855" s="105"/>
      <c r="D855" s="8" t="s">
        <v>1272</v>
      </c>
      <c r="E855" s="189" t="s">
        <v>681</v>
      </c>
      <c r="F855" s="106"/>
      <c r="G855" s="106" t="s">
        <v>1272</v>
      </c>
      <c r="H855" s="107">
        <v>5110</v>
      </c>
      <c r="I855" s="8" t="s">
        <v>267</v>
      </c>
      <c r="J855" s="108" t="s">
        <v>1110</v>
      </c>
      <c r="K855" s="57">
        <v>30</v>
      </c>
      <c r="L855" s="58">
        <v>30</v>
      </c>
    </row>
    <row r="856" spans="1:12" s="4" customFormat="1" ht="15">
      <c r="A856" s="105">
        <v>817</v>
      </c>
      <c r="B856" s="105"/>
      <c r="C856" s="105"/>
      <c r="D856" s="8" t="s">
        <v>1113</v>
      </c>
      <c r="E856" s="189" t="s">
        <v>681</v>
      </c>
      <c r="F856" s="106"/>
      <c r="G856" s="106" t="s">
        <v>1113</v>
      </c>
      <c r="H856" s="107">
        <v>5110</v>
      </c>
      <c r="I856" s="8" t="s">
        <v>267</v>
      </c>
      <c r="J856" s="108" t="s">
        <v>1110</v>
      </c>
      <c r="K856" s="57">
        <v>30</v>
      </c>
      <c r="L856" s="58">
        <v>30</v>
      </c>
    </row>
    <row r="857" spans="1:12" s="4" customFormat="1" ht="15">
      <c r="A857" s="105">
        <v>818</v>
      </c>
      <c r="B857" s="105"/>
      <c r="C857" s="105"/>
      <c r="D857" s="8" t="s">
        <v>1789</v>
      </c>
      <c r="E857" s="189" t="s">
        <v>681</v>
      </c>
      <c r="F857" s="106"/>
      <c r="G857" s="106" t="s">
        <v>1789</v>
      </c>
      <c r="H857" s="107">
        <v>5110</v>
      </c>
      <c r="I857" s="8" t="s">
        <v>267</v>
      </c>
      <c r="J857" s="108" t="s">
        <v>1110</v>
      </c>
      <c r="K857" s="57">
        <v>30</v>
      </c>
      <c r="L857" s="58">
        <v>30</v>
      </c>
    </row>
    <row r="858" spans="1:12" s="4" customFormat="1" ht="15">
      <c r="A858" s="105">
        <v>819</v>
      </c>
      <c r="B858" s="106"/>
      <c r="C858" s="106"/>
      <c r="D858" s="8" t="s">
        <v>1780</v>
      </c>
      <c r="E858" s="189" t="s">
        <v>681</v>
      </c>
      <c r="F858" s="106"/>
      <c r="G858" s="106" t="s">
        <v>1780</v>
      </c>
      <c r="H858" s="107">
        <v>5110</v>
      </c>
      <c r="I858" s="8" t="s">
        <v>267</v>
      </c>
      <c r="J858" s="108" t="s">
        <v>1110</v>
      </c>
      <c r="K858" s="57">
        <v>30</v>
      </c>
      <c r="L858" s="58">
        <v>30</v>
      </c>
    </row>
    <row r="859" spans="1:12" s="3" customFormat="1" ht="15">
      <c r="A859" s="105">
        <v>820</v>
      </c>
      <c r="B859" s="105"/>
      <c r="C859" s="105"/>
      <c r="D859" s="8" t="s">
        <v>1830</v>
      </c>
      <c r="E859" s="189" t="s">
        <v>681</v>
      </c>
      <c r="F859" s="106"/>
      <c r="G859" s="106" t="s">
        <v>1830</v>
      </c>
      <c r="H859" s="107">
        <v>5110</v>
      </c>
      <c r="I859" s="8" t="s">
        <v>267</v>
      </c>
      <c r="J859" s="108" t="s">
        <v>1110</v>
      </c>
      <c r="K859" s="57">
        <v>30</v>
      </c>
      <c r="L859" s="58">
        <v>30</v>
      </c>
    </row>
    <row r="860" spans="1:12" s="3" customFormat="1" ht="15">
      <c r="A860" s="105">
        <v>821</v>
      </c>
      <c r="B860" s="106"/>
      <c r="C860" s="106"/>
      <c r="D860" s="8" t="s">
        <v>1115</v>
      </c>
      <c r="E860" s="189" t="s">
        <v>681</v>
      </c>
      <c r="F860" s="106"/>
      <c r="G860" s="106" t="s">
        <v>1115</v>
      </c>
      <c r="H860" s="107">
        <v>5110</v>
      </c>
      <c r="I860" s="8" t="s">
        <v>267</v>
      </c>
      <c r="J860" s="108" t="s">
        <v>1110</v>
      </c>
      <c r="K860" s="57">
        <v>30</v>
      </c>
      <c r="L860" s="58">
        <v>30</v>
      </c>
    </row>
    <row r="861" spans="1:12" s="3" customFormat="1" ht="15">
      <c r="A861" s="105">
        <v>822</v>
      </c>
      <c r="B861" s="105"/>
      <c r="C861" s="105"/>
      <c r="D861" s="8" t="s">
        <v>1831</v>
      </c>
      <c r="E861" s="189" t="s">
        <v>681</v>
      </c>
      <c r="F861" s="106"/>
      <c r="G861" s="106" t="s">
        <v>1831</v>
      </c>
      <c r="H861" s="107">
        <v>5110</v>
      </c>
      <c r="I861" s="8" t="s">
        <v>267</v>
      </c>
      <c r="J861" s="108" t="s">
        <v>1110</v>
      </c>
      <c r="K861" s="57">
        <v>30</v>
      </c>
      <c r="L861" s="58">
        <v>30</v>
      </c>
    </row>
    <row r="862" spans="1:12" s="3" customFormat="1" ht="15">
      <c r="A862" s="105">
        <v>823</v>
      </c>
      <c r="B862" s="106"/>
      <c r="C862" s="106"/>
      <c r="D862" s="8" t="s">
        <v>1116</v>
      </c>
      <c r="E862" s="189" t="s">
        <v>681</v>
      </c>
      <c r="F862" s="106"/>
      <c r="G862" s="106" t="s">
        <v>1116</v>
      </c>
      <c r="H862" s="107">
        <v>5110</v>
      </c>
      <c r="I862" s="8" t="s">
        <v>267</v>
      </c>
      <c r="J862" s="108" t="s">
        <v>1110</v>
      </c>
      <c r="K862" s="57">
        <v>30</v>
      </c>
      <c r="L862" s="58">
        <v>30</v>
      </c>
    </row>
    <row r="863" spans="1:12" s="3" customFormat="1" ht="15">
      <c r="A863" s="105">
        <v>824</v>
      </c>
      <c r="B863" s="105"/>
      <c r="C863" s="105"/>
      <c r="D863" s="8" t="s">
        <v>1987</v>
      </c>
      <c r="E863" s="189" t="s">
        <v>681</v>
      </c>
      <c r="F863" s="106"/>
      <c r="G863" s="106" t="s">
        <v>1987</v>
      </c>
      <c r="H863" s="107">
        <v>5110</v>
      </c>
      <c r="I863" s="8" t="s">
        <v>267</v>
      </c>
      <c r="J863" s="108" t="s">
        <v>1110</v>
      </c>
      <c r="K863" s="57">
        <v>30</v>
      </c>
      <c r="L863" s="58">
        <v>30</v>
      </c>
    </row>
    <row r="864" spans="1:12" s="3" customFormat="1" ht="15">
      <c r="A864" s="105">
        <v>825</v>
      </c>
      <c r="B864" s="106"/>
      <c r="C864" s="106"/>
      <c r="D864" s="8" t="s">
        <v>1786</v>
      </c>
      <c r="E864" s="189" t="s">
        <v>681</v>
      </c>
      <c r="F864" s="106"/>
      <c r="G864" s="106" t="s">
        <v>1786</v>
      </c>
      <c r="H864" s="107">
        <v>5110</v>
      </c>
      <c r="I864" s="8" t="s">
        <v>267</v>
      </c>
      <c r="J864" s="108" t="s">
        <v>1110</v>
      </c>
      <c r="K864" s="57">
        <v>30</v>
      </c>
      <c r="L864" s="58">
        <v>30</v>
      </c>
    </row>
    <row r="865" spans="1:12" s="3" customFormat="1" ht="15">
      <c r="A865" s="105">
        <v>826</v>
      </c>
      <c r="B865" s="105"/>
      <c r="C865" s="105"/>
      <c r="D865" s="8" t="s">
        <v>1832</v>
      </c>
      <c r="E865" s="189" t="s">
        <v>681</v>
      </c>
      <c r="F865" s="106"/>
      <c r="G865" s="106" t="s">
        <v>1832</v>
      </c>
      <c r="H865" s="107">
        <v>5110</v>
      </c>
      <c r="I865" s="8" t="s">
        <v>267</v>
      </c>
      <c r="J865" s="108" t="s">
        <v>1110</v>
      </c>
      <c r="K865" s="57">
        <v>30</v>
      </c>
      <c r="L865" s="58">
        <v>30</v>
      </c>
    </row>
    <row r="866" spans="1:12" s="3" customFormat="1" ht="15">
      <c r="A866" s="105">
        <v>827</v>
      </c>
      <c r="B866" s="106"/>
      <c r="C866" s="106"/>
      <c r="D866" s="8" t="s">
        <v>1117</v>
      </c>
      <c r="E866" s="189" t="s">
        <v>681</v>
      </c>
      <c r="F866" s="106"/>
      <c r="G866" s="106" t="s">
        <v>1117</v>
      </c>
      <c r="H866" s="107">
        <v>5110</v>
      </c>
      <c r="I866" s="8" t="s">
        <v>267</v>
      </c>
      <c r="J866" s="108" t="s">
        <v>1110</v>
      </c>
      <c r="K866" s="57">
        <v>30</v>
      </c>
      <c r="L866" s="58">
        <v>30</v>
      </c>
    </row>
    <row r="867" spans="1:12" s="3" customFormat="1" ht="15">
      <c r="A867" s="105">
        <v>828</v>
      </c>
      <c r="B867" s="105"/>
      <c r="C867" s="105"/>
      <c r="D867" s="8" t="s">
        <v>1833</v>
      </c>
      <c r="E867" s="189" t="s">
        <v>681</v>
      </c>
      <c r="F867" s="106"/>
      <c r="G867" s="106" t="s">
        <v>1833</v>
      </c>
      <c r="H867" s="107">
        <v>5110</v>
      </c>
      <c r="I867" s="8" t="s">
        <v>267</v>
      </c>
      <c r="J867" s="108" t="s">
        <v>1110</v>
      </c>
      <c r="K867" s="57">
        <v>30</v>
      </c>
      <c r="L867" s="58">
        <v>30</v>
      </c>
    </row>
    <row r="868" spans="1:12" s="3" customFormat="1" ht="15">
      <c r="A868" s="105">
        <v>829</v>
      </c>
      <c r="B868" s="105"/>
      <c r="C868" s="105"/>
      <c r="D868" s="8" t="s">
        <v>1273</v>
      </c>
      <c r="E868" s="189" t="s">
        <v>681</v>
      </c>
      <c r="F868" s="106"/>
      <c r="G868" s="106" t="s">
        <v>1273</v>
      </c>
      <c r="H868" s="107">
        <v>5110</v>
      </c>
      <c r="I868" s="8" t="s">
        <v>267</v>
      </c>
      <c r="J868" s="108" t="s">
        <v>1110</v>
      </c>
      <c r="K868" s="57">
        <v>30</v>
      </c>
      <c r="L868" s="58">
        <v>30</v>
      </c>
    </row>
    <row r="869" spans="1:12" s="3" customFormat="1" ht="15">
      <c r="A869" s="105">
        <v>830</v>
      </c>
      <c r="B869" s="106"/>
      <c r="C869" s="106"/>
      <c r="D869" s="8" t="s">
        <v>1118</v>
      </c>
      <c r="E869" s="189" t="s">
        <v>681</v>
      </c>
      <c r="F869" s="106"/>
      <c r="G869" s="106" t="s">
        <v>1118</v>
      </c>
      <c r="H869" s="107">
        <v>5110</v>
      </c>
      <c r="I869" s="8" t="s">
        <v>267</v>
      </c>
      <c r="J869" s="108" t="s">
        <v>1110</v>
      </c>
      <c r="K869" s="57">
        <v>30</v>
      </c>
      <c r="L869" s="58">
        <v>30</v>
      </c>
    </row>
    <row r="870" spans="1:12" s="3" customFormat="1" ht="15">
      <c r="A870" s="105">
        <v>831</v>
      </c>
      <c r="B870" s="105"/>
      <c r="C870" s="105"/>
      <c r="D870" s="8" t="s">
        <v>1834</v>
      </c>
      <c r="E870" s="189" t="s">
        <v>681</v>
      </c>
      <c r="F870" s="106"/>
      <c r="G870" s="106" t="s">
        <v>1834</v>
      </c>
      <c r="H870" s="107">
        <v>5110</v>
      </c>
      <c r="I870" s="8" t="s">
        <v>267</v>
      </c>
      <c r="J870" s="108" t="s">
        <v>1110</v>
      </c>
      <c r="K870" s="57">
        <v>30</v>
      </c>
      <c r="L870" s="58">
        <v>30</v>
      </c>
    </row>
    <row r="871" spans="1:12" s="3" customFormat="1" ht="15">
      <c r="A871" s="105">
        <v>832</v>
      </c>
      <c r="B871" s="106"/>
      <c r="C871" s="106"/>
      <c r="D871" s="8" t="s">
        <v>1119</v>
      </c>
      <c r="E871" s="189" t="s">
        <v>681</v>
      </c>
      <c r="F871" s="106"/>
      <c r="G871" s="106" t="s">
        <v>1119</v>
      </c>
      <c r="H871" s="107">
        <v>5110</v>
      </c>
      <c r="I871" s="8" t="s">
        <v>267</v>
      </c>
      <c r="J871" s="108" t="s">
        <v>1110</v>
      </c>
      <c r="K871" s="57">
        <v>30</v>
      </c>
      <c r="L871" s="58">
        <v>30</v>
      </c>
    </row>
    <row r="872" spans="1:12" s="3" customFormat="1" ht="15">
      <c r="A872" s="105">
        <v>833</v>
      </c>
      <c r="B872" s="105"/>
      <c r="C872" s="105"/>
      <c r="D872" s="8" t="s">
        <v>1819</v>
      </c>
      <c r="E872" s="189" t="s">
        <v>681</v>
      </c>
      <c r="F872" s="106"/>
      <c r="G872" s="106" t="s">
        <v>1819</v>
      </c>
      <c r="H872" s="107">
        <v>5110</v>
      </c>
      <c r="I872" s="8" t="s">
        <v>267</v>
      </c>
      <c r="J872" s="108" t="s">
        <v>1110</v>
      </c>
      <c r="K872" s="57">
        <v>30</v>
      </c>
      <c r="L872" s="58">
        <v>30</v>
      </c>
    </row>
    <row r="873" spans="1:12" s="3" customFormat="1" ht="15">
      <c r="A873" s="105">
        <v>834</v>
      </c>
      <c r="B873" s="105"/>
      <c r="C873" s="105"/>
      <c r="D873" s="8" t="s">
        <v>1732</v>
      </c>
      <c r="E873" s="189" t="s">
        <v>681</v>
      </c>
      <c r="F873" s="106"/>
      <c r="G873" s="106" t="s">
        <v>1732</v>
      </c>
      <c r="H873" s="107">
        <v>5110</v>
      </c>
      <c r="I873" s="8" t="s">
        <v>267</v>
      </c>
      <c r="J873" s="108" t="s">
        <v>1110</v>
      </c>
      <c r="K873" s="57">
        <v>30</v>
      </c>
      <c r="L873" s="58">
        <v>30</v>
      </c>
    </row>
    <row r="874" spans="1:12" s="3" customFormat="1" ht="15">
      <c r="A874" s="105">
        <v>835</v>
      </c>
      <c r="B874" s="105"/>
      <c r="C874" s="105"/>
      <c r="D874" s="8" t="s">
        <v>340</v>
      </c>
      <c r="E874" s="189" t="s">
        <v>681</v>
      </c>
      <c r="F874" s="106"/>
      <c r="G874" s="106" t="s">
        <v>340</v>
      </c>
      <c r="H874" s="107">
        <v>5110</v>
      </c>
      <c r="I874" s="8" t="s">
        <v>267</v>
      </c>
      <c r="J874" s="108" t="s">
        <v>1110</v>
      </c>
      <c r="K874" s="57">
        <v>30</v>
      </c>
      <c r="L874" s="58">
        <v>30</v>
      </c>
    </row>
    <row r="875" spans="1:12" s="3" customFormat="1" ht="15">
      <c r="A875" s="105">
        <v>836</v>
      </c>
      <c r="B875" s="105"/>
      <c r="C875" s="105"/>
      <c r="D875" s="8" t="s">
        <v>1689</v>
      </c>
      <c r="E875" s="189" t="s">
        <v>681</v>
      </c>
      <c r="F875" s="106"/>
      <c r="G875" s="106" t="s">
        <v>705</v>
      </c>
      <c r="H875" s="107">
        <v>5110</v>
      </c>
      <c r="I875" s="8" t="s">
        <v>267</v>
      </c>
      <c r="J875" s="108" t="s">
        <v>1110</v>
      </c>
      <c r="K875" s="57">
        <v>30</v>
      </c>
      <c r="L875" s="58">
        <v>30</v>
      </c>
    </row>
    <row r="876" spans="1:12" s="3" customFormat="1" ht="15">
      <c r="A876" s="105">
        <v>837</v>
      </c>
      <c r="B876" s="105"/>
      <c r="C876" s="105"/>
      <c r="D876" s="8" t="s">
        <v>1688</v>
      </c>
      <c r="E876" s="189" t="s">
        <v>681</v>
      </c>
      <c r="F876" s="106"/>
      <c r="G876" s="106" t="s">
        <v>704</v>
      </c>
      <c r="H876" s="107">
        <v>5110</v>
      </c>
      <c r="I876" s="8" t="s">
        <v>267</v>
      </c>
      <c r="J876" s="108" t="s">
        <v>1110</v>
      </c>
      <c r="K876" s="57">
        <v>30</v>
      </c>
      <c r="L876" s="58">
        <v>30</v>
      </c>
    </row>
    <row r="877" spans="1:12" s="3" customFormat="1" ht="15">
      <c r="A877" s="105">
        <v>838</v>
      </c>
      <c r="B877" s="105"/>
      <c r="C877" s="105"/>
      <c r="D877" s="8" t="s">
        <v>217</v>
      </c>
      <c r="E877" s="189" t="s">
        <v>681</v>
      </c>
      <c r="F877" s="106"/>
      <c r="G877" s="106" t="s">
        <v>704</v>
      </c>
      <c r="H877" s="107">
        <v>5110</v>
      </c>
      <c r="I877" s="8" t="s">
        <v>267</v>
      </c>
      <c r="J877" s="108" t="s">
        <v>1110</v>
      </c>
      <c r="K877" s="57">
        <v>30</v>
      </c>
      <c r="L877" s="58">
        <v>30</v>
      </c>
    </row>
    <row r="878" spans="1:12" s="3" customFormat="1" ht="15">
      <c r="A878" s="105">
        <v>839</v>
      </c>
      <c r="B878" s="105" t="s">
        <v>1896</v>
      </c>
      <c r="C878" s="105"/>
      <c r="D878" s="8" t="s">
        <v>2485</v>
      </c>
      <c r="E878" s="189" t="s">
        <v>1972</v>
      </c>
      <c r="F878" s="106"/>
      <c r="G878" s="106" t="s">
        <v>2485</v>
      </c>
      <c r="H878" s="107">
        <v>5110</v>
      </c>
      <c r="I878" s="8" t="s">
        <v>267</v>
      </c>
      <c r="J878" s="108" t="s">
        <v>1110</v>
      </c>
      <c r="K878" s="57">
        <v>30</v>
      </c>
      <c r="L878" s="58">
        <v>30</v>
      </c>
    </row>
    <row r="879" spans="1:12" s="3" customFormat="1" ht="15">
      <c r="A879" s="105">
        <v>840</v>
      </c>
      <c r="B879" s="105" t="s">
        <v>1896</v>
      </c>
      <c r="C879" s="105"/>
      <c r="D879" s="8" t="s">
        <v>2486</v>
      </c>
      <c r="E879" s="189" t="s">
        <v>1975</v>
      </c>
      <c r="F879" s="106"/>
      <c r="G879" s="106" t="s">
        <v>2486</v>
      </c>
      <c r="H879" s="107">
        <v>5110</v>
      </c>
      <c r="I879" s="8" t="s">
        <v>267</v>
      </c>
      <c r="J879" s="108" t="s">
        <v>1110</v>
      </c>
      <c r="K879" s="57">
        <v>30</v>
      </c>
      <c r="L879" s="58">
        <v>30</v>
      </c>
    </row>
    <row r="880" spans="1:12" s="3" customFormat="1" ht="15">
      <c r="A880" s="105">
        <v>841</v>
      </c>
      <c r="B880" s="105"/>
      <c r="C880" s="105"/>
      <c r="D880" s="8" t="s">
        <v>1562</v>
      </c>
      <c r="E880" s="189" t="s">
        <v>714</v>
      </c>
      <c r="F880" s="106"/>
      <c r="G880" s="106" t="s">
        <v>1562</v>
      </c>
      <c r="H880" s="107">
        <v>5110</v>
      </c>
      <c r="I880" s="8" t="s">
        <v>267</v>
      </c>
      <c r="J880" s="109" t="s">
        <v>394</v>
      </c>
      <c r="K880" s="57">
        <v>30</v>
      </c>
      <c r="L880" s="58">
        <v>30</v>
      </c>
    </row>
    <row r="881" spans="1:12" s="3" customFormat="1" ht="15">
      <c r="A881" s="105">
        <v>841</v>
      </c>
      <c r="B881" s="105"/>
      <c r="C881" s="105"/>
      <c r="D881" s="8" t="s">
        <v>5239</v>
      </c>
      <c r="E881" s="189" t="s">
        <v>714</v>
      </c>
      <c r="F881" s="106"/>
      <c r="G881" s="106" t="s">
        <v>1562</v>
      </c>
      <c r="H881" s="107">
        <v>5110</v>
      </c>
      <c r="I881" s="8" t="s">
        <v>267</v>
      </c>
      <c r="J881" s="109" t="s">
        <v>394</v>
      </c>
      <c r="K881" s="57">
        <v>30</v>
      </c>
      <c r="L881" s="58">
        <v>30</v>
      </c>
    </row>
    <row r="882" spans="1:12" s="3" customFormat="1" ht="15">
      <c r="A882" s="105">
        <v>841</v>
      </c>
      <c r="B882" s="105"/>
      <c r="C882" s="105"/>
      <c r="D882" s="8" t="s">
        <v>5236</v>
      </c>
      <c r="E882" s="189" t="s">
        <v>5237</v>
      </c>
      <c r="F882" s="106"/>
      <c r="G882" s="106" t="s">
        <v>5236</v>
      </c>
      <c r="H882" s="107">
        <v>5110</v>
      </c>
      <c r="I882" s="8" t="s">
        <v>267</v>
      </c>
      <c r="J882" s="109" t="s">
        <v>394</v>
      </c>
      <c r="K882" s="57">
        <v>30</v>
      </c>
      <c r="L882" s="58">
        <v>30</v>
      </c>
    </row>
    <row r="883" spans="1:12" s="3" customFormat="1" ht="15">
      <c r="A883" s="105">
        <v>842</v>
      </c>
      <c r="B883" s="106"/>
      <c r="C883" s="106"/>
      <c r="D883" s="8" t="s">
        <v>1691</v>
      </c>
      <c r="E883" s="189" t="s">
        <v>1125</v>
      </c>
      <c r="F883" s="107"/>
      <c r="G883" s="107" t="s">
        <v>1691</v>
      </c>
      <c r="H883" s="107">
        <v>5110</v>
      </c>
      <c r="I883" s="8" t="s">
        <v>267</v>
      </c>
      <c r="J883" s="8" t="s">
        <v>275</v>
      </c>
      <c r="K883" s="57">
        <v>30</v>
      </c>
      <c r="L883" s="58">
        <v>30</v>
      </c>
    </row>
    <row r="884" spans="1:12" s="3" customFormat="1" ht="15">
      <c r="A884" s="105">
        <v>843</v>
      </c>
      <c r="B884" s="106"/>
      <c r="C884" s="106"/>
      <c r="D884" s="8" t="s">
        <v>1692</v>
      </c>
      <c r="E884" s="189" t="s">
        <v>1126</v>
      </c>
      <c r="F884" s="107"/>
      <c r="G884" s="107" t="s">
        <v>1692</v>
      </c>
      <c r="H884" s="107">
        <v>5110</v>
      </c>
      <c r="I884" s="8" t="s">
        <v>267</v>
      </c>
      <c r="J884" s="8" t="s">
        <v>275</v>
      </c>
      <c r="K884" s="57">
        <v>30</v>
      </c>
      <c r="L884" s="58">
        <v>30</v>
      </c>
    </row>
    <row r="885" spans="1:12" s="3" customFormat="1" ht="15">
      <c r="A885" s="105">
        <v>844</v>
      </c>
      <c r="B885" s="105"/>
      <c r="C885" s="105"/>
      <c r="D885" s="8" t="s">
        <v>1693</v>
      </c>
      <c r="E885" s="189" t="s">
        <v>720</v>
      </c>
      <c r="F885" s="106"/>
      <c r="G885" s="106" t="s">
        <v>1693</v>
      </c>
      <c r="H885" s="107">
        <v>5110</v>
      </c>
      <c r="I885" s="8" t="s">
        <v>267</v>
      </c>
      <c r="J885" s="109" t="s">
        <v>275</v>
      </c>
      <c r="K885" s="57">
        <v>30</v>
      </c>
      <c r="L885" s="58">
        <v>30</v>
      </c>
    </row>
    <row r="886" spans="1:12" s="3" customFormat="1" ht="15">
      <c r="A886" s="105">
        <v>845</v>
      </c>
      <c r="B886" s="106" t="s">
        <v>1896</v>
      </c>
      <c r="C886" s="106"/>
      <c r="D886" s="8" t="s">
        <v>1687</v>
      </c>
      <c r="E886" s="189" t="s">
        <v>1437</v>
      </c>
      <c r="F886" s="107"/>
      <c r="G886" s="107" t="s">
        <v>1438</v>
      </c>
      <c r="H886" s="107">
        <v>5110</v>
      </c>
      <c r="I886" s="8" t="s">
        <v>267</v>
      </c>
      <c r="J886" s="8" t="s">
        <v>275</v>
      </c>
      <c r="K886" s="57">
        <v>30</v>
      </c>
      <c r="L886" s="58">
        <v>30</v>
      </c>
    </row>
    <row r="887" spans="1:12" s="3" customFormat="1" ht="15">
      <c r="A887" s="105">
        <v>846</v>
      </c>
      <c r="B887" s="106"/>
      <c r="C887" s="106"/>
      <c r="D887" s="8" t="s">
        <v>124</v>
      </c>
      <c r="E887" s="189" t="s">
        <v>274</v>
      </c>
      <c r="F887" s="107"/>
      <c r="G887" s="107" t="s">
        <v>124</v>
      </c>
      <c r="H887" s="107">
        <v>5110</v>
      </c>
      <c r="I887" s="8" t="s">
        <v>267</v>
      </c>
      <c r="J887" s="8" t="s">
        <v>275</v>
      </c>
      <c r="K887" s="57">
        <v>30</v>
      </c>
      <c r="L887" s="58">
        <v>30</v>
      </c>
    </row>
    <row r="888" spans="1:12" s="3" customFormat="1" ht="15">
      <c r="A888" s="105">
        <v>847</v>
      </c>
      <c r="B888" s="106"/>
      <c r="C888" s="106"/>
      <c r="D888" s="8" t="s">
        <v>98</v>
      </c>
      <c r="E888" s="189" t="s">
        <v>274</v>
      </c>
      <c r="F888" s="107"/>
      <c r="G888" s="107" t="s">
        <v>98</v>
      </c>
      <c r="H888" s="107">
        <v>5110</v>
      </c>
      <c r="I888" s="8" t="s">
        <v>267</v>
      </c>
      <c r="J888" s="8" t="s">
        <v>275</v>
      </c>
      <c r="K888" s="57">
        <v>30</v>
      </c>
      <c r="L888" s="58">
        <v>30</v>
      </c>
    </row>
    <row r="889" spans="1:12" s="3" customFormat="1" ht="15">
      <c r="A889" s="105">
        <v>848</v>
      </c>
      <c r="B889" s="106" t="s">
        <v>1896</v>
      </c>
      <c r="C889" s="106"/>
      <c r="D889" s="8" t="s">
        <v>1498</v>
      </c>
      <c r="E889" s="189" t="s">
        <v>274</v>
      </c>
      <c r="F889" s="107"/>
      <c r="G889" s="107" t="s">
        <v>1498</v>
      </c>
      <c r="H889" s="107">
        <v>5110</v>
      </c>
      <c r="I889" s="8" t="s">
        <v>267</v>
      </c>
      <c r="J889" s="8" t="s">
        <v>275</v>
      </c>
      <c r="K889" s="57">
        <v>30</v>
      </c>
      <c r="L889" s="58">
        <v>30</v>
      </c>
    </row>
    <row r="890" spans="1:12" s="3" customFormat="1" ht="15">
      <c r="A890" s="105">
        <v>849</v>
      </c>
      <c r="B890" s="106"/>
      <c r="C890" s="106"/>
      <c r="D890" s="8" t="s">
        <v>1694</v>
      </c>
      <c r="E890" s="189" t="s">
        <v>274</v>
      </c>
      <c r="F890" s="107"/>
      <c r="G890" s="107" t="s">
        <v>1694</v>
      </c>
      <c r="H890" s="107">
        <v>5110</v>
      </c>
      <c r="I890" s="8" t="s">
        <v>267</v>
      </c>
      <c r="J890" s="8" t="s">
        <v>275</v>
      </c>
      <c r="K890" s="57">
        <v>30</v>
      </c>
      <c r="L890" s="58">
        <v>30</v>
      </c>
    </row>
    <row r="891" spans="1:12" s="3" customFormat="1" ht="15">
      <c r="A891" s="105">
        <v>850</v>
      </c>
      <c r="B891" s="106"/>
      <c r="C891" s="106"/>
      <c r="D891" s="8" t="s">
        <v>1884</v>
      </c>
      <c r="E891" s="189" t="s">
        <v>274</v>
      </c>
      <c r="F891" s="107"/>
      <c r="G891" s="107" t="s">
        <v>1884</v>
      </c>
      <c r="H891" s="107">
        <v>5111</v>
      </c>
      <c r="I891" s="8" t="s">
        <v>267</v>
      </c>
      <c r="J891" s="8" t="s">
        <v>275</v>
      </c>
      <c r="K891" s="57">
        <v>30</v>
      </c>
      <c r="L891" s="58">
        <v>30</v>
      </c>
    </row>
    <row r="892" spans="1:12" s="3" customFormat="1" ht="15">
      <c r="A892" s="105">
        <v>851</v>
      </c>
      <c r="B892" s="106" t="s">
        <v>1896</v>
      </c>
      <c r="C892" s="106"/>
      <c r="D892" s="8" t="s">
        <v>1499</v>
      </c>
      <c r="E892" s="189" t="s">
        <v>274</v>
      </c>
      <c r="F892" s="107"/>
      <c r="G892" s="107" t="s">
        <v>1499</v>
      </c>
      <c r="H892" s="107">
        <v>5110</v>
      </c>
      <c r="I892" s="8" t="s">
        <v>267</v>
      </c>
      <c r="J892" s="8" t="s">
        <v>275</v>
      </c>
      <c r="K892" s="57">
        <v>30</v>
      </c>
      <c r="L892" s="58">
        <v>30</v>
      </c>
    </row>
    <row r="893" spans="1:12" s="3" customFormat="1" ht="15">
      <c r="A893" s="105">
        <v>852</v>
      </c>
      <c r="B893" s="106"/>
      <c r="C893" s="106"/>
      <c r="D893" s="8" t="s">
        <v>1695</v>
      </c>
      <c r="E893" s="189" t="s">
        <v>274</v>
      </c>
      <c r="F893" s="107"/>
      <c r="G893" s="107" t="s">
        <v>1695</v>
      </c>
      <c r="H893" s="107">
        <v>5110</v>
      </c>
      <c r="I893" s="8" t="s">
        <v>267</v>
      </c>
      <c r="J893" s="8" t="s">
        <v>275</v>
      </c>
      <c r="K893" s="57">
        <v>30</v>
      </c>
      <c r="L893" s="58">
        <v>30</v>
      </c>
    </row>
    <row r="894" spans="1:12" s="3" customFormat="1" ht="15">
      <c r="A894" s="105">
        <v>853</v>
      </c>
      <c r="B894" s="106"/>
      <c r="C894" s="106"/>
      <c r="D894" s="8" t="s">
        <v>1959</v>
      </c>
      <c r="E894" s="189" t="s">
        <v>274</v>
      </c>
      <c r="F894" s="107"/>
      <c r="G894" s="107" t="s">
        <v>1959</v>
      </c>
      <c r="H894" s="107">
        <v>5110</v>
      </c>
      <c r="I894" s="8" t="s">
        <v>267</v>
      </c>
      <c r="J894" s="8" t="s">
        <v>275</v>
      </c>
      <c r="K894" s="57">
        <v>30</v>
      </c>
      <c r="L894" s="58">
        <v>30</v>
      </c>
    </row>
    <row r="895" spans="1:12" s="3" customFormat="1" ht="15">
      <c r="A895" s="105">
        <v>854</v>
      </c>
      <c r="B895" s="106" t="s">
        <v>1896</v>
      </c>
      <c r="C895" s="106"/>
      <c r="D895" s="8" t="s">
        <v>20</v>
      </c>
      <c r="E895" s="189" t="s">
        <v>21</v>
      </c>
      <c r="F895" s="107"/>
      <c r="G895" s="107" t="s">
        <v>20</v>
      </c>
      <c r="H895" s="107">
        <v>5110</v>
      </c>
      <c r="I895" s="8" t="s">
        <v>267</v>
      </c>
      <c r="J895" s="8" t="s">
        <v>275</v>
      </c>
      <c r="K895" s="57">
        <v>30</v>
      </c>
      <c r="L895" s="58">
        <v>30</v>
      </c>
    </row>
    <row r="896" spans="1:12" s="3" customFormat="1" ht="15">
      <c r="A896" s="105">
        <v>855</v>
      </c>
      <c r="B896" s="106" t="s">
        <v>1896</v>
      </c>
      <c r="C896" s="106"/>
      <c r="D896" s="8" t="s">
        <v>2487</v>
      </c>
      <c r="E896" s="189" t="s">
        <v>21</v>
      </c>
      <c r="F896" s="107"/>
      <c r="G896" s="107" t="s">
        <v>2487</v>
      </c>
      <c r="H896" s="107">
        <v>5110</v>
      </c>
      <c r="I896" s="8" t="s">
        <v>267</v>
      </c>
      <c r="J896" s="8" t="s">
        <v>275</v>
      </c>
      <c r="K896" s="57">
        <v>30</v>
      </c>
      <c r="L896" s="58">
        <v>30</v>
      </c>
    </row>
    <row r="897" spans="1:12" s="3" customFormat="1" ht="15">
      <c r="A897" s="105">
        <v>856</v>
      </c>
      <c r="B897" s="106"/>
      <c r="C897" s="106"/>
      <c r="D897" s="8" t="s">
        <v>350</v>
      </c>
      <c r="E897" s="189" t="s">
        <v>349</v>
      </c>
      <c r="F897" s="107"/>
      <c r="G897" s="107" t="s">
        <v>350</v>
      </c>
      <c r="H897" s="107">
        <v>5110</v>
      </c>
      <c r="I897" s="8" t="s">
        <v>267</v>
      </c>
      <c r="J897" s="8" t="s">
        <v>275</v>
      </c>
      <c r="K897" s="57">
        <v>30</v>
      </c>
      <c r="L897" s="58">
        <v>30</v>
      </c>
    </row>
    <row r="898" spans="1:12" s="3" customFormat="1" ht="15">
      <c r="A898" s="105">
        <v>857</v>
      </c>
      <c r="B898" s="106"/>
      <c r="C898" s="106"/>
      <c r="D898" s="8" t="s">
        <v>1496</v>
      </c>
      <c r="E898" s="189" t="s">
        <v>349</v>
      </c>
      <c r="F898" s="107"/>
      <c r="G898" s="107" t="s">
        <v>1496</v>
      </c>
      <c r="H898" s="107">
        <v>5110</v>
      </c>
      <c r="I898" s="8" t="s">
        <v>267</v>
      </c>
      <c r="J898" s="8" t="s">
        <v>275</v>
      </c>
      <c r="K898" s="57">
        <v>30</v>
      </c>
      <c r="L898" s="58">
        <v>30</v>
      </c>
    </row>
    <row r="899" spans="1:12" s="3" customFormat="1" ht="15">
      <c r="A899" s="105">
        <v>858</v>
      </c>
      <c r="B899" s="106"/>
      <c r="C899" s="106"/>
      <c r="D899" s="8" t="s">
        <v>1735</v>
      </c>
      <c r="E899" s="189" t="s">
        <v>1439</v>
      </c>
      <c r="F899" s="107"/>
      <c r="G899" s="107" t="s">
        <v>1735</v>
      </c>
      <c r="H899" s="107">
        <v>5210</v>
      </c>
      <c r="I899" s="8" t="s">
        <v>255</v>
      </c>
      <c r="J899" s="8" t="s">
        <v>270</v>
      </c>
      <c r="K899" s="57">
        <v>30</v>
      </c>
      <c r="L899" s="58">
        <v>30</v>
      </c>
    </row>
    <row r="900" spans="1:12" s="3" customFormat="1" ht="15">
      <c r="A900" s="105">
        <v>859</v>
      </c>
      <c r="B900" s="106"/>
      <c r="C900" s="106"/>
      <c r="D900" s="8" t="s">
        <v>1837</v>
      </c>
      <c r="E900" s="189" t="s">
        <v>84</v>
      </c>
      <c r="F900" s="107"/>
      <c r="G900" s="107" t="s">
        <v>1837</v>
      </c>
      <c r="H900" s="107">
        <v>5110</v>
      </c>
      <c r="I900" s="8" t="s">
        <v>267</v>
      </c>
      <c r="J900" s="8" t="s">
        <v>85</v>
      </c>
      <c r="K900" s="57">
        <v>30</v>
      </c>
      <c r="L900" s="58">
        <v>30</v>
      </c>
    </row>
    <row r="901" spans="1:12" s="3" customFormat="1" ht="15">
      <c r="A901" s="105">
        <v>860</v>
      </c>
      <c r="B901" s="106"/>
      <c r="C901" s="106"/>
      <c r="D901" s="8" t="s">
        <v>125</v>
      </c>
      <c r="E901" s="189" t="s">
        <v>298</v>
      </c>
      <c r="F901" s="106"/>
      <c r="G901" s="107" t="s">
        <v>125</v>
      </c>
      <c r="H901" s="107">
        <v>5210</v>
      </c>
      <c r="I901" s="8" t="s">
        <v>255</v>
      </c>
      <c r="J901" s="8" t="s">
        <v>2631</v>
      </c>
      <c r="K901" s="57">
        <v>30</v>
      </c>
      <c r="L901" s="58">
        <v>30</v>
      </c>
    </row>
    <row r="902" spans="1:12" s="3" customFormat="1" ht="15">
      <c r="A902" s="105">
        <v>861</v>
      </c>
      <c r="B902" s="106"/>
      <c r="C902" s="106"/>
      <c r="D902" s="8" t="s">
        <v>1781</v>
      </c>
      <c r="E902" s="189" t="s">
        <v>74</v>
      </c>
      <c r="F902" s="106"/>
      <c r="G902" s="107" t="s">
        <v>1781</v>
      </c>
      <c r="H902" s="107">
        <v>5210</v>
      </c>
      <c r="I902" s="8" t="s">
        <v>255</v>
      </c>
      <c r="J902" s="8" t="s">
        <v>2631</v>
      </c>
      <c r="K902" s="57">
        <v>30</v>
      </c>
      <c r="L902" s="58">
        <v>30</v>
      </c>
    </row>
    <row r="903" spans="1:12" s="3" customFormat="1" ht="15">
      <c r="A903" s="105">
        <v>862</v>
      </c>
      <c r="B903" s="106"/>
      <c r="C903" s="106"/>
      <c r="D903" s="8" t="s">
        <v>97</v>
      </c>
      <c r="E903" s="189" t="s">
        <v>257</v>
      </c>
      <c r="F903" s="106"/>
      <c r="G903" s="107" t="s">
        <v>97</v>
      </c>
      <c r="H903" s="107">
        <v>5210</v>
      </c>
      <c r="I903" s="8" t="s">
        <v>255</v>
      </c>
      <c r="J903" s="8" t="s">
        <v>1864</v>
      </c>
      <c r="K903" s="57">
        <v>30</v>
      </c>
      <c r="L903" s="58">
        <v>30</v>
      </c>
    </row>
    <row r="904" spans="1:12" s="3" customFormat="1" ht="15">
      <c r="A904" s="105">
        <v>863</v>
      </c>
      <c r="B904" s="106"/>
      <c r="C904" s="106"/>
      <c r="D904" s="8" t="s">
        <v>1713</v>
      </c>
      <c r="E904" s="189" t="s">
        <v>2459</v>
      </c>
      <c r="F904" s="106"/>
      <c r="G904" s="106" t="s">
        <v>1713</v>
      </c>
      <c r="H904" s="107">
        <v>6420</v>
      </c>
      <c r="I904" s="8" t="s">
        <v>2458</v>
      </c>
      <c r="J904" s="108" t="s">
        <v>1864</v>
      </c>
      <c r="K904" s="57">
        <v>30</v>
      </c>
      <c r="L904" s="58">
        <v>30</v>
      </c>
    </row>
    <row r="905" spans="1:12" s="3" customFormat="1" ht="15">
      <c r="A905" s="105">
        <v>864</v>
      </c>
      <c r="B905" s="106"/>
      <c r="C905" s="106"/>
      <c r="D905" s="8" t="s">
        <v>1714</v>
      </c>
      <c r="E905" s="189" t="s">
        <v>2459</v>
      </c>
      <c r="F905" s="106"/>
      <c r="G905" s="106" t="s">
        <v>1714</v>
      </c>
      <c r="H905" s="107">
        <v>6420</v>
      </c>
      <c r="I905" s="8" t="s">
        <v>2458</v>
      </c>
      <c r="J905" s="108" t="s">
        <v>1864</v>
      </c>
      <c r="K905" s="57">
        <v>30</v>
      </c>
      <c r="L905" s="58">
        <v>30</v>
      </c>
    </row>
    <row r="906" spans="1:12" s="3" customFormat="1" ht="15">
      <c r="A906" s="105">
        <v>865</v>
      </c>
      <c r="B906" s="106"/>
      <c r="C906" s="106"/>
      <c r="D906" s="8" t="s">
        <v>1715</v>
      </c>
      <c r="E906" s="189" t="s">
        <v>2460</v>
      </c>
      <c r="F906" s="106"/>
      <c r="G906" s="106" t="s">
        <v>1715</v>
      </c>
      <c r="H906" s="107">
        <v>6420</v>
      </c>
      <c r="I906" s="8" t="s">
        <v>2458</v>
      </c>
      <c r="J906" s="108" t="s">
        <v>1864</v>
      </c>
      <c r="K906" s="57">
        <v>30</v>
      </c>
      <c r="L906" s="58">
        <v>30</v>
      </c>
    </row>
    <row r="907" spans="1:12" s="3" customFormat="1" ht="15">
      <c r="A907" s="105">
        <v>866</v>
      </c>
      <c r="B907" s="106"/>
      <c r="C907" s="106"/>
      <c r="D907" s="8" t="s">
        <v>1736</v>
      </c>
      <c r="E907" s="189" t="s">
        <v>1442</v>
      </c>
      <c r="F907" s="107"/>
      <c r="G907" s="107" t="s">
        <v>1736</v>
      </c>
      <c r="H907" s="107">
        <v>6550</v>
      </c>
      <c r="I907" s="8" t="s">
        <v>362</v>
      </c>
      <c r="J907" s="8" t="s">
        <v>327</v>
      </c>
      <c r="K907" s="57">
        <v>30</v>
      </c>
      <c r="L907" s="58">
        <v>30</v>
      </c>
    </row>
    <row r="908" spans="1:12" s="3" customFormat="1" ht="15">
      <c r="A908" s="105">
        <v>867</v>
      </c>
      <c r="B908" s="106"/>
      <c r="C908" s="106"/>
      <c r="D908" s="8" t="s">
        <v>1698</v>
      </c>
      <c r="E908" s="189" t="s">
        <v>1697</v>
      </c>
      <c r="F908" s="107"/>
      <c r="G908" s="107" t="s">
        <v>1698</v>
      </c>
      <c r="H908" s="107">
        <v>6550</v>
      </c>
      <c r="I908" s="8" t="s">
        <v>362</v>
      </c>
      <c r="J908" s="8" t="s">
        <v>327</v>
      </c>
      <c r="K908" s="57">
        <v>30</v>
      </c>
      <c r="L908" s="58">
        <v>30</v>
      </c>
    </row>
    <row r="909" spans="1:12" s="3" customFormat="1" ht="15">
      <c r="A909" s="105">
        <v>868</v>
      </c>
      <c r="B909" s="106"/>
      <c r="C909" s="106"/>
      <c r="D909" s="8" t="s">
        <v>1699</v>
      </c>
      <c r="E909" s="189" t="s">
        <v>1697</v>
      </c>
      <c r="F909" s="107"/>
      <c r="G909" s="107" t="s">
        <v>1699</v>
      </c>
      <c r="H909" s="107">
        <v>6550</v>
      </c>
      <c r="I909" s="8" t="s">
        <v>362</v>
      </c>
      <c r="J909" s="8" t="s">
        <v>327</v>
      </c>
      <c r="K909" s="57">
        <v>30</v>
      </c>
      <c r="L909" s="58">
        <v>30</v>
      </c>
    </row>
    <row r="910" spans="1:12" s="3" customFormat="1" ht="15">
      <c r="A910" s="105">
        <v>869</v>
      </c>
      <c r="B910" s="106"/>
      <c r="C910" s="106"/>
      <c r="D910" s="8" t="s">
        <v>1737</v>
      </c>
      <c r="E910" s="189" t="s">
        <v>1443</v>
      </c>
      <c r="F910" s="107"/>
      <c r="G910" s="107" t="s">
        <v>1737</v>
      </c>
      <c r="H910" s="107">
        <v>6550</v>
      </c>
      <c r="I910" s="8" t="s">
        <v>362</v>
      </c>
      <c r="J910" s="8" t="s">
        <v>327</v>
      </c>
      <c r="K910" s="57">
        <v>30</v>
      </c>
      <c r="L910" s="58">
        <v>30</v>
      </c>
    </row>
    <row r="911" spans="1:12" s="3" customFormat="1" ht="15">
      <c r="A911" s="105">
        <v>870</v>
      </c>
      <c r="B911" s="106"/>
      <c r="C911" s="106"/>
      <c r="D911" s="8" t="s">
        <v>1700</v>
      </c>
      <c r="E911" s="189" t="s">
        <v>1702</v>
      </c>
      <c r="F911" s="107"/>
      <c r="G911" s="107" t="s">
        <v>1700</v>
      </c>
      <c r="H911" s="107">
        <v>6550</v>
      </c>
      <c r="I911" s="8" t="s">
        <v>362</v>
      </c>
      <c r="J911" s="8" t="s">
        <v>327</v>
      </c>
      <c r="K911" s="57">
        <v>30</v>
      </c>
      <c r="L911" s="58">
        <v>30</v>
      </c>
    </row>
    <row r="912" spans="1:12" s="3" customFormat="1" ht="15">
      <c r="A912" s="105">
        <v>871</v>
      </c>
      <c r="B912" s="106"/>
      <c r="C912" s="106"/>
      <c r="D912" s="8" t="s">
        <v>1701</v>
      </c>
      <c r="E912" s="189" t="s">
        <v>1702</v>
      </c>
      <c r="F912" s="107"/>
      <c r="G912" s="107" t="s">
        <v>1701</v>
      </c>
      <c r="H912" s="107">
        <v>6550</v>
      </c>
      <c r="I912" s="8" t="s">
        <v>362</v>
      </c>
      <c r="J912" s="8" t="s">
        <v>327</v>
      </c>
      <c r="K912" s="57">
        <v>30</v>
      </c>
      <c r="L912" s="58">
        <v>30</v>
      </c>
    </row>
    <row r="913" spans="1:12" s="3" customFormat="1" ht="15">
      <c r="A913" s="105">
        <v>872</v>
      </c>
      <c r="B913" s="106"/>
      <c r="C913" s="106"/>
      <c r="D913" s="8" t="s">
        <v>131</v>
      </c>
      <c r="E913" s="189" t="s">
        <v>365</v>
      </c>
      <c r="F913" s="107"/>
      <c r="G913" s="107" t="s">
        <v>131</v>
      </c>
      <c r="H913" s="107">
        <v>6550</v>
      </c>
      <c r="I913" s="8" t="s">
        <v>362</v>
      </c>
      <c r="J913" s="108" t="s">
        <v>1110</v>
      </c>
      <c r="K913" s="57">
        <v>30</v>
      </c>
      <c r="L913" s="58">
        <v>30</v>
      </c>
    </row>
    <row r="914" spans="1:12" s="3" customFormat="1" ht="15">
      <c r="A914" s="105">
        <v>873</v>
      </c>
      <c r="B914" s="105"/>
      <c r="C914" s="105"/>
      <c r="D914" s="8" t="s">
        <v>1716</v>
      </c>
      <c r="E914" s="189" t="s">
        <v>2461</v>
      </c>
      <c r="F914" s="106"/>
      <c r="G914" s="106" t="s">
        <v>1716</v>
      </c>
      <c r="H914" s="107">
        <v>6570</v>
      </c>
      <c r="I914" s="8" t="s">
        <v>1444</v>
      </c>
      <c r="J914" s="108" t="s">
        <v>1110</v>
      </c>
      <c r="K914" s="57">
        <v>30</v>
      </c>
      <c r="L914" s="58">
        <v>30</v>
      </c>
    </row>
    <row r="915" spans="1:12" s="3" customFormat="1" ht="15">
      <c r="A915" s="105">
        <v>874</v>
      </c>
      <c r="B915" s="105"/>
      <c r="C915" s="105"/>
      <c r="D915" s="8" t="s">
        <v>129</v>
      </c>
      <c r="E915" s="189" t="s">
        <v>2461</v>
      </c>
      <c r="F915" s="107"/>
      <c r="G915" s="107" t="s">
        <v>129</v>
      </c>
      <c r="H915" s="107">
        <v>6570</v>
      </c>
      <c r="I915" s="8" t="s">
        <v>1444</v>
      </c>
      <c r="J915" s="108" t="s">
        <v>1110</v>
      </c>
      <c r="K915" s="57">
        <v>30</v>
      </c>
      <c r="L915" s="58">
        <v>30</v>
      </c>
    </row>
    <row r="916" spans="1:12" s="3" customFormat="1" ht="15">
      <c r="A916" s="105">
        <v>875</v>
      </c>
      <c r="B916" s="105"/>
      <c r="C916" s="105"/>
      <c r="D916" s="8" t="s">
        <v>1717</v>
      </c>
      <c r="E916" s="189" t="s">
        <v>2461</v>
      </c>
      <c r="F916" s="106"/>
      <c r="G916" s="106" t="s">
        <v>1717</v>
      </c>
      <c r="H916" s="107">
        <v>6570</v>
      </c>
      <c r="I916" s="8" t="s">
        <v>1444</v>
      </c>
      <c r="J916" s="108" t="s">
        <v>1110</v>
      </c>
      <c r="K916" s="57">
        <v>30</v>
      </c>
      <c r="L916" s="58">
        <v>30</v>
      </c>
    </row>
    <row r="917" spans="1:12" s="3" customFormat="1" ht="15">
      <c r="A917" s="105">
        <v>876</v>
      </c>
      <c r="B917" s="105"/>
      <c r="C917" s="105"/>
      <c r="D917" s="8" t="s">
        <v>1718</v>
      </c>
      <c r="E917" s="189" t="s">
        <v>2461</v>
      </c>
      <c r="F917" s="106"/>
      <c r="G917" s="106" t="s">
        <v>1718</v>
      </c>
      <c r="H917" s="107">
        <v>6570</v>
      </c>
      <c r="I917" s="8" t="s">
        <v>1444</v>
      </c>
      <c r="J917" s="108" t="s">
        <v>1110</v>
      </c>
      <c r="K917" s="57">
        <v>30</v>
      </c>
      <c r="L917" s="58">
        <v>30</v>
      </c>
    </row>
    <row r="918" spans="1:12" s="3" customFormat="1" ht="15">
      <c r="A918" s="105">
        <v>877</v>
      </c>
      <c r="B918" s="106"/>
      <c r="C918" s="106"/>
      <c r="D918" s="8" t="s">
        <v>1719</v>
      </c>
      <c r="E918" s="189" t="s">
        <v>2463</v>
      </c>
      <c r="F918" s="106"/>
      <c r="G918" s="106" t="s">
        <v>1719</v>
      </c>
      <c r="H918" s="107">
        <v>6570</v>
      </c>
      <c r="I918" s="8" t="s">
        <v>1444</v>
      </c>
      <c r="J918" s="108" t="s">
        <v>1110</v>
      </c>
      <c r="K918" s="57">
        <v>30</v>
      </c>
      <c r="L918" s="58">
        <v>30</v>
      </c>
    </row>
    <row r="919" spans="1:12" s="3" customFormat="1" ht="15">
      <c r="A919" s="105">
        <v>878</v>
      </c>
      <c r="B919" s="106"/>
      <c r="C919" s="106"/>
      <c r="D919" s="8" t="s">
        <v>1099</v>
      </c>
      <c r="E919" s="189" t="s">
        <v>1097</v>
      </c>
      <c r="F919" s="107"/>
      <c r="G919" s="107" t="s">
        <v>1099</v>
      </c>
      <c r="H919" s="107">
        <v>6570</v>
      </c>
      <c r="I919" s="8" t="s">
        <v>1444</v>
      </c>
      <c r="J919" s="8" t="s">
        <v>327</v>
      </c>
      <c r="K919" s="57">
        <v>30</v>
      </c>
      <c r="L919" s="58">
        <v>30</v>
      </c>
    </row>
    <row r="920" spans="1:12" s="3" customFormat="1" ht="15">
      <c r="A920" s="105">
        <v>879</v>
      </c>
      <c r="B920" s="106"/>
      <c r="C920" s="106"/>
      <c r="D920" s="8" t="s">
        <v>1100</v>
      </c>
      <c r="E920" s="189" t="s">
        <v>1098</v>
      </c>
      <c r="F920" s="107"/>
      <c r="G920" s="107" t="s">
        <v>1100</v>
      </c>
      <c r="H920" s="107">
        <v>6570</v>
      </c>
      <c r="I920" s="8" t="s">
        <v>1444</v>
      </c>
      <c r="J920" s="8" t="s">
        <v>327</v>
      </c>
      <c r="K920" s="57">
        <v>30</v>
      </c>
      <c r="L920" s="58">
        <v>30</v>
      </c>
    </row>
    <row r="921" spans="1:12" s="3" customFormat="1" ht="15">
      <c r="A921" s="105">
        <v>880</v>
      </c>
      <c r="B921" s="106"/>
      <c r="C921" s="106"/>
      <c r="D921" s="8" t="s">
        <v>1738</v>
      </c>
      <c r="E921" s="189" t="s">
        <v>2464</v>
      </c>
      <c r="F921" s="107"/>
      <c r="G921" s="107" t="s">
        <v>1738</v>
      </c>
      <c r="H921" s="107">
        <v>6550</v>
      </c>
      <c r="I921" s="8" t="s">
        <v>362</v>
      </c>
      <c r="J921" s="108" t="s">
        <v>1110</v>
      </c>
      <c r="K921" s="57">
        <v>30</v>
      </c>
      <c r="L921" s="58">
        <v>30</v>
      </c>
    </row>
    <row r="922" spans="1:12" s="3" customFormat="1" ht="15">
      <c r="A922" s="105">
        <v>881</v>
      </c>
      <c r="B922" s="106"/>
      <c r="C922" s="106"/>
      <c r="D922" s="8" t="s">
        <v>1703</v>
      </c>
      <c r="E922" s="189" t="s">
        <v>79</v>
      </c>
      <c r="F922" s="107"/>
      <c r="G922" s="107" t="s">
        <v>1703</v>
      </c>
      <c r="H922" s="107">
        <v>6550</v>
      </c>
      <c r="I922" s="8" t="s">
        <v>362</v>
      </c>
      <c r="J922" s="8" t="s">
        <v>1864</v>
      </c>
      <c r="K922" s="57">
        <v>30</v>
      </c>
      <c r="L922" s="58">
        <v>30</v>
      </c>
    </row>
    <row r="923" spans="1:12" s="3" customFormat="1" ht="15">
      <c r="A923" s="105">
        <v>882</v>
      </c>
      <c r="B923" s="106"/>
      <c r="C923" s="106"/>
      <c r="D923" s="8" t="s">
        <v>1704</v>
      </c>
      <c r="E923" s="189" t="s">
        <v>79</v>
      </c>
      <c r="F923" s="107"/>
      <c r="G923" s="107" t="s">
        <v>1704</v>
      </c>
      <c r="H923" s="107">
        <v>6550</v>
      </c>
      <c r="I923" s="8" t="s">
        <v>362</v>
      </c>
      <c r="J923" s="8" t="s">
        <v>1864</v>
      </c>
      <c r="K923" s="57">
        <v>30</v>
      </c>
      <c r="L923" s="58">
        <v>30</v>
      </c>
    </row>
    <row r="924" spans="1:12" s="3" customFormat="1" ht="15">
      <c r="A924" s="105">
        <v>883</v>
      </c>
      <c r="B924" s="106"/>
      <c r="C924" s="106"/>
      <c r="D924" s="8" t="s">
        <v>1720</v>
      </c>
      <c r="E924" s="189" t="s">
        <v>2464</v>
      </c>
      <c r="F924" s="106"/>
      <c r="G924" s="106" t="s">
        <v>1720</v>
      </c>
      <c r="H924" s="107">
        <v>6550</v>
      </c>
      <c r="I924" s="8" t="s">
        <v>362</v>
      </c>
      <c r="J924" s="108" t="s">
        <v>1110</v>
      </c>
      <c r="K924" s="57">
        <v>30</v>
      </c>
      <c r="L924" s="58">
        <v>30</v>
      </c>
    </row>
    <row r="925" spans="1:12" s="3" customFormat="1" ht="15">
      <c r="A925" s="105">
        <v>884</v>
      </c>
      <c r="B925" s="106"/>
      <c r="C925" s="106"/>
      <c r="D925" s="8" t="s">
        <v>1705</v>
      </c>
      <c r="E925" s="189" t="s">
        <v>79</v>
      </c>
      <c r="F925" s="107"/>
      <c r="G925" s="107" t="s">
        <v>1705</v>
      </c>
      <c r="H925" s="107">
        <v>6550</v>
      </c>
      <c r="I925" s="8" t="s">
        <v>362</v>
      </c>
      <c r="J925" s="8" t="s">
        <v>1864</v>
      </c>
      <c r="K925" s="57">
        <v>30</v>
      </c>
      <c r="L925" s="58">
        <v>30</v>
      </c>
    </row>
    <row r="926" spans="1:12" s="12" customFormat="1" ht="15">
      <c r="A926" s="105">
        <v>885</v>
      </c>
      <c r="B926" s="106"/>
      <c r="C926" s="106"/>
      <c r="D926" s="8" t="s">
        <v>1708</v>
      </c>
      <c r="E926" s="189" t="s">
        <v>82</v>
      </c>
      <c r="F926" s="107"/>
      <c r="G926" s="107" t="s">
        <v>1708</v>
      </c>
      <c r="H926" s="107">
        <v>6550</v>
      </c>
      <c r="I926" s="8" t="s">
        <v>362</v>
      </c>
      <c r="J926" s="8" t="s">
        <v>1864</v>
      </c>
      <c r="K926" s="57">
        <v>30</v>
      </c>
      <c r="L926" s="58">
        <v>30</v>
      </c>
    </row>
    <row r="927" spans="1:12" s="12" customFormat="1" ht="15">
      <c r="A927" s="105">
        <v>886</v>
      </c>
      <c r="B927" s="106"/>
      <c r="C927" s="106"/>
      <c r="D927" s="8" t="s">
        <v>1707</v>
      </c>
      <c r="E927" s="189" t="s">
        <v>82</v>
      </c>
      <c r="F927" s="107"/>
      <c r="G927" s="107" t="s">
        <v>1707</v>
      </c>
      <c r="H927" s="107">
        <v>6550</v>
      </c>
      <c r="I927" s="8" t="s">
        <v>362</v>
      </c>
      <c r="J927" s="8" t="s">
        <v>1864</v>
      </c>
      <c r="K927" s="57">
        <v>30</v>
      </c>
      <c r="L927" s="58">
        <v>30</v>
      </c>
    </row>
    <row r="928" spans="1:12" s="12" customFormat="1" ht="15">
      <c r="A928" s="105">
        <v>887</v>
      </c>
      <c r="B928" s="106"/>
      <c r="C928" s="106"/>
      <c r="D928" s="8" t="s">
        <v>1723</v>
      </c>
      <c r="E928" s="189" t="s">
        <v>2465</v>
      </c>
      <c r="F928" s="106"/>
      <c r="G928" s="106" t="s">
        <v>1723</v>
      </c>
      <c r="H928" s="107">
        <v>6550</v>
      </c>
      <c r="I928" s="8" t="s">
        <v>362</v>
      </c>
      <c r="J928" s="108" t="s">
        <v>1110</v>
      </c>
      <c r="K928" s="57">
        <v>30</v>
      </c>
      <c r="L928" s="58">
        <v>30</v>
      </c>
    </row>
    <row r="929" spans="1:229" s="12" customFormat="1" ht="15">
      <c r="A929" s="105">
        <v>888</v>
      </c>
      <c r="B929" s="106"/>
      <c r="C929" s="106"/>
      <c r="D929" s="8" t="s">
        <v>1724</v>
      </c>
      <c r="E929" s="189" t="s">
        <v>2465</v>
      </c>
      <c r="F929" s="106"/>
      <c r="G929" s="106" t="s">
        <v>1724</v>
      </c>
      <c r="H929" s="107">
        <v>6550</v>
      </c>
      <c r="I929" s="8" t="s">
        <v>362</v>
      </c>
      <c r="J929" s="108" t="s">
        <v>1110</v>
      </c>
      <c r="K929" s="57">
        <v>30</v>
      </c>
      <c r="L929" s="58">
        <v>30</v>
      </c>
    </row>
    <row r="930" spans="1:229" s="12" customFormat="1" ht="15">
      <c r="A930" s="105">
        <v>889</v>
      </c>
      <c r="B930" s="106"/>
      <c r="C930" s="106"/>
      <c r="D930" s="8" t="s">
        <v>1706</v>
      </c>
      <c r="E930" s="189" t="s">
        <v>82</v>
      </c>
      <c r="F930" s="107"/>
      <c r="G930" s="107" t="s">
        <v>1706</v>
      </c>
      <c r="H930" s="107">
        <v>6550</v>
      </c>
      <c r="I930" s="8" t="s">
        <v>362</v>
      </c>
      <c r="J930" s="8" t="s">
        <v>1864</v>
      </c>
      <c r="K930" s="57">
        <v>30</v>
      </c>
      <c r="L930" s="58">
        <v>30</v>
      </c>
    </row>
    <row r="931" spans="1:229" s="12" customFormat="1" ht="15">
      <c r="A931" s="105">
        <v>890</v>
      </c>
      <c r="B931" s="106"/>
      <c r="C931" s="106"/>
      <c r="D931" s="8" t="s">
        <v>1727</v>
      </c>
      <c r="E931" s="189" t="s">
        <v>2480</v>
      </c>
      <c r="F931" s="106"/>
      <c r="G931" s="106" t="s">
        <v>1727</v>
      </c>
      <c r="H931" s="107">
        <v>4200</v>
      </c>
      <c r="I931" s="8" t="s">
        <v>260</v>
      </c>
      <c r="J931" s="108" t="s">
        <v>580</v>
      </c>
      <c r="K931" s="57">
        <v>30</v>
      </c>
      <c r="L931" s="58">
        <v>30</v>
      </c>
    </row>
    <row r="932" spans="1:229" s="3" customFormat="1" ht="15">
      <c r="A932" s="105">
        <v>891</v>
      </c>
      <c r="B932" s="106"/>
      <c r="C932" s="106"/>
      <c r="D932" s="8" t="s">
        <v>1728</v>
      </c>
      <c r="E932" s="189" t="s">
        <v>4536</v>
      </c>
      <c r="F932" s="106"/>
      <c r="G932" s="106" t="s">
        <v>1728</v>
      </c>
      <c r="H932" s="107">
        <v>4200</v>
      </c>
      <c r="I932" s="8" t="s">
        <v>310</v>
      </c>
      <c r="J932" s="108" t="s">
        <v>1313</v>
      </c>
      <c r="K932" s="57">
        <v>60</v>
      </c>
      <c r="L932" s="58">
        <v>60</v>
      </c>
    </row>
    <row r="933" spans="1:229" s="3" customFormat="1" ht="15">
      <c r="A933" s="105">
        <v>892</v>
      </c>
      <c r="B933" s="106"/>
      <c r="C933" s="106"/>
      <c r="D933" s="8" t="s">
        <v>1730</v>
      </c>
      <c r="E933" s="189" t="s">
        <v>4371</v>
      </c>
      <c r="F933" s="106"/>
      <c r="G933" s="106" t="s">
        <v>4579</v>
      </c>
      <c r="H933" s="107">
        <v>4200</v>
      </c>
      <c r="I933" s="8" t="s">
        <v>310</v>
      </c>
      <c r="J933" s="108" t="s">
        <v>4720</v>
      </c>
      <c r="K933" s="57">
        <v>100</v>
      </c>
      <c r="L933" s="58">
        <v>100</v>
      </c>
    </row>
    <row r="934" spans="1:229" s="6" customFormat="1" ht="15">
      <c r="A934" s="105">
        <v>893</v>
      </c>
      <c r="B934" s="106" t="s">
        <v>1896</v>
      </c>
      <c r="C934" s="106"/>
      <c r="D934" s="111">
        <v>9031147012</v>
      </c>
      <c r="E934" s="189" t="s">
        <v>4368</v>
      </c>
      <c r="F934" s="106"/>
      <c r="G934" s="106" t="s">
        <v>1311</v>
      </c>
      <c r="H934" s="107">
        <v>4100</v>
      </c>
      <c r="I934" s="8" t="s">
        <v>317</v>
      </c>
      <c r="J934" s="108" t="s">
        <v>2633</v>
      </c>
      <c r="K934" s="57">
        <v>60</v>
      </c>
      <c r="L934" s="58">
        <v>60</v>
      </c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/>
      <c r="FB934" s="13"/>
      <c r="FC934" s="13"/>
      <c r="FD934" s="13"/>
      <c r="FE934" s="13"/>
      <c r="FF934" s="13"/>
      <c r="FG934" s="13"/>
      <c r="FH934" s="13"/>
      <c r="FI934" s="13"/>
      <c r="FJ934" s="13"/>
      <c r="FK934" s="13"/>
      <c r="FL934" s="13"/>
      <c r="FM934" s="13"/>
      <c r="FN934" s="13"/>
      <c r="FO934" s="13"/>
      <c r="FP934" s="13"/>
      <c r="FQ934" s="13"/>
      <c r="FR934" s="13"/>
      <c r="FS934" s="13"/>
      <c r="FT934" s="13"/>
      <c r="FU934" s="13"/>
      <c r="FV934" s="13"/>
      <c r="FW934" s="13"/>
      <c r="FX934" s="13"/>
      <c r="FY934" s="13"/>
      <c r="FZ934" s="13"/>
      <c r="GA934" s="13"/>
      <c r="GB934" s="13"/>
      <c r="GC934" s="13"/>
      <c r="GD934" s="13"/>
      <c r="GE934" s="13"/>
      <c r="GF934" s="13"/>
      <c r="GG934" s="13"/>
      <c r="GH934" s="13"/>
      <c r="GI934" s="13"/>
      <c r="GJ934" s="13"/>
      <c r="GK934" s="13"/>
      <c r="GL934" s="13"/>
      <c r="GM934" s="13"/>
      <c r="GN934" s="13"/>
      <c r="GO934" s="13"/>
      <c r="GP934" s="13"/>
      <c r="GQ934" s="13"/>
      <c r="GR934" s="13"/>
      <c r="GS934" s="13"/>
      <c r="GT934" s="13"/>
      <c r="GU934" s="13"/>
      <c r="GV934" s="13"/>
      <c r="GW934" s="13"/>
      <c r="GX934" s="13"/>
      <c r="GY934" s="13"/>
      <c r="GZ934" s="13"/>
      <c r="HA934" s="13"/>
      <c r="HB934" s="13"/>
      <c r="HC934" s="13"/>
      <c r="HD934" s="13"/>
      <c r="HE934" s="13"/>
      <c r="HF934" s="13"/>
      <c r="HG934" s="13"/>
      <c r="HH934" s="13"/>
      <c r="HI934" s="13"/>
      <c r="HJ934" s="13"/>
      <c r="HK934" s="13"/>
      <c r="HL934" s="13"/>
      <c r="HM934" s="13"/>
      <c r="HN934" s="13"/>
      <c r="HO934" s="13"/>
      <c r="HP934" s="13"/>
      <c r="HQ934" s="13"/>
      <c r="HR934" s="13"/>
      <c r="HS934" s="13"/>
      <c r="HT934" s="13"/>
      <c r="HU934" s="13"/>
    </row>
    <row r="935" spans="1:229" ht="15">
      <c r="A935" s="105">
        <v>894</v>
      </c>
      <c r="B935" s="106" t="s">
        <v>1896</v>
      </c>
      <c r="C935" s="106"/>
      <c r="D935" s="8">
        <v>9031147013</v>
      </c>
      <c r="E935" s="189" t="s">
        <v>4369</v>
      </c>
      <c r="F935" s="106"/>
      <c r="G935" s="106" t="s">
        <v>1312</v>
      </c>
      <c r="H935" s="107">
        <v>4100</v>
      </c>
      <c r="I935" s="8" t="s">
        <v>317</v>
      </c>
      <c r="J935" s="108" t="s">
        <v>2633</v>
      </c>
      <c r="K935" s="57">
        <v>60</v>
      </c>
      <c r="L935" s="58">
        <v>60</v>
      </c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3"/>
      <c r="FD935" s="13"/>
      <c r="FE935" s="13"/>
      <c r="FF935" s="13"/>
      <c r="FG935" s="13"/>
      <c r="FH935" s="13"/>
      <c r="FI935" s="13"/>
      <c r="FJ935" s="13"/>
      <c r="FK935" s="13"/>
      <c r="FL935" s="13"/>
      <c r="FM935" s="13"/>
      <c r="FN935" s="13"/>
      <c r="FO935" s="13"/>
      <c r="FP935" s="13"/>
      <c r="FQ935" s="13"/>
      <c r="FR935" s="13"/>
      <c r="FS935" s="13"/>
      <c r="FT935" s="13"/>
      <c r="FU935" s="13"/>
      <c r="FV935" s="13"/>
      <c r="FW935" s="13"/>
      <c r="FX935" s="13"/>
      <c r="FY935" s="13"/>
      <c r="FZ935" s="13"/>
      <c r="GA935" s="13"/>
      <c r="GB935" s="13"/>
      <c r="GC935" s="13"/>
      <c r="GD935" s="13"/>
      <c r="GE935" s="13"/>
      <c r="GF935" s="13"/>
      <c r="GG935" s="13"/>
      <c r="GH935" s="13"/>
      <c r="GI935" s="13"/>
      <c r="GJ935" s="13"/>
      <c r="GK935" s="13"/>
      <c r="GL935" s="13"/>
      <c r="GM935" s="13"/>
      <c r="GN935" s="13"/>
      <c r="GO935" s="13"/>
      <c r="GP935" s="13"/>
      <c r="GQ935" s="13"/>
      <c r="GR935" s="13"/>
      <c r="GS935" s="13"/>
      <c r="GT935" s="13"/>
      <c r="GU935" s="13"/>
      <c r="GV935" s="13"/>
      <c r="GW935" s="13"/>
      <c r="GX935" s="13"/>
      <c r="GY935" s="13"/>
      <c r="GZ935" s="13"/>
      <c r="HA935" s="13"/>
      <c r="HB935" s="13"/>
      <c r="HC935" s="13"/>
      <c r="HD935" s="13"/>
      <c r="HE935" s="13"/>
      <c r="HF935" s="13"/>
      <c r="HG935" s="13"/>
      <c r="HH935" s="13"/>
      <c r="HI935" s="13"/>
      <c r="HJ935" s="13"/>
      <c r="HK935" s="13"/>
      <c r="HL935" s="13"/>
      <c r="HM935" s="13"/>
      <c r="HN935" s="13"/>
      <c r="HO935" s="13"/>
      <c r="HP935" s="13"/>
      <c r="HQ935" s="13"/>
      <c r="HR935" s="13"/>
      <c r="HS935" s="13"/>
      <c r="HT935" s="13"/>
      <c r="HU935" s="13"/>
    </row>
    <row r="936" spans="1:229" s="3" customFormat="1" ht="15">
      <c r="A936" s="105">
        <v>895</v>
      </c>
      <c r="B936" s="106" t="s">
        <v>280</v>
      </c>
      <c r="C936" s="106"/>
      <c r="D936" s="111">
        <v>5210504040</v>
      </c>
      <c r="E936" s="189" t="s">
        <v>104</v>
      </c>
      <c r="F936" s="106"/>
      <c r="G936" s="107">
        <v>5210504040</v>
      </c>
      <c r="H936" s="107">
        <v>5210</v>
      </c>
      <c r="I936" s="8" t="s">
        <v>255</v>
      </c>
      <c r="J936" s="8" t="s">
        <v>110</v>
      </c>
      <c r="K936" s="57">
        <v>30</v>
      </c>
      <c r="L936" s="58">
        <v>30</v>
      </c>
    </row>
    <row r="937" spans="1:229" s="3" customFormat="1" ht="15">
      <c r="A937" s="105">
        <v>896</v>
      </c>
      <c r="B937" s="106"/>
      <c r="C937" s="106"/>
      <c r="D937" s="111">
        <v>5210504060</v>
      </c>
      <c r="E937" s="189" t="s">
        <v>109</v>
      </c>
      <c r="F937" s="106"/>
      <c r="G937" s="107">
        <v>5210504060</v>
      </c>
      <c r="H937" s="107">
        <v>5210</v>
      </c>
      <c r="I937" s="8" t="s">
        <v>255</v>
      </c>
      <c r="J937" s="8" t="s">
        <v>2631</v>
      </c>
      <c r="K937" s="57">
        <v>30</v>
      </c>
      <c r="L937" s="58">
        <v>30</v>
      </c>
    </row>
    <row r="938" spans="1:229" s="9" customFormat="1" ht="15">
      <c r="A938" s="105">
        <v>897</v>
      </c>
      <c r="B938" s="106" t="s">
        <v>1896</v>
      </c>
      <c r="C938" s="106"/>
      <c r="D938" s="111">
        <v>4211004050</v>
      </c>
      <c r="E938" s="189" t="s">
        <v>2658</v>
      </c>
      <c r="F938" s="106"/>
      <c r="G938" s="106" t="s">
        <v>319</v>
      </c>
      <c r="H938" s="107">
        <v>4200</v>
      </c>
      <c r="I938" s="8" t="s">
        <v>310</v>
      </c>
      <c r="J938" s="108" t="s">
        <v>1110</v>
      </c>
      <c r="K938" s="57">
        <v>30</v>
      </c>
      <c r="L938" s="58">
        <v>30</v>
      </c>
    </row>
    <row r="939" spans="1:229" s="9" customFormat="1" ht="15">
      <c r="A939" s="105">
        <v>898</v>
      </c>
      <c r="B939" s="106" t="s">
        <v>1896</v>
      </c>
      <c r="C939" s="106"/>
      <c r="D939" s="111">
        <v>4211004060</v>
      </c>
      <c r="E939" s="189" t="s">
        <v>2658</v>
      </c>
      <c r="F939" s="106"/>
      <c r="G939" s="106" t="s">
        <v>635</v>
      </c>
      <c r="H939" s="107">
        <v>4200</v>
      </c>
      <c r="I939" s="8" t="s">
        <v>310</v>
      </c>
      <c r="J939" s="108" t="s">
        <v>1110</v>
      </c>
      <c r="K939" s="57">
        <v>30</v>
      </c>
      <c r="L939" s="58">
        <v>30</v>
      </c>
    </row>
    <row r="940" spans="1:229" s="9" customFormat="1" ht="15">
      <c r="A940" s="105">
        <v>899</v>
      </c>
      <c r="B940" s="106" t="s">
        <v>1896</v>
      </c>
      <c r="C940" s="106"/>
      <c r="D940" s="111">
        <v>4211004070</v>
      </c>
      <c r="E940" s="189" t="s">
        <v>2658</v>
      </c>
      <c r="F940" s="106"/>
      <c r="G940" s="106" t="s">
        <v>635</v>
      </c>
      <c r="H940" s="107">
        <v>4200</v>
      </c>
      <c r="I940" s="8" t="s">
        <v>310</v>
      </c>
      <c r="J940" s="108" t="s">
        <v>1110</v>
      </c>
      <c r="K940" s="57">
        <v>30</v>
      </c>
      <c r="L940" s="58">
        <v>30</v>
      </c>
    </row>
    <row r="941" spans="1:229" s="9" customFormat="1" ht="15">
      <c r="A941" s="105">
        <v>900</v>
      </c>
      <c r="B941" s="106" t="s">
        <v>1896</v>
      </c>
      <c r="C941" s="106"/>
      <c r="D941" s="8" t="s">
        <v>411</v>
      </c>
      <c r="E941" s="189" t="s">
        <v>254</v>
      </c>
      <c r="F941" s="107"/>
      <c r="G941" s="107" t="s">
        <v>92</v>
      </c>
      <c r="H941" s="107">
        <v>6550</v>
      </c>
      <c r="I941" s="8" t="s">
        <v>362</v>
      </c>
      <c r="J941" s="108" t="s">
        <v>1110</v>
      </c>
      <c r="K941" s="57">
        <v>30</v>
      </c>
      <c r="L941" s="58">
        <v>30</v>
      </c>
    </row>
    <row r="942" spans="1:229" s="6" customFormat="1" ht="15">
      <c r="A942" s="105">
        <v>901</v>
      </c>
      <c r="B942" s="112"/>
      <c r="C942" s="112"/>
      <c r="D942" s="8" t="s">
        <v>1740</v>
      </c>
      <c r="E942" s="189" t="s">
        <v>830</v>
      </c>
      <c r="F942" s="106"/>
      <c r="G942" s="112"/>
      <c r="H942" s="107">
        <v>4100</v>
      </c>
      <c r="I942" s="8" t="s">
        <v>317</v>
      </c>
      <c r="J942" s="108" t="s">
        <v>1110</v>
      </c>
      <c r="K942" s="57">
        <v>30</v>
      </c>
      <c r="L942" s="58">
        <v>30</v>
      </c>
    </row>
    <row r="943" spans="1:229" s="6" customFormat="1" ht="15">
      <c r="A943" s="105">
        <v>902</v>
      </c>
      <c r="B943" s="112"/>
      <c r="C943" s="112"/>
      <c r="D943" s="8" t="s">
        <v>1741</v>
      </c>
      <c r="E943" s="189" t="s">
        <v>830</v>
      </c>
      <c r="F943" s="106"/>
      <c r="G943" s="112"/>
      <c r="H943" s="107">
        <v>4100</v>
      </c>
      <c r="I943" s="8" t="s">
        <v>317</v>
      </c>
      <c r="J943" s="108" t="s">
        <v>1110</v>
      </c>
      <c r="K943" s="57">
        <v>30</v>
      </c>
      <c r="L943" s="58">
        <v>30</v>
      </c>
    </row>
    <row r="944" spans="1:229" s="6" customFormat="1" ht="15">
      <c r="A944" s="105">
        <v>903</v>
      </c>
      <c r="B944" s="112"/>
      <c r="C944" s="112"/>
      <c r="D944" s="8" t="s">
        <v>1742</v>
      </c>
      <c r="E944" s="189" t="s">
        <v>830</v>
      </c>
      <c r="F944" s="106"/>
      <c r="G944" s="112"/>
      <c r="H944" s="107">
        <v>4100</v>
      </c>
      <c r="I944" s="8" t="s">
        <v>317</v>
      </c>
      <c r="J944" s="108" t="s">
        <v>1110</v>
      </c>
      <c r="K944" s="57">
        <v>30</v>
      </c>
      <c r="L944" s="58">
        <v>30</v>
      </c>
    </row>
    <row r="945" spans="1:12" s="6" customFormat="1" ht="15">
      <c r="A945" s="105">
        <v>904</v>
      </c>
      <c r="B945" s="112"/>
      <c r="C945" s="112"/>
      <c r="D945" s="8" t="s">
        <v>1743</v>
      </c>
      <c r="E945" s="189" t="s">
        <v>830</v>
      </c>
      <c r="F945" s="106"/>
      <c r="G945" s="112"/>
      <c r="H945" s="107">
        <v>4100</v>
      </c>
      <c r="I945" s="8" t="s">
        <v>317</v>
      </c>
      <c r="J945" s="108" t="s">
        <v>1110</v>
      </c>
      <c r="K945" s="57">
        <v>30</v>
      </c>
      <c r="L945" s="58">
        <v>30</v>
      </c>
    </row>
    <row r="946" spans="1:12" s="6" customFormat="1" ht="15">
      <c r="A946" s="105">
        <v>905</v>
      </c>
      <c r="B946" s="112"/>
      <c r="C946" s="112"/>
      <c r="D946" s="8" t="s">
        <v>1744</v>
      </c>
      <c r="E946" s="189" t="s">
        <v>830</v>
      </c>
      <c r="F946" s="106"/>
      <c r="G946" s="112"/>
      <c r="H946" s="107">
        <v>4100</v>
      </c>
      <c r="I946" s="8" t="s">
        <v>317</v>
      </c>
      <c r="J946" s="108" t="s">
        <v>1110</v>
      </c>
      <c r="K946" s="57">
        <v>30</v>
      </c>
      <c r="L946" s="58">
        <v>30</v>
      </c>
    </row>
    <row r="947" spans="1:12" s="6" customFormat="1" ht="15">
      <c r="A947" s="105">
        <v>906</v>
      </c>
      <c r="B947" s="112"/>
      <c r="C947" s="112"/>
      <c r="D947" s="8" t="s">
        <v>1745</v>
      </c>
      <c r="E947" s="189" t="s">
        <v>830</v>
      </c>
      <c r="F947" s="106"/>
      <c r="G947" s="112"/>
      <c r="H947" s="107">
        <v>4100</v>
      </c>
      <c r="I947" s="8" t="s">
        <v>317</v>
      </c>
      <c r="J947" s="108" t="s">
        <v>1110</v>
      </c>
      <c r="K947" s="57">
        <v>30</v>
      </c>
      <c r="L947" s="58">
        <v>30</v>
      </c>
    </row>
    <row r="948" spans="1:12" s="6" customFormat="1" ht="15">
      <c r="A948" s="105">
        <v>907</v>
      </c>
      <c r="B948" s="112"/>
      <c r="C948" s="112"/>
      <c r="D948" s="8" t="s">
        <v>1746</v>
      </c>
      <c r="E948" s="189" t="s">
        <v>830</v>
      </c>
      <c r="F948" s="106"/>
      <c r="G948" s="112"/>
      <c r="H948" s="107">
        <v>4100</v>
      </c>
      <c r="I948" s="8" t="s">
        <v>317</v>
      </c>
      <c r="J948" s="108" t="s">
        <v>1110</v>
      </c>
      <c r="K948" s="57">
        <v>30</v>
      </c>
      <c r="L948" s="58">
        <v>30</v>
      </c>
    </row>
    <row r="949" spans="1:12" s="6" customFormat="1" ht="15">
      <c r="A949" s="105">
        <v>908</v>
      </c>
      <c r="B949" s="112"/>
      <c r="C949" s="112"/>
      <c r="D949" s="8" t="s">
        <v>1747</v>
      </c>
      <c r="E949" s="189" t="s">
        <v>830</v>
      </c>
      <c r="F949" s="106"/>
      <c r="G949" s="112"/>
      <c r="H949" s="107">
        <v>4100</v>
      </c>
      <c r="I949" s="8" t="s">
        <v>317</v>
      </c>
      <c r="J949" s="108" t="s">
        <v>1110</v>
      </c>
      <c r="K949" s="57">
        <v>30</v>
      </c>
      <c r="L949" s="58">
        <v>30</v>
      </c>
    </row>
    <row r="950" spans="1:12" s="6" customFormat="1" ht="15">
      <c r="A950" s="105">
        <v>909</v>
      </c>
      <c r="B950" s="112"/>
      <c r="C950" s="112"/>
      <c r="D950" s="8" t="s">
        <v>1748</v>
      </c>
      <c r="E950" s="189" t="s">
        <v>830</v>
      </c>
      <c r="F950" s="106"/>
      <c r="G950" s="112"/>
      <c r="H950" s="107">
        <v>4100</v>
      </c>
      <c r="I950" s="8" t="s">
        <v>317</v>
      </c>
      <c r="J950" s="108" t="s">
        <v>1110</v>
      </c>
      <c r="K950" s="57">
        <v>30</v>
      </c>
      <c r="L950" s="58">
        <v>30</v>
      </c>
    </row>
    <row r="951" spans="1:12" s="6" customFormat="1" ht="15">
      <c r="A951" s="105">
        <v>910</v>
      </c>
      <c r="B951" s="112"/>
      <c r="C951" s="112"/>
      <c r="D951" s="8" t="s">
        <v>1749</v>
      </c>
      <c r="E951" s="189" t="s">
        <v>1125</v>
      </c>
      <c r="F951" s="106"/>
      <c r="G951" s="107" t="s">
        <v>1122</v>
      </c>
      <c r="H951" s="107">
        <v>5110</v>
      </c>
      <c r="I951" s="8" t="s">
        <v>267</v>
      </c>
      <c r="J951" s="109" t="s">
        <v>275</v>
      </c>
      <c r="K951" s="57">
        <v>30</v>
      </c>
      <c r="L951" s="58">
        <v>30</v>
      </c>
    </row>
    <row r="952" spans="1:12" s="13" customFormat="1" ht="15">
      <c r="A952" s="105">
        <v>911</v>
      </c>
      <c r="B952" s="106" t="s">
        <v>1896</v>
      </c>
      <c r="C952" s="106"/>
      <c r="D952" s="111">
        <v>9008031110</v>
      </c>
      <c r="E952" s="189" t="s">
        <v>1019</v>
      </c>
      <c r="F952" s="106"/>
      <c r="G952" s="106" t="s">
        <v>1310</v>
      </c>
      <c r="H952" s="107">
        <v>4100</v>
      </c>
      <c r="I952" s="8" t="s">
        <v>317</v>
      </c>
      <c r="J952" s="108" t="s">
        <v>2633</v>
      </c>
      <c r="K952" s="57">
        <v>0</v>
      </c>
      <c r="L952" s="58">
        <v>0</v>
      </c>
    </row>
    <row r="953" spans="1:12" s="9" customFormat="1" ht="15">
      <c r="A953" s="105">
        <v>912</v>
      </c>
      <c r="B953" s="106" t="s">
        <v>1896</v>
      </c>
      <c r="C953" s="106"/>
      <c r="D953" s="111">
        <v>4111071120</v>
      </c>
      <c r="E953" s="189" t="s">
        <v>830</v>
      </c>
      <c r="F953" s="106"/>
      <c r="G953" s="106" t="s">
        <v>378</v>
      </c>
      <c r="H953" s="107" t="s">
        <v>379</v>
      </c>
      <c r="I953" s="8" t="s">
        <v>260</v>
      </c>
      <c r="J953" s="108" t="s">
        <v>1110</v>
      </c>
      <c r="K953" s="57">
        <v>30</v>
      </c>
      <c r="L953" s="58">
        <v>30</v>
      </c>
    </row>
    <row r="954" spans="1:12" s="6" customFormat="1" ht="15">
      <c r="A954" s="105">
        <v>913</v>
      </c>
      <c r="B954" s="112"/>
      <c r="C954" s="112"/>
      <c r="D954" s="8" t="s">
        <v>2061</v>
      </c>
      <c r="E954" s="189" t="s">
        <v>2063</v>
      </c>
      <c r="F954" s="112"/>
      <c r="G954" s="112"/>
      <c r="H954" s="107">
        <v>4100</v>
      </c>
      <c r="I954" s="41" t="s">
        <v>260</v>
      </c>
      <c r="J954" s="108" t="s">
        <v>2650</v>
      </c>
      <c r="K954" s="57">
        <v>60</v>
      </c>
      <c r="L954" s="58">
        <v>60</v>
      </c>
    </row>
    <row r="955" spans="1:12" s="6" customFormat="1" ht="15">
      <c r="A955" s="105">
        <v>914</v>
      </c>
      <c r="B955" s="112"/>
      <c r="C955" s="112"/>
      <c r="D955" s="8" t="s">
        <v>2062</v>
      </c>
      <c r="E955" s="189" t="s">
        <v>2063</v>
      </c>
      <c r="F955" s="112"/>
      <c r="G955" s="112"/>
      <c r="H955" s="107">
        <v>4100</v>
      </c>
      <c r="I955" s="41" t="s">
        <v>260</v>
      </c>
      <c r="J955" s="108" t="s">
        <v>2650</v>
      </c>
      <c r="K955" s="57">
        <v>60</v>
      </c>
      <c r="L955" s="58">
        <v>60</v>
      </c>
    </row>
    <row r="956" spans="1:12" s="6" customFormat="1" ht="15">
      <c r="A956" s="105">
        <v>915</v>
      </c>
      <c r="B956" s="112"/>
      <c r="C956" s="112"/>
      <c r="D956" s="8" t="s">
        <v>2064</v>
      </c>
      <c r="E956" s="189" t="s">
        <v>2065</v>
      </c>
      <c r="F956" s="112"/>
      <c r="G956" s="112"/>
      <c r="H956" s="107">
        <v>5120</v>
      </c>
      <c r="I956" s="41" t="s">
        <v>2066</v>
      </c>
      <c r="J956" s="41" t="s">
        <v>1864</v>
      </c>
      <c r="K956" s="57">
        <v>30</v>
      </c>
      <c r="L956" s="58">
        <v>30</v>
      </c>
    </row>
    <row r="957" spans="1:12" s="9" customFormat="1" ht="15">
      <c r="A957" s="105">
        <v>916</v>
      </c>
      <c r="B957" s="106" t="s">
        <v>1897</v>
      </c>
      <c r="C957" s="106"/>
      <c r="D957" s="8" t="s">
        <v>2125</v>
      </c>
      <c r="E957" s="189" t="s">
        <v>2658</v>
      </c>
      <c r="F957" s="106"/>
      <c r="G957" s="106" t="s">
        <v>158</v>
      </c>
      <c r="H957" s="107">
        <v>4200</v>
      </c>
      <c r="I957" s="8" t="s">
        <v>310</v>
      </c>
      <c r="J957" s="108" t="s">
        <v>1110</v>
      </c>
      <c r="K957" s="57">
        <v>30</v>
      </c>
      <c r="L957" s="58">
        <v>30</v>
      </c>
    </row>
    <row r="958" spans="1:12" s="9" customFormat="1" ht="15">
      <c r="A958" s="105">
        <v>917</v>
      </c>
      <c r="B958" s="106" t="s">
        <v>1896</v>
      </c>
      <c r="C958" s="106"/>
      <c r="D958" s="8" t="s">
        <v>156</v>
      </c>
      <c r="E958" s="189" t="s">
        <v>830</v>
      </c>
      <c r="F958" s="106"/>
      <c r="G958" s="106" t="s">
        <v>157</v>
      </c>
      <c r="H958" s="107" t="s">
        <v>379</v>
      </c>
      <c r="I958" s="8" t="s">
        <v>260</v>
      </c>
      <c r="J958" s="108" t="s">
        <v>1110</v>
      </c>
      <c r="K958" s="57">
        <v>30</v>
      </c>
      <c r="L958" s="58">
        <v>30</v>
      </c>
    </row>
    <row r="959" spans="1:12" s="9" customFormat="1" ht="15">
      <c r="A959" s="105">
        <v>918</v>
      </c>
      <c r="B959" s="106" t="s">
        <v>1896</v>
      </c>
      <c r="C959" s="106"/>
      <c r="D959" s="8" t="s">
        <v>2210</v>
      </c>
      <c r="E959" s="189" t="s">
        <v>830</v>
      </c>
      <c r="F959" s="106"/>
      <c r="G959" s="106" t="s">
        <v>159</v>
      </c>
      <c r="H959" s="107" t="s">
        <v>379</v>
      </c>
      <c r="I959" s="8" t="s">
        <v>260</v>
      </c>
      <c r="J959" s="108" t="s">
        <v>1110</v>
      </c>
      <c r="K959" s="57">
        <v>30</v>
      </c>
      <c r="L959" s="58">
        <v>30</v>
      </c>
    </row>
    <row r="960" spans="1:12" s="9" customFormat="1" ht="15">
      <c r="A960" s="105">
        <v>919</v>
      </c>
      <c r="B960" s="106" t="s">
        <v>1896</v>
      </c>
      <c r="C960" s="106"/>
      <c r="D960" s="8" t="s">
        <v>2209</v>
      </c>
      <c r="E960" s="189" t="s">
        <v>830</v>
      </c>
      <c r="F960" s="106"/>
      <c r="G960" s="106" t="s">
        <v>160</v>
      </c>
      <c r="H960" s="107" t="s">
        <v>379</v>
      </c>
      <c r="I960" s="8" t="s">
        <v>260</v>
      </c>
      <c r="J960" s="108" t="s">
        <v>1110</v>
      </c>
      <c r="K960" s="57">
        <v>30</v>
      </c>
      <c r="L960" s="58">
        <v>30</v>
      </c>
    </row>
    <row r="961" spans="1:229" s="9" customFormat="1" ht="15">
      <c r="A961" s="105">
        <v>920</v>
      </c>
      <c r="B961" s="106" t="s">
        <v>1896</v>
      </c>
      <c r="C961" s="106"/>
      <c r="D961" s="8" t="s">
        <v>2208</v>
      </c>
      <c r="E961" s="189" t="s">
        <v>830</v>
      </c>
      <c r="F961" s="106"/>
      <c r="G961" s="106" t="s">
        <v>161</v>
      </c>
      <c r="H961" s="107" t="s">
        <v>379</v>
      </c>
      <c r="I961" s="8" t="s">
        <v>260</v>
      </c>
      <c r="J961" s="108" t="s">
        <v>1110</v>
      </c>
      <c r="K961" s="57">
        <v>30</v>
      </c>
      <c r="L961" s="58">
        <v>30</v>
      </c>
    </row>
    <row r="962" spans="1:229" s="9" customFormat="1" ht="15">
      <c r="A962" s="105">
        <v>921</v>
      </c>
      <c r="B962" s="106" t="s">
        <v>1897</v>
      </c>
      <c r="C962" s="106"/>
      <c r="D962" s="8" t="s">
        <v>2300</v>
      </c>
      <c r="E962" s="189" t="s">
        <v>2658</v>
      </c>
      <c r="F962" s="106"/>
      <c r="G962" s="106" t="s">
        <v>162</v>
      </c>
      <c r="H962" s="107">
        <v>4200</v>
      </c>
      <c r="I962" s="8" t="s">
        <v>310</v>
      </c>
      <c r="J962" s="108" t="s">
        <v>1110</v>
      </c>
      <c r="K962" s="57">
        <v>30</v>
      </c>
      <c r="L962" s="58">
        <v>30</v>
      </c>
    </row>
    <row r="963" spans="1:229" s="9" customFormat="1" ht="15">
      <c r="A963" s="105">
        <v>922</v>
      </c>
      <c r="B963" s="106" t="s">
        <v>1896</v>
      </c>
      <c r="C963" s="106"/>
      <c r="D963" s="8" t="s">
        <v>2301</v>
      </c>
      <c r="E963" s="189" t="s">
        <v>2658</v>
      </c>
      <c r="F963" s="106"/>
      <c r="G963" s="106" t="s">
        <v>163</v>
      </c>
      <c r="H963" s="107">
        <v>4200</v>
      </c>
      <c r="I963" s="8" t="s">
        <v>310</v>
      </c>
      <c r="J963" s="108" t="s">
        <v>1110</v>
      </c>
      <c r="K963" s="57">
        <v>30</v>
      </c>
      <c r="L963" s="58">
        <v>30</v>
      </c>
    </row>
    <row r="964" spans="1:229" s="9" customFormat="1" ht="15">
      <c r="A964" s="105">
        <v>923</v>
      </c>
      <c r="B964" s="106" t="s">
        <v>1897</v>
      </c>
      <c r="C964" s="106"/>
      <c r="D964" s="8" t="s">
        <v>2302</v>
      </c>
      <c r="E964" s="189" t="s">
        <v>2658</v>
      </c>
      <c r="F964" s="106"/>
      <c r="G964" s="106" t="s">
        <v>164</v>
      </c>
      <c r="H964" s="107">
        <v>4200</v>
      </c>
      <c r="I964" s="8" t="s">
        <v>310</v>
      </c>
      <c r="J964" s="108" t="s">
        <v>1110</v>
      </c>
      <c r="K964" s="57">
        <v>30</v>
      </c>
      <c r="L964" s="58">
        <v>30</v>
      </c>
    </row>
    <row r="965" spans="1:229" s="6" customFormat="1" ht="15">
      <c r="A965" s="105">
        <v>924</v>
      </c>
      <c r="B965" s="113" t="s">
        <v>1897</v>
      </c>
      <c r="C965" s="113"/>
      <c r="D965" s="8" t="str">
        <f>"661700K020"</f>
        <v>661700K020</v>
      </c>
      <c r="E965" s="189" t="s">
        <v>2811</v>
      </c>
      <c r="F965" s="113"/>
      <c r="G965" s="113" t="s">
        <v>165</v>
      </c>
      <c r="H965" s="107">
        <v>6570</v>
      </c>
      <c r="I965" s="8" t="s">
        <v>1444</v>
      </c>
      <c r="J965" s="108" t="s">
        <v>856</v>
      </c>
      <c r="K965" s="57">
        <v>30</v>
      </c>
      <c r="L965" s="58">
        <v>30</v>
      </c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  <c r="EF965" s="9"/>
      <c r="EG965" s="9"/>
      <c r="EH965" s="9"/>
      <c r="EI965" s="9"/>
      <c r="EJ965" s="9"/>
      <c r="EK965" s="9"/>
      <c r="EL965" s="9"/>
      <c r="EM965" s="9"/>
      <c r="EN965" s="9"/>
      <c r="EO965" s="9"/>
      <c r="EP965" s="9"/>
      <c r="EQ965" s="9"/>
      <c r="ER965" s="9"/>
      <c r="ES965" s="9"/>
      <c r="ET965" s="9"/>
      <c r="EU965" s="9"/>
      <c r="EV965" s="9"/>
      <c r="EW965" s="9"/>
      <c r="EX965" s="9"/>
      <c r="EY965" s="9"/>
      <c r="EZ965" s="9"/>
      <c r="FA965" s="9"/>
      <c r="FB965" s="9"/>
      <c r="FC965" s="9"/>
      <c r="FD965" s="9"/>
      <c r="FE965" s="9"/>
      <c r="FF965" s="9"/>
      <c r="FG965" s="9"/>
      <c r="FH965" s="9"/>
      <c r="FI965" s="9"/>
      <c r="FJ965" s="9"/>
      <c r="FK965" s="9"/>
      <c r="FL965" s="9"/>
      <c r="FM965" s="9"/>
      <c r="FN965" s="9"/>
      <c r="FO965" s="9"/>
      <c r="FP965" s="9"/>
      <c r="FQ965" s="9"/>
      <c r="FR965" s="9"/>
      <c r="FS965" s="9"/>
      <c r="FT965" s="9"/>
      <c r="FU965" s="9"/>
      <c r="FV965" s="9"/>
      <c r="FW965" s="9"/>
      <c r="FX965" s="9"/>
      <c r="FY965" s="9"/>
      <c r="FZ965" s="9"/>
      <c r="GA965" s="9"/>
      <c r="GB965" s="9"/>
      <c r="GC965" s="9"/>
      <c r="GD965" s="9"/>
      <c r="GE965" s="9"/>
      <c r="GF965" s="9"/>
      <c r="GG965" s="9"/>
      <c r="GH965" s="9"/>
      <c r="GI965" s="9"/>
      <c r="GJ965" s="9"/>
      <c r="GK965" s="9"/>
      <c r="GL965" s="9"/>
      <c r="GM965" s="9"/>
      <c r="GN965" s="9"/>
      <c r="GO965" s="9"/>
      <c r="GP965" s="9"/>
      <c r="GQ965" s="9"/>
      <c r="GR965" s="9"/>
      <c r="GS965" s="9"/>
      <c r="GT965" s="9"/>
      <c r="GU965" s="9"/>
      <c r="GV965" s="9"/>
      <c r="GW965" s="9"/>
      <c r="GX965" s="9"/>
      <c r="GY965" s="9"/>
      <c r="GZ965" s="9"/>
      <c r="HA965" s="9"/>
      <c r="HB965" s="9"/>
      <c r="HC965" s="9"/>
      <c r="HD965" s="9"/>
      <c r="HE965" s="9"/>
      <c r="HF965" s="9"/>
      <c r="HG965" s="9"/>
      <c r="HH965" s="9"/>
      <c r="HI965" s="9"/>
      <c r="HJ965" s="9"/>
      <c r="HK965" s="9"/>
      <c r="HL965" s="9"/>
      <c r="HM965" s="9"/>
      <c r="HN965" s="9"/>
      <c r="HO965" s="9"/>
      <c r="HP965" s="9"/>
      <c r="HQ965" s="9"/>
      <c r="HR965" s="9"/>
      <c r="HS965" s="9"/>
      <c r="HT965" s="9"/>
      <c r="HU965" s="9"/>
    </row>
    <row r="966" spans="1:229" s="9" customFormat="1" ht="15">
      <c r="A966" s="105">
        <v>925</v>
      </c>
      <c r="B966" s="113" t="s">
        <v>1897</v>
      </c>
      <c r="C966" s="113"/>
      <c r="D966" s="8" t="str">
        <f>"9094202079"</f>
        <v>9094202079</v>
      </c>
      <c r="E966" s="189" t="s">
        <v>4374</v>
      </c>
      <c r="F966" s="113"/>
      <c r="G966" s="113" t="s">
        <v>166</v>
      </c>
      <c r="H966" s="107">
        <v>4200</v>
      </c>
      <c r="I966" s="8" t="s">
        <v>310</v>
      </c>
      <c r="J966" s="110" t="s">
        <v>5287</v>
      </c>
      <c r="K966" s="57">
        <v>30</v>
      </c>
      <c r="L966" s="58">
        <v>30</v>
      </c>
    </row>
    <row r="967" spans="1:229" s="9" customFormat="1" ht="15">
      <c r="A967" s="105">
        <v>926</v>
      </c>
      <c r="B967" s="113" t="s">
        <v>1897</v>
      </c>
      <c r="C967" s="113"/>
      <c r="D967" s="8" t="str">
        <f>"9094202081"</f>
        <v>9094202081</v>
      </c>
      <c r="E967" s="189" t="s">
        <v>4374</v>
      </c>
      <c r="F967" s="113"/>
      <c r="G967" s="113" t="s">
        <v>166</v>
      </c>
      <c r="H967" s="107">
        <v>4200</v>
      </c>
      <c r="I967" s="8" t="s">
        <v>310</v>
      </c>
      <c r="J967" s="110" t="s">
        <v>5287</v>
      </c>
      <c r="K967" s="57">
        <v>30</v>
      </c>
      <c r="L967" s="58">
        <v>30</v>
      </c>
    </row>
    <row r="968" spans="1:229" s="13" customFormat="1" ht="15">
      <c r="A968" s="105">
        <v>927</v>
      </c>
      <c r="B968" s="113" t="s">
        <v>1897</v>
      </c>
      <c r="C968" s="113"/>
      <c r="D968" s="8" t="str">
        <f>"4120109B50"</f>
        <v>4120109B50</v>
      </c>
      <c r="E968" s="189" t="s">
        <v>2676</v>
      </c>
      <c r="F968" s="107"/>
      <c r="G968" s="107" t="s">
        <v>1140</v>
      </c>
      <c r="H968" s="107">
        <v>4110</v>
      </c>
      <c r="I968" s="8" t="s">
        <v>260</v>
      </c>
      <c r="J968" s="8" t="s">
        <v>1690</v>
      </c>
      <c r="K968" s="57">
        <v>30</v>
      </c>
      <c r="L968" s="58">
        <v>30</v>
      </c>
    </row>
    <row r="969" spans="1:229" s="13" customFormat="1" ht="15">
      <c r="A969" s="105">
        <v>928</v>
      </c>
      <c r="B969" s="113" t="s">
        <v>1897</v>
      </c>
      <c r="C969" s="113"/>
      <c r="D969" s="8" t="s">
        <v>2615</v>
      </c>
      <c r="E969" s="189" t="s">
        <v>2676</v>
      </c>
      <c r="F969" s="107"/>
      <c r="G969" s="107" t="s">
        <v>1141</v>
      </c>
      <c r="H969" s="107">
        <v>4110</v>
      </c>
      <c r="I969" s="8" t="s">
        <v>260</v>
      </c>
      <c r="J969" s="8" t="s">
        <v>1690</v>
      </c>
      <c r="K969" s="57">
        <v>30</v>
      </c>
      <c r="L969" s="58">
        <v>30</v>
      </c>
    </row>
    <row r="970" spans="1:229" s="13" customFormat="1" ht="15">
      <c r="A970" s="105">
        <v>929</v>
      </c>
      <c r="B970" s="113" t="s">
        <v>1897</v>
      </c>
      <c r="C970" s="113"/>
      <c r="D970" s="8" t="s">
        <v>2616</v>
      </c>
      <c r="E970" s="189" t="s">
        <v>2676</v>
      </c>
      <c r="F970" s="107"/>
      <c r="G970" s="107" t="s">
        <v>1142</v>
      </c>
      <c r="H970" s="107">
        <v>4110</v>
      </c>
      <c r="I970" s="8" t="s">
        <v>260</v>
      </c>
      <c r="J970" s="8" t="s">
        <v>1690</v>
      </c>
      <c r="K970" s="57">
        <v>30</v>
      </c>
      <c r="L970" s="58">
        <v>30</v>
      </c>
    </row>
    <row r="971" spans="1:229" s="13" customFormat="1" ht="15">
      <c r="A971" s="105">
        <v>929</v>
      </c>
      <c r="B971" s="113" t="s">
        <v>1897</v>
      </c>
      <c r="C971" s="113"/>
      <c r="D971" s="8" t="s">
        <v>4561</v>
      </c>
      <c r="E971" s="189" t="s">
        <v>2676</v>
      </c>
      <c r="F971" s="107"/>
      <c r="G971" s="107" t="s">
        <v>4562</v>
      </c>
      <c r="H971" s="107">
        <v>4110</v>
      </c>
      <c r="I971" s="8" t="s">
        <v>260</v>
      </c>
      <c r="J971" s="8" t="s">
        <v>1690</v>
      </c>
      <c r="K971" s="57">
        <v>30</v>
      </c>
      <c r="L971" s="58">
        <v>30</v>
      </c>
    </row>
    <row r="972" spans="1:229" s="13" customFormat="1" ht="15">
      <c r="A972" s="105">
        <v>930</v>
      </c>
      <c r="B972" s="113" t="s">
        <v>1897</v>
      </c>
      <c r="C972" s="113"/>
      <c r="D972" s="8" t="s">
        <v>2617</v>
      </c>
      <c r="E972" s="189" t="s">
        <v>2676</v>
      </c>
      <c r="F972" s="107"/>
      <c r="G972" s="107" t="s">
        <v>1143</v>
      </c>
      <c r="H972" s="107">
        <v>4110</v>
      </c>
      <c r="I972" s="8" t="s">
        <v>260</v>
      </c>
      <c r="J972" s="8" t="s">
        <v>1690</v>
      </c>
      <c r="K972" s="57">
        <v>30</v>
      </c>
      <c r="L972" s="58">
        <v>30</v>
      </c>
    </row>
    <row r="973" spans="1:229" s="13" customFormat="1" ht="15">
      <c r="A973" s="105">
        <v>931</v>
      </c>
      <c r="B973" s="113" t="s">
        <v>1897</v>
      </c>
      <c r="C973" s="113"/>
      <c r="D973" s="8" t="s">
        <v>2589</v>
      </c>
      <c r="E973" s="189" t="s">
        <v>2676</v>
      </c>
      <c r="F973" s="107"/>
      <c r="G973" s="107" t="s">
        <v>1144</v>
      </c>
      <c r="H973" s="107">
        <v>4110</v>
      </c>
      <c r="I973" s="8" t="s">
        <v>260</v>
      </c>
      <c r="J973" s="8" t="s">
        <v>1690</v>
      </c>
      <c r="K973" s="57">
        <v>30</v>
      </c>
      <c r="L973" s="58">
        <v>30</v>
      </c>
    </row>
    <row r="974" spans="1:229" s="6" customFormat="1" ht="15">
      <c r="A974" s="105">
        <v>932</v>
      </c>
      <c r="B974" s="113" t="s">
        <v>1897</v>
      </c>
      <c r="C974" s="113"/>
      <c r="D974" s="8" t="s">
        <v>1189</v>
      </c>
      <c r="E974" s="189" t="s">
        <v>574</v>
      </c>
      <c r="F974" s="107"/>
      <c r="G974" s="107" t="s">
        <v>1185</v>
      </c>
      <c r="H974" s="107">
        <v>4110</v>
      </c>
      <c r="I974" s="8" t="s">
        <v>260</v>
      </c>
      <c r="J974" s="108" t="s">
        <v>1110</v>
      </c>
      <c r="K974" s="57">
        <v>30</v>
      </c>
      <c r="L974" s="58">
        <v>30</v>
      </c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  <c r="EJ974" s="13"/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/>
      <c r="FB974" s="13"/>
      <c r="FC974" s="13"/>
      <c r="FD974" s="13"/>
      <c r="FE974" s="13"/>
      <c r="FF974" s="13"/>
      <c r="FG974" s="13"/>
      <c r="FH974" s="13"/>
      <c r="FI974" s="13"/>
      <c r="FJ974" s="13"/>
      <c r="FK974" s="13"/>
      <c r="FL974" s="13"/>
      <c r="FM974" s="13"/>
      <c r="FN974" s="13"/>
      <c r="FO974" s="13"/>
      <c r="FP974" s="13"/>
      <c r="FQ974" s="13"/>
      <c r="FR974" s="13"/>
      <c r="FS974" s="13"/>
      <c r="FT974" s="13"/>
      <c r="FU974" s="13"/>
      <c r="FV974" s="13"/>
      <c r="FW974" s="13"/>
      <c r="FX974" s="13"/>
      <c r="FY974" s="13"/>
      <c r="FZ974" s="13"/>
      <c r="GA974" s="13"/>
      <c r="GB974" s="13"/>
      <c r="GC974" s="13"/>
      <c r="GD974" s="13"/>
      <c r="GE974" s="13"/>
      <c r="GF974" s="13"/>
      <c r="GG974" s="13"/>
      <c r="GH974" s="13"/>
      <c r="GI974" s="13"/>
      <c r="GJ974" s="13"/>
      <c r="GK974" s="13"/>
      <c r="GL974" s="13"/>
      <c r="GM974" s="13"/>
      <c r="GN974" s="13"/>
      <c r="GO974" s="13"/>
      <c r="GP974" s="13"/>
      <c r="GQ974" s="13"/>
      <c r="GR974" s="13"/>
      <c r="GS974" s="13"/>
      <c r="GT974" s="13"/>
      <c r="GU974" s="13"/>
      <c r="GV974" s="13"/>
      <c r="GW974" s="13"/>
      <c r="GX974" s="13"/>
      <c r="GY974" s="13"/>
      <c r="GZ974" s="13"/>
      <c r="HA974" s="13"/>
      <c r="HB974" s="13"/>
      <c r="HC974" s="13"/>
      <c r="HD974" s="13"/>
      <c r="HE974" s="13"/>
      <c r="HF974" s="13"/>
      <c r="HG974" s="13"/>
      <c r="HH974" s="13"/>
      <c r="HI974" s="13"/>
      <c r="HJ974" s="13"/>
      <c r="HK974" s="13"/>
      <c r="HL974" s="13"/>
      <c r="HM974" s="13"/>
      <c r="HN974" s="13"/>
      <c r="HO974" s="13"/>
      <c r="HP974" s="13"/>
      <c r="HQ974" s="13"/>
      <c r="HR974" s="13"/>
      <c r="HS974" s="13"/>
      <c r="HT974" s="13"/>
      <c r="HU974" s="13"/>
    </row>
    <row r="975" spans="1:229" s="6" customFormat="1" ht="15">
      <c r="A975" s="105">
        <v>933</v>
      </c>
      <c r="B975" s="113" t="s">
        <v>1897</v>
      </c>
      <c r="C975" s="113"/>
      <c r="D975" s="111" t="str">
        <f>"4103971011"</f>
        <v>4103971011</v>
      </c>
      <c r="E975" s="189" t="s">
        <v>374</v>
      </c>
      <c r="F975" s="107"/>
      <c r="G975" s="107" t="s">
        <v>1186</v>
      </c>
      <c r="H975" s="107">
        <v>4110</v>
      </c>
      <c r="I975" s="8" t="s">
        <v>260</v>
      </c>
      <c r="J975" s="8" t="s">
        <v>1690</v>
      </c>
      <c r="K975" s="57">
        <v>30</v>
      </c>
      <c r="L975" s="58">
        <v>30</v>
      </c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  <c r="EJ975" s="13"/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3"/>
      <c r="FD975" s="13"/>
      <c r="FE975" s="13"/>
      <c r="FF975" s="13"/>
      <c r="FG975" s="13"/>
      <c r="FH975" s="13"/>
      <c r="FI975" s="13"/>
      <c r="FJ975" s="13"/>
      <c r="FK975" s="13"/>
      <c r="FL975" s="13"/>
      <c r="FM975" s="13"/>
      <c r="FN975" s="13"/>
      <c r="FO975" s="13"/>
      <c r="FP975" s="13"/>
      <c r="FQ975" s="13"/>
      <c r="FR975" s="13"/>
      <c r="FS975" s="13"/>
      <c r="FT975" s="13"/>
      <c r="FU975" s="13"/>
      <c r="FV975" s="13"/>
      <c r="FW975" s="13"/>
      <c r="FX975" s="13"/>
      <c r="FY975" s="13"/>
      <c r="FZ975" s="13"/>
      <c r="GA975" s="13"/>
      <c r="GB975" s="13"/>
      <c r="GC975" s="13"/>
      <c r="GD975" s="13"/>
      <c r="GE975" s="13"/>
      <c r="GF975" s="13"/>
      <c r="GG975" s="13"/>
      <c r="GH975" s="13"/>
      <c r="GI975" s="13"/>
      <c r="GJ975" s="13"/>
      <c r="GK975" s="13"/>
      <c r="GL975" s="13"/>
      <c r="GM975" s="13"/>
      <c r="GN975" s="13"/>
      <c r="GO975" s="13"/>
      <c r="GP975" s="13"/>
      <c r="GQ975" s="13"/>
      <c r="GR975" s="13"/>
      <c r="GS975" s="13"/>
      <c r="GT975" s="13"/>
      <c r="GU975" s="13"/>
      <c r="GV975" s="13"/>
      <c r="GW975" s="13"/>
      <c r="GX975" s="13"/>
      <c r="GY975" s="13"/>
      <c r="GZ975" s="13"/>
      <c r="HA975" s="13"/>
      <c r="HB975" s="13"/>
      <c r="HC975" s="13"/>
      <c r="HD975" s="13"/>
      <c r="HE975" s="13"/>
      <c r="HF975" s="13"/>
      <c r="HG975" s="13"/>
      <c r="HH975" s="13"/>
      <c r="HI975" s="13"/>
      <c r="HJ975" s="13"/>
      <c r="HK975" s="13"/>
      <c r="HL975" s="13"/>
      <c r="HM975" s="13"/>
      <c r="HN975" s="13"/>
      <c r="HO975" s="13"/>
      <c r="HP975" s="13"/>
      <c r="HQ975" s="13"/>
      <c r="HR975" s="13"/>
      <c r="HS975" s="13"/>
      <c r="HT975" s="13"/>
      <c r="HU975" s="13"/>
    </row>
    <row r="976" spans="1:229" s="6" customFormat="1" ht="15">
      <c r="A976" s="105">
        <v>934</v>
      </c>
      <c r="B976" s="113" t="s">
        <v>1897</v>
      </c>
      <c r="C976" s="113"/>
      <c r="D976" s="8" t="s">
        <v>1190</v>
      </c>
      <c r="E976" s="189" t="s">
        <v>1188</v>
      </c>
      <c r="F976" s="107"/>
      <c r="G976" s="107" t="s">
        <v>1187</v>
      </c>
      <c r="H976" s="107">
        <v>4110</v>
      </c>
      <c r="I976" s="8" t="s">
        <v>260</v>
      </c>
      <c r="J976" s="8" t="s">
        <v>237</v>
      </c>
      <c r="K976" s="57">
        <v>30</v>
      </c>
      <c r="L976" s="58">
        <v>30</v>
      </c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  <c r="EJ976" s="13"/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/>
      <c r="FB976" s="13"/>
      <c r="FC976" s="13"/>
      <c r="FD976" s="13"/>
      <c r="FE976" s="13"/>
      <c r="FF976" s="13"/>
      <c r="FG976" s="13"/>
      <c r="FH976" s="13"/>
      <c r="FI976" s="13"/>
      <c r="FJ976" s="13"/>
      <c r="FK976" s="13"/>
      <c r="FL976" s="13"/>
      <c r="FM976" s="13"/>
      <c r="FN976" s="13"/>
      <c r="FO976" s="13"/>
      <c r="FP976" s="13"/>
      <c r="FQ976" s="13"/>
      <c r="FR976" s="13"/>
      <c r="FS976" s="13"/>
      <c r="FT976" s="13"/>
      <c r="FU976" s="13"/>
      <c r="FV976" s="13"/>
      <c r="FW976" s="13"/>
      <c r="FX976" s="13"/>
      <c r="FY976" s="13"/>
      <c r="FZ976" s="13"/>
      <c r="GA976" s="13"/>
      <c r="GB976" s="13"/>
      <c r="GC976" s="13"/>
      <c r="GD976" s="13"/>
      <c r="GE976" s="13"/>
      <c r="GF976" s="13"/>
      <c r="GG976" s="13"/>
      <c r="GH976" s="13"/>
      <c r="GI976" s="13"/>
      <c r="GJ976" s="13"/>
      <c r="GK976" s="13"/>
      <c r="GL976" s="13"/>
      <c r="GM976" s="13"/>
      <c r="GN976" s="13"/>
      <c r="GO976" s="13"/>
      <c r="GP976" s="13"/>
      <c r="GQ976" s="13"/>
      <c r="GR976" s="13"/>
      <c r="GS976" s="13"/>
      <c r="GT976" s="13"/>
      <c r="GU976" s="13"/>
      <c r="GV976" s="13"/>
      <c r="GW976" s="13"/>
      <c r="GX976" s="13"/>
      <c r="GY976" s="13"/>
      <c r="GZ976" s="13"/>
      <c r="HA976" s="13"/>
      <c r="HB976" s="13"/>
      <c r="HC976" s="13"/>
      <c r="HD976" s="13"/>
      <c r="HE976" s="13"/>
      <c r="HF976" s="13"/>
      <c r="HG976" s="13"/>
      <c r="HH976" s="13"/>
      <c r="HI976" s="13"/>
      <c r="HJ976" s="13"/>
      <c r="HK976" s="13"/>
      <c r="HL976" s="13"/>
      <c r="HM976" s="13"/>
      <c r="HN976" s="13"/>
      <c r="HO976" s="13"/>
      <c r="HP976" s="13"/>
      <c r="HQ976" s="13"/>
      <c r="HR976" s="13"/>
      <c r="HS976" s="13"/>
      <c r="HT976" s="13"/>
      <c r="HU976" s="13"/>
    </row>
    <row r="977" spans="1:12" s="9" customFormat="1" ht="15">
      <c r="A977" s="105">
        <v>935</v>
      </c>
      <c r="B977" s="113" t="s">
        <v>1897</v>
      </c>
      <c r="C977" s="113"/>
      <c r="D977" s="8" t="s">
        <v>1235</v>
      </c>
      <c r="E977" s="189" t="s">
        <v>1234</v>
      </c>
      <c r="F977" s="113"/>
      <c r="G977" s="113" t="s">
        <v>1233</v>
      </c>
      <c r="H977" s="107">
        <v>4300</v>
      </c>
      <c r="I977" s="8" t="s">
        <v>4603</v>
      </c>
      <c r="J977" s="108" t="s">
        <v>1110</v>
      </c>
      <c r="K977" s="57">
        <v>30</v>
      </c>
      <c r="L977" s="58">
        <v>30</v>
      </c>
    </row>
    <row r="978" spans="1:12" s="9" customFormat="1" ht="15">
      <c r="A978" s="105">
        <v>936</v>
      </c>
      <c r="B978" s="106" t="s">
        <v>1897</v>
      </c>
      <c r="C978" s="106"/>
      <c r="D978" s="8" t="s">
        <v>2618</v>
      </c>
      <c r="E978" s="189" t="s">
        <v>2658</v>
      </c>
      <c r="F978" s="106"/>
      <c r="G978" s="106" t="s">
        <v>243</v>
      </c>
      <c r="H978" s="107">
        <v>4200</v>
      </c>
      <c r="I978" s="8" t="s">
        <v>310</v>
      </c>
      <c r="J978" s="108" t="s">
        <v>1110</v>
      </c>
      <c r="K978" s="57">
        <v>30</v>
      </c>
      <c r="L978" s="58">
        <v>30</v>
      </c>
    </row>
    <row r="979" spans="1:12" s="9" customFormat="1" ht="15">
      <c r="A979" s="105">
        <v>937</v>
      </c>
      <c r="B979" s="106" t="s">
        <v>1897</v>
      </c>
      <c r="C979" s="106"/>
      <c r="D979" s="8" t="s">
        <v>1120</v>
      </c>
      <c r="E979" s="189" t="s">
        <v>2658</v>
      </c>
      <c r="F979" s="106"/>
      <c r="G979" s="106" t="s">
        <v>244</v>
      </c>
      <c r="H979" s="107">
        <v>4200</v>
      </c>
      <c r="I979" s="8" t="s">
        <v>310</v>
      </c>
      <c r="J979" s="108" t="s">
        <v>1110</v>
      </c>
      <c r="K979" s="57">
        <v>30</v>
      </c>
      <c r="L979" s="58">
        <v>30</v>
      </c>
    </row>
    <row r="980" spans="1:12" s="9" customFormat="1" ht="15">
      <c r="A980" s="105">
        <v>938</v>
      </c>
      <c r="B980" s="106" t="s">
        <v>1897</v>
      </c>
      <c r="C980" s="106"/>
      <c r="D980" s="8" t="s">
        <v>1121</v>
      </c>
      <c r="E980" s="189" t="s">
        <v>2658</v>
      </c>
      <c r="F980" s="106"/>
      <c r="G980" s="106" t="s">
        <v>245</v>
      </c>
      <c r="H980" s="107">
        <v>4200</v>
      </c>
      <c r="I980" s="8" t="s">
        <v>310</v>
      </c>
      <c r="J980" s="108" t="s">
        <v>1110</v>
      </c>
      <c r="K980" s="57">
        <v>30</v>
      </c>
      <c r="L980" s="58">
        <v>30</v>
      </c>
    </row>
    <row r="981" spans="1:12" s="9" customFormat="1" ht="15">
      <c r="A981" s="105">
        <v>939</v>
      </c>
      <c r="B981" s="113" t="s">
        <v>1897</v>
      </c>
      <c r="C981" s="113"/>
      <c r="D981" s="8" t="s">
        <v>2404</v>
      </c>
      <c r="E981" s="189" t="s">
        <v>2658</v>
      </c>
      <c r="F981" s="113"/>
      <c r="G981" s="113" t="s">
        <v>2403</v>
      </c>
      <c r="H981" s="107">
        <v>4200</v>
      </c>
      <c r="I981" s="8" t="s">
        <v>310</v>
      </c>
      <c r="J981" s="108" t="s">
        <v>1110</v>
      </c>
      <c r="K981" s="57">
        <v>30</v>
      </c>
      <c r="L981" s="58">
        <v>30</v>
      </c>
    </row>
    <row r="982" spans="1:12" s="9" customFormat="1" ht="15">
      <c r="A982" s="105">
        <v>940</v>
      </c>
      <c r="B982" s="113" t="s">
        <v>1897</v>
      </c>
      <c r="C982" s="113"/>
      <c r="D982" s="8" t="s">
        <v>1307</v>
      </c>
      <c r="E982" s="189" t="s">
        <v>2658</v>
      </c>
      <c r="F982" s="113"/>
      <c r="G982" s="113" t="s">
        <v>1306</v>
      </c>
      <c r="H982" s="107">
        <v>4200</v>
      </c>
      <c r="I982" s="8" t="s">
        <v>310</v>
      </c>
      <c r="J982" s="108" t="s">
        <v>1110</v>
      </c>
      <c r="K982" s="57">
        <v>30</v>
      </c>
      <c r="L982" s="58">
        <v>30</v>
      </c>
    </row>
    <row r="983" spans="1:12" s="13" customFormat="1" ht="15">
      <c r="A983" s="105">
        <v>941</v>
      </c>
      <c r="B983" s="112"/>
      <c r="C983" s="112"/>
      <c r="D983" s="8" t="s">
        <v>2433</v>
      </c>
      <c r="E983" s="189" t="s">
        <v>2434</v>
      </c>
      <c r="F983" s="112"/>
      <c r="G983" s="107" t="s">
        <v>2433</v>
      </c>
      <c r="H983" s="107">
        <v>6550</v>
      </c>
      <c r="I983" s="8" t="s">
        <v>362</v>
      </c>
      <c r="J983" s="108" t="s">
        <v>1110</v>
      </c>
      <c r="K983" s="57">
        <v>30</v>
      </c>
      <c r="L983" s="58">
        <v>30</v>
      </c>
    </row>
    <row r="984" spans="1:12" s="9" customFormat="1" ht="15">
      <c r="A984" s="105">
        <v>942</v>
      </c>
      <c r="B984" s="113" t="s">
        <v>1897</v>
      </c>
      <c r="C984" s="113"/>
      <c r="D984" s="8" t="s">
        <v>1495</v>
      </c>
      <c r="E984" s="189" t="s">
        <v>1494</v>
      </c>
      <c r="F984" s="113"/>
      <c r="G984" s="113" t="s">
        <v>1493</v>
      </c>
      <c r="H984" s="107">
        <v>5110</v>
      </c>
      <c r="I984" s="8" t="s">
        <v>267</v>
      </c>
      <c r="J984" s="108" t="s">
        <v>93</v>
      </c>
      <c r="K984" s="57">
        <v>30</v>
      </c>
      <c r="L984" s="58">
        <v>30</v>
      </c>
    </row>
    <row r="985" spans="1:12" s="60" customFormat="1" ht="15">
      <c r="A985" s="105">
        <v>943</v>
      </c>
      <c r="B985" s="115" t="s">
        <v>1897</v>
      </c>
      <c r="C985" s="115"/>
      <c r="D985" s="8" t="s">
        <v>1489</v>
      </c>
      <c r="E985" s="189" t="s">
        <v>1490</v>
      </c>
      <c r="F985" s="112"/>
      <c r="G985" s="116" t="s">
        <v>1489</v>
      </c>
      <c r="H985" s="107">
        <v>5110</v>
      </c>
      <c r="I985" s="8" t="s">
        <v>1491</v>
      </c>
      <c r="J985" s="41" t="s">
        <v>1492</v>
      </c>
      <c r="K985" s="57">
        <v>30</v>
      </c>
      <c r="L985" s="58">
        <v>30</v>
      </c>
    </row>
    <row r="986" spans="1:12" s="6" customFormat="1" ht="15">
      <c r="A986" s="105">
        <v>944</v>
      </c>
      <c r="B986" s="112" t="s">
        <v>280</v>
      </c>
      <c r="C986" s="112"/>
      <c r="D986" s="8">
        <v>4211004050</v>
      </c>
      <c r="E986" s="189" t="s">
        <v>2658</v>
      </c>
      <c r="F986" s="112"/>
      <c r="G986" s="107" t="s">
        <v>281</v>
      </c>
      <c r="H986" s="107">
        <v>4200</v>
      </c>
      <c r="I986" s="8" t="s">
        <v>310</v>
      </c>
      <c r="J986" s="41" t="s">
        <v>1110</v>
      </c>
      <c r="K986" s="57">
        <v>30</v>
      </c>
      <c r="L986" s="58">
        <v>30</v>
      </c>
    </row>
    <row r="987" spans="1:12" s="6" customFormat="1" ht="15">
      <c r="A987" s="105">
        <v>945</v>
      </c>
      <c r="B987" s="112" t="s">
        <v>280</v>
      </c>
      <c r="C987" s="112"/>
      <c r="D987" s="8">
        <v>4211004060</v>
      </c>
      <c r="E987" s="189" t="s">
        <v>2658</v>
      </c>
      <c r="F987" s="112"/>
      <c r="G987" s="107" t="s">
        <v>282</v>
      </c>
      <c r="H987" s="107">
        <v>4200</v>
      </c>
      <c r="I987" s="8" t="s">
        <v>310</v>
      </c>
      <c r="J987" s="41" t="s">
        <v>1110</v>
      </c>
      <c r="K987" s="57">
        <v>30</v>
      </c>
      <c r="L987" s="58">
        <v>30</v>
      </c>
    </row>
    <row r="988" spans="1:12" s="6" customFormat="1" ht="15">
      <c r="A988" s="105">
        <v>946</v>
      </c>
      <c r="B988" s="112" t="s">
        <v>280</v>
      </c>
      <c r="C988" s="112"/>
      <c r="D988" s="8">
        <v>4211004070</v>
      </c>
      <c r="E988" s="189" t="s">
        <v>2658</v>
      </c>
      <c r="F988" s="112"/>
      <c r="G988" s="107" t="s">
        <v>283</v>
      </c>
      <c r="H988" s="107">
        <v>4200</v>
      </c>
      <c r="I988" s="8" t="s">
        <v>310</v>
      </c>
      <c r="J988" s="41" t="s">
        <v>1110</v>
      </c>
      <c r="K988" s="57">
        <v>30</v>
      </c>
      <c r="L988" s="58">
        <v>30</v>
      </c>
    </row>
    <row r="989" spans="1:12" s="6" customFormat="1" ht="15">
      <c r="A989" s="105">
        <v>947</v>
      </c>
      <c r="B989" s="112" t="s">
        <v>280</v>
      </c>
      <c r="C989" s="112"/>
      <c r="D989" s="8">
        <v>4211004120</v>
      </c>
      <c r="E989" s="189" t="s">
        <v>2658</v>
      </c>
      <c r="F989" s="112"/>
      <c r="G989" s="107" t="s">
        <v>284</v>
      </c>
      <c r="H989" s="107">
        <v>4200</v>
      </c>
      <c r="I989" s="8" t="s">
        <v>310</v>
      </c>
      <c r="J989" s="41" t="s">
        <v>1110</v>
      </c>
      <c r="K989" s="57">
        <v>30</v>
      </c>
      <c r="L989" s="58">
        <v>30</v>
      </c>
    </row>
    <row r="990" spans="1:12" s="6" customFormat="1" ht="15">
      <c r="A990" s="105">
        <v>948</v>
      </c>
      <c r="B990" s="112" t="s">
        <v>280</v>
      </c>
      <c r="C990" s="112"/>
      <c r="D990" s="8">
        <v>4211035640</v>
      </c>
      <c r="E990" s="189" t="s">
        <v>2658</v>
      </c>
      <c r="F990" s="112"/>
      <c r="G990" s="107" t="s">
        <v>285</v>
      </c>
      <c r="H990" s="107">
        <v>4200</v>
      </c>
      <c r="I990" s="8" t="s">
        <v>310</v>
      </c>
      <c r="J990" s="41" t="s">
        <v>1110</v>
      </c>
      <c r="K990" s="57">
        <v>30</v>
      </c>
      <c r="L990" s="58">
        <v>30</v>
      </c>
    </row>
    <row r="991" spans="1:12" s="6" customFormat="1" ht="15">
      <c r="A991" s="105">
        <v>949</v>
      </c>
      <c r="B991" s="112" t="s">
        <v>280</v>
      </c>
      <c r="C991" s="112"/>
      <c r="D991" s="8">
        <v>5210104120</v>
      </c>
      <c r="E991" s="189" t="s">
        <v>2498</v>
      </c>
      <c r="F991" s="112"/>
      <c r="G991" s="107" t="s">
        <v>2499</v>
      </c>
      <c r="H991" s="107">
        <v>5210</v>
      </c>
      <c r="I991" s="8" t="s">
        <v>255</v>
      </c>
      <c r="J991" s="108" t="s">
        <v>1864</v>
      </c>
      <c r="K991" s="57">
        <v>30</v>
      </c>
      <c r="L991" s="58">
        <v>30</v>
      </c>
    </row>
    <row r="992" spans="1:12" s="6" customFormat="1" ht="15">
      <c r="A992" s="105">
        <v>950</v>
      </c>
      <c r="B992" s="112" t="s">
        <v>280</v>
      </c>
      <c r="C992" s="112"/>
      <c r="D992" s="8">
        <v>5210104130</v>
      </c>
      <c r="E992" s="189" t="s">
        <v>0</v>
      </c>
      <c r="F992" s="112"/>
      <c r="G992" s="107" t="s">
        <v>1</v>
      </c>
      <c r="H992" s="107">
        <v>5210</v>
      </c>
      <c r="I992" s="8" t="s">
        <v>255</v>
      </c>
      <c r="J992" s="108" t="s">
        <v>1864</v>
      </c>
      <c r="K992" s="57">
        <v>30</v>
      </c>
      <c r="L992" s="58">
        <v>30</v>
      </c>
    </row>
    <row r="993" spans="1:12" s="6" customFormat="1" ht="15">
      <c r="A993" s="105">
        <v>951</v>
      </c>
      <c r="B993" s="112" t="s">
        <v>280</v>
      </c>
      <c r="C993" s="112"/>
      <c r="D993" s="8">
        <v>5210104140</v>
      </c>
      <c r="E993" s="189" t="s">
        <v>2</v>
      </c>
      <c r="F993" s="112"/>
      <c r="G993" s="107" t="s">
        <v>3</v>
      </c>
      <c r="H993" s="107">
        <v>5210</v>
      </c>
      <c r="I993" s="8" t="s">
        <v>255</v>
      </c>
      <c r="J993" s="108" t="s">
        <v>1864</v>
      </c>
      <c r="K993" s="57">
        <v>30</v>
      </c>
      <c r="L993" s="58">
        <v>30</v>
      </c>
    </row>
    <row r="994" spans="1:12" s="6" customFormat="1" ht="15">
      <c r="A994" s="105">
        <v>952</v>
      </c>
      <c r="B994" s="112" t="s">
        <v>280</v>
      </c>
      <c r="C994" s="112"/>
      <c r="D994" s="8">
        <v>5210104150</v>
      </c>
      <c r="E994" s="189" t="s">
        <v>4</v>
      </c>
      <c r="F994" s="112"/>
      <c r="G994" s="107" t="s">
        <v>5</v>
      </c>
      <c r="H994" s="107">
        <v>5210</v>
      </c>
      <c r="I994" s="8" t="s">
        <v>255</v>
      </c>
      <c r="J994" s="108" t="s">
        <v>1864</v>
      </c>
      <c r="K994" s="57">
        <v>30</v>
      </c>
      <c r="L994" s="58">
        <v>30</v>
      </c>
    </row>
    <row r="995" spans="1:12" s="6" customFormat="1" ht="15">
      <c r="A995" s="105">
        <v>953</v>
      </c>
      <c r="B995" s="112" t="s">
        <v>280</v>
      </c>
      <c r="C995" s="112"/>
      <c r="D995" s="8">
        <v>5210135360</v>
      </c>
      <c r="E995" s="189" t="s">
        <v>1465</v>
      </c>
      <c r="F995" s="112"/>
      <c r="G995" s="107" t="s">
        <v>286</v>
      </c>
      <c r="H995" s="107">
        <v>5210</v>
      </c>
      <c r="I995" s="8" t="s">
        <v>255</v>
      </c>
      <c r="J995" s="108" t="s">
        <v>1864</v>
      </c>
      <c r="K995" s="57">
        <v>30</v>
      </c>
      <c r="L995" s="58">
        <v>30</v>
      </c>
    </row>
    <row r="996" spans="1:12" s="6" customFormat="1" ht="15">
      <c r="A996" s="105">
        <v>954</v>
      </c>
      <c r="B996" s="112" t="s">
        <v>280</v>
      </c>
      <c r="C996" s="112"/>
      <c r="D996" s="8">
        <v>5210135400</v>
      </c>
      <c r="E996" s="189" t="s">
        <v>1466</v>
      </c>
      <c r="F996" s="112"/>
      <c r="G996" s="107" t="s">
        <v>287</v>
      </c>
      <c r="H996" s="107">
        <v>5210</v>
      </c>
      <c r="I996" s="8" t="s">
        <v>255</v>
      </c>
      <c r="J996" s="108" t="s">
        <v>1864</v>
      </c>
      <c r="K996" s="57">
        <v>30</v>
      </c>
      <c r="L996" s="58">
        <v>30</v>
      </c>
    </row>
    <row r="997" spans="1:12" s="6" customFormat="1" ht="15">
      <c r="A997" s="105">
        <v>955</v>
      </c>
      <c r="B997" s="112" t="s">
        <v>280</v>
      </c>
      <c r="C997" s="112"/>
      <c r="D997" s="8" t="s">
        <v>1487</v>
      </c>
      <c r="E997" s="189" t="s">
        <v>6</v>
      </c>
      <c r="F997" s="112"/>
      <c r="G997" s="107" t="s">
        <v>288</v>
      </c>
      <c r="H997" s="107">
        <v>5210</v>
      </c>
      <c r="I997" s="8" t="s">
        <v>255</v>
      </c>
      <c r="J997" s="108" t="s">
        <v>1864</v>
      </c>
      <c r="K997" s="57">
        <v>30</v>
      </c>
      <c r="L997" s="58">
        <v>30</v>
      </c>
    </row>
    <row r="998" spans="1:12" s="6" customFormat="1" ht="15">
      <c r="A998" s="105">
        <v>956</v>
      </c>
      <c r="B998" s="112" t="s">
        <v>280</v>
      </c>
      <c r="C998" s="112"/>
      <c r="D998" s="8">
        <v>5210504050</v>
      </c>
      <c r="E998" s="189" t="s">
        <v>1467</v>
      </c>
      <c r="F998" s="112"/>
      <c r="G998" s="107" t="s">
        <v>289</v>
      </c>
      <c r="H998" s="107">
        <v>5210</v>
      </c>
      <c r="I998" s="8" t="s">
        <v>255</v>
      </c>
      <c r="J998" s="108" t="s">
        <v>1864</v>
      </c>
      <c r="K998" s="57">
        <v>30</v>
      </c>
      <c r="L998" s="58">
        <v>30</v>
      </c>
    </row>
    <row r="999" spans="1:12" s="6" customFormat="1" ht="15">
      <c r="A999" s="105">
        <v>957</v>
      </c>
      <c r="B999" s="112" t="s">
        <v>280</v>
      </c>
      <c r="C999" s="112"/>
      <c r="D999" s="8" t="s">
        <v>7</v>
      </c>
      <c r="E999" s="189" t="s">
        <v>1468</v>
      </c>
      <c r="F999" s="112"/>
      <c r="G999" s="107" t="s">
        <v>1851</v>
      </c>
      <c r="H999" s="107">
        <v>6250</v>
      </c>
      <c r="I999" s="8" t="s">
        <v>1756</v>
      </c>
      <c r="J999" s="108" t="s">
        <v>1864</v>
      </c>
      <c r="K999" s="57">
        <v>30</v>
      </c>
      <c r="L999" s="58">
        <v>30</v>
      </c>
    </row>
    <row r="1000" spans="1:12" s="6" customFormat="1" ht="15">
      <c r="A1000" s="105">
        <v>958</v>
      </c>
      <c r="B1000" s="112" t="s">
        <v>280</v>
      </c>
      <c r="C1000" s="112"/>
      <c r="D1000" s="8" t="s">
        <v>8</v>
      </c>
      <c r="E1000" s="189" t="s">
        <v>1469</v>
      </c>
      <c r="F1000" s="112"/>
      <c r="G1000" s="107" t="s">
        <v>9</v>
      </c>
      <c r="H1000" s="107">
        <v>6250</v>
      </c>
      <c r="I1000" s="8" t="s">
        <v>1756</v>
      </c>
      <c r="J1000" s="108" t="s">
        <v>1864</v>
      </c>
      <c r="K1000" s="57">
        <v>30</v>
      </c>
      <c r="L1000" s="58">
        <v>30</v>
      </c>
    </row>
    <row r="1001" spans="1:12" s="6" customFormat="1" ht="15">
      <c r="A1001" s="105">
        <v>959</v>
      </c>
      <c r="B1001" s="112" t="s">
        <v>280</v>
      </c>
      <c r="C1001" s="112"/>
      <c r="D1001" s="8" t="s">
        <v>209</v>
      </c>
      <c r="E1001" s="189" t="s">
        <v>1468</v>
      </c>
      <c r="F1001" s="112"/>
      <c r="G1001" s="107" t="s">
        <v>1452</v>
      </c>
      <c r="H1001" s="107">
        <v>6250</v>
      </c>
      <c r="I1001" s="8" t="s">
        <v>1756</v>
      </c>
      <c r="J1001" s="108" t="s">
        <v>1864</v>
      </c>
      <c r="K1001" s="57">
        <v>30</v>
      </c>
      <c r="L1001" s="58">
        <v>30</v>
      </c>
    </row>
    <row r="1002" spans="1:12" s="6" customFormat="1" ht="15">
      <c r="A1002" s="105">
        <v>960</v>
      </c>
      <c r="B1002" s="112" t="s">
        <v>280</v>
      </c>
      <c r="C1002" s="112"/>
      <c r="D1002" s="8" t="s">
        <v>10</v>
      </c>
      <c r="E1002" s="189" t="s">
        <v>1470</v>
      </c>
      <c r="F1002" s="112"/>
      <c r="G1002" s="107" t="s">
        <v>11</v>
      </c>
      <c r="H1002" s="107">
        <v>6250</v>
      </c>
      <c r="I1002" s="8" t="s">
        <v>1756</v>
      </c>
      <c r="J1002" s="108" t="s">
        <v>1864</v>
      </c>
      <c r="K1002" s="57">
        <v>30</v>
      </c>
      <c r="L1002" s="58">
        <v>30</v>
      </c>
    </row>
    <row r="1003" spans="1:12" s="6" customFormat="1" ht="15">
      <c r="A1003" s="105">
        <v>961</v>
      </c>
      <c r="B1003" s="112" t="s">
        <v>280</v>
      </c>
      <c r="C1003" s="112"/>
      <c r="D1003" s="8" t="s">
        <v>12</v>
      </c>
      <c r="E1003" s="189" t="s">
        <v>1471</v>
      </c>
      <c r="F1003" s="112"/>
      <c r="G1003" s="107" t="s">
        <v>13</v>
      </c>
      <c r="H1003" s="107">
        <v>6250</v>
      </c>
      <c r="I1003" s="8" t="s">
        <v>1756</v>
      </c>
      <c r="J1003" s="108" t="s">
        <v>1864</v>
      </c>
      <c r="K1003" s="57">
        <v>30</v>
      </c>
      <c r="L1003" s="58">
        <v>30</v>
      </c>
    </row>
    <row r="1004" spans="1:12" s="6" customFormat="1" ht="15">
      <c r="A1004" s="105">
        <v>962</v>
      </c>
      <c r="B1004" s="112" t="s">
        <v>280</v>
      </c>
      <c r="C1004" s="112"/>
      <c r="D1004" s="8" t="s">
        <v>210</v>
      </c>
      <c r="E1004" s="189" t="s">
        <v>1473</v>
      </c>
      <c r="F1004" s="112"/>
      <c r="G1004" s="107" t="s">
        <v>1453</v>
      </c>
      <c r="H1004" s="107">
        <v>6250</v>
      </c>
      <c r="I1004" s="8" t="s">
        <v>1756</v>
      </c>
      <c r="J1004" s="108" t="s">
        <v>1864</v>
      </c>
      <c r="K1004" s="57">
        <v>30</v>
      </c>
      <c r="L1004" s="58">
        <v>30</v>
      </c>
    </row>
    <row r="1005" spans="1:12" s="6" customFormat="1" ht="15">
      <c r="A1005" s="105">
        <v>963</v>
      </c>
      <c r="B1005" s="112" t="s">
        <v>280</v>
      </c>
      <c r="C1005" s="112"/>
      <c r="D1005" s="8" t="s">
        <v>14</v>
      </c>
      <c r="E1005" s="189" t="s">
        <v>1472</v>
      </c>
      <c r="F1005" s="112"/>
      <c r="G1005" s="107" t="s">
        <v>15</v>
      </c>
      <c r="H1005" s="107">
        <v>6250</v>
      </c>
      <c r="I1005" s="8" t="s">
        <v>1756</v>
      </c>
      <c r="J1005" s="108" t="s">
        <v>1864</v>
      </c>
      <c r="K1005" s="57">
        <v>30</v>
      </c>
      <c r="L1005" s="58">
        <v>30</v>
      </c>
    </row>
    <row r="1006" spans="1:12" s="6" customFormat="1" ht="15">
      <c r="A1006" s="105">
        <v>964</v>
      </c>
      <c r="B1006" s="112" t="s">
        <v>280</v>
      </c>
      <c r="C1006" s="112"/>
      <c r="D1006" s="8" t="s">
        <v>211</v>
      </c>
      <c r="E1006" s="189" t="s">
        <v>1473</v>
      </c>
      <c r="F1006" s="112"/>
      <c r="G1006" s="107" t="s">
        <v>1852</v>
      </c>
      <c r="H1006" s="107">
        <v>6250</v>
      </c>
      <c r="I1006" s="8" t="s">
        <v>1756</v>
      </c>
      <c r="J1006" s="108" t="s">
        <v>1864</v>
      </c>
      <c r="K1006" s="57">
        <v>30</v>
      </c>
      <c r="L1006" s="58">
        <v>30</v>
      </c>
    </row>
    <row r="1007" spans="1:12" s="6" customFormat="1" ht="15">
      <c r="A1007" s="105">
        <v>965</v>
      </c>
      <c r="B1007" s="112" t="s">
        <v>280</v>
      </c>
      <c r="C1007" s="112"/>
      <c r="D1007" s="8" t="s">
        <v>16</v>
      </c>
      <c r="E1007" s="189" t="s">
        <v>1473</v>
      </c>
      <c r="F1007" s="112"/>
      <c r="G1007" s="107" t="s">
        <v>1849</v>
      </c>
      <c r="H1007" s="107">
        <v>6250</v>
      </c>
      <c r="I1007" s="8" t="s">
        <v>1756</v>
      </c>
      <c r="J1007" s="108" t="s">
        <v>1864</v>
      </c>
      <c r="K1007" s="57">
        <v>30</v>
      </c>
      <c r="L1007" s="58">
        <v>30</v>
      </c>
    </row>
    <row r="1008" spans="1:12" s="6" customFormat="1" ht="15">
      <c r="A1008" s="105">
        <v>966</v>
      </c>
      <c r="B1008" s="112" t="s">
        <v>280</v>
      </c>
      <c r="C1008" s="112"/>
      <c r="D1008" s="8" t="s">
        <v>17</v>
      </c>
      <c r="E1008" s="189" t="s">
        <v>1473</v>
      </c>
      <c r="F1008" s="112"/>
      <c r="G1008" s="107" t="s">
        <v>1850</v>
      </c>
      <c r="H1008" s="107">
        <v>6250</v>
      </c>
      <c r="I1008" s="8" t="s">
        <v>1756</v>
      </c>
      <c r="J1008" s="108" t="s">
        <v>1864</v>
      </c>
      <c r="K1008" s="57">
        <v>30</v>
      </c>
      <c r="L1008" s="58">
        <v>30</v>
      </c>
    </row>
    <row r="1009" spans="1:12" s="6" customFormat="1" ht="15">
      <c r="A1009" s="105">
        <v>967</v>
      </c>
      <c r="B1009" s="112" t="s">
        <v>280</v>
      </c>
      <c r="C1009" s="112"/>
      <c r="D1009" s="8" t="s">
        <v>212</v>
      </c>
      <c r="E1009" s="189" t="s">
        <v>1474</v>
      </c>
      <c r="F1009" s="112"/>
      <c r="G1009" s="107" t="s">
        <v>1454</v>
      </c>
      <c r="H1009" s="107">
        <v>6250</v>
      </c>
      <c r="I1009" s="8" t="s">
        <v>1756</v>
      </c>
      <c r="J1009" s="108" t="s">
        <v>1864</v>
      </c>
      <c r="K1009" s="57">
        <v>30</v>
      </c>
      <c r="L1009" s="58">
        <v>30</v>
      </c>
    </row>
    <row r="1010" spans="1:12" s="6" customFormat="1" ht="15">
      <c r="A1010" s="105">
        <v>968</v>
      </c>
      <c r="B1010" s="112" t="s">
        <v>280</v>
      </c>
      <c r="C1010" s="112"/>
      <c r="D1010" s="8" t="s">
        <v>213</v>
      </c>
      <c r="E1010" s="189" t="s">
        <v>1475</v>
      </c>
      <c r="F1010" s="112"/>
      <c r="G1010" s="107" t="s">
        <v>1455</v>
      </c>
      <c r="H1010" s="107">
        <v>6250</v>
      </c>
      <c r="I1010" s="8" t="s">
        <v>1756</v>
      </c>
      <c r="J1010" s="108" t="s">
        <v>1864</v>
      </c>
      <c r="K1010" s="57">
        <v>30</v>
      </c>
      <c r="L1010" s="58">
        <v>30</v>
      </c>
    </row>
    <row r="1011" spans="1:12" s="6" customFormat="1" ht="15">
      <c r="A1011" s="105">
        <v>969</v>
      </c>
      <c r="B1011" s="112" t="s">
        <v>280</v>
      </c>
      <c r="C1011" s="112"/>
      <c r="D1011" s="8">
        <v>6553604020</v>
      </c>
      <c r="E1011" s="189" t="s">
        <v>1476</v>
      </c>
      <c r="F1011" s="112"/>
      <c r="G1011" s="107" t="s">
        <v>1456</v>
      </c>
      <c r="H1011" s="112"/>
      <c r="I1011" s="8" t="s">
        <v>362</v>
      </c>
      <c r="J1011" s="41" t="s">
        <v>1110</v>
      </c>
      <c r="K1011" s="57">
        <v>30</v>
      </c>
      <c r="L1011" s="58">
        <v>30</v>
      </c>
    </row>
    <row r="1012" spans="1:12" s="6" customFormat="1" ht="15">
      <c r="A1012" s="105">
        <v>970</v>
      </c>
      <c r="B1012" s="112" t="s">
        <v>280</v>
      </c>
      <c r="C1012" s="112"/>
      <c r="D1012" s="8">
        <v>6553704020</v>
      </c>
      <c r="E1012" s="189" t="s">
        <v>1477</v>
      </c>
      <c r="F1012" s="112"/>
      <c r="G1012" s="107" t="s">
        <v>1457</v>
      </c>
      <c r="H1012" s="112"/>
      <c r="I1012" s="8" t="s">
        <v>362</v>
      </c>
      <c r="J1012" s="41" t="s">
        <v>1110</v>
      </c>
      <c r="K1012" s="57">
        <v>30</v>
      </c>
      <c r="L1012" s="58">
        <v>30</v>
      </c>
    </row>
    <row r="1013" spans="1:12" s="6" customFormat="1" ht="15">
      <c r="A1013" s="105">
        <v>971</v>
      </c>
      <c r="B1013" s="112" t="s">
        <v>280</v>
      </c>
      <c r="C1013" s="112"/>
      <c r="D1013" s="8">
        <v>6558704010</v>
      </c>
      <c r="E1013" s="189" t="s">
        <v>1478</v>
      </c>
      <c r="F1013" s="112"/>
      <c r="G1013" s="107" t="s">
        <v>1458</v>
      </c>
      <c r="H1013" s="112"/>
      <c r="I1013" s="41" t="s">
        <v>267</v>
      </c>
      <c r="J1013" s="41" t="s">
        <v>1110</v>
      </c>
      <c r="K1013" s="57">
        <v>30</v>
      </c>
      <c r="L1013" s="58">
        <v>30</v>
      </c>
    </row>
    <row r="1014" spans="1:12" s="6" customFormat="1" ht="15">
      <c r="A1014" s="105">
        <v>972</v>
      </c>
      <c r="B1014" s="112" t="s">
        <v>280</v>
      </c>
      <c r="C1014" s="112"/>
      <c r="D1014" s="8">
        <v>6558804010</v>
      </c>
      <c r="E1014" s="189" t="s">
        <v>1479</v>
      </c>
      <c r="F1014" s="112"/>
      <c r="G1014" s="107" t="s">
        <v>1459</v>
      </c>
      <c r="H1014" s="112"/>
      <c r="I1014" s="41" t="s">
        <v>267</v>
      </c>
      <c r="J1014" s="41" t="s">
        <v>1110</v>
      </c>
      <c r="K1014" s="57">
        <v>30</v>
      </c>
      <c r="L1014" s="58">
        <v>30</v>
      </c>
    </row>
    <row r="1015" spans="1:12" s="6" customFormat="1" ht="15">
      <c r="A1015" s="105">
        <v>973</v>
      </c>
      <c r="B1015" s="112" t="s">
        <v>280</v>
      </c>
      <c r="C1015" s="112"/>
      <c r="D1015" s="8">
        <v>6582604050</v>
      </c>
      <c r="E1015" s="189" t="s">
        <v>1480</v>
      </c>
      <c r="F1015" s="112"/>
      <c r="G1015" s="107" t="s">
        <v>1460</v>
      </c>
      <c r="H1015" s="112"/>
      <c r="I1015" s="8" t="s">
        <v>362</v>
      </c>
      <c r="J1015" s="41" t="s">
        <v>1110</v>
      </c>
      <c r="K1015" s="57">
        <v>30</v>
      </c>
      <c r="L1015" s="58">
        <v>30</v>
      </c>
    </row>
    <row r="1016" spans="1:12" s="6" customFormat="1" ht="15">
      <c r="A1016" s="105">
        <v>974</v>
      </c>
      <c r="B1016" s="112" t="s">
        <v>280</v>
      </c>
      <c r="C1016" s="112"/>
      <c r="D1016" s="8">
        <v>6582704050</v>
      </c>
      <c r="E1016" s="189" t="s">
        <v>1481</v>
      </c>
      <c r="F1016" s="112"/>
      <c r="G1016" s="107" t="s">
        <v>1461</v>
      </c>
      <c r="H1016" s="112"/>
      <c r="I1016" s="8" t="s">
        <v>362</v>
      </c>
      <c r="J1016" s="41" t="s">
        <v>1110</v>
      </c>
      <c r="K1016" s="57">
        <v>30</v>
      </c>
      <c r="L1016" s="58">
        <v>30</v>
      </c>
    </row>
    <row r="1017" spans="1:12" s="6" customFormat="1" ht="15">
      <c r="A1017" s="105">
        <v>975</v>
      </c>
      <c r="B1017" s="112" t="s">
        <v>280</v>
      </c>
      <c r="C1017" s="112"/>
      <c r="D1017" s="8">
        <v>6711135130</v>
      </c>
      <c r="E1017" s="189" t="s">
        <v>1482</v>
      </c>
      <c r="F1017" s="112"/>
      <c r="G1017" s="107" t="s">
        <v>18</v>
      </c>
      <c r="H1017" s="112"/>
      <c r="I1017" s="8" t="s">
        <v>362</v>
      </c>
      <c r="J1017" s="41" t="s">
        <v>1110</v>
      </c>
      <c r="K1017" s="57">
        <v>30</v>
      </c>
      <c r="L1017" s="58">
        <v>30</v>
      </c>
    </row>
    <row r="1018" spans="1:12" s="6" customFormat="1" ht="15">
      <c r="A1018" s="105">
        <v>976</v>
      </c>
      <c r="B1018" s="112" t="s">
        <v>280</v>
      </c>
      <c r="C1018" s="112"/>
      <c r="D1018" s="8">
        <v>6711235130</v>
      </c>
      <c r="E1018" s="189" t="s">
        <v>1483</v>
      </c>
      <c r="F1018" s="112"/>
      <c r="G1018" s="107" t="s">
        <v>19</v>
      </c>
      <c r="H1018" s="112"/>
      <c r="I1018" s="8" t="s">
        <v>362</v>
      </c>
      <c r="J1018" s="41" t="s">
        <v>1110</v>
      </c>
      <c r="K1018" s="57">
        <v>30</v>
      </c>
      <c r="L1018" s="58">
        <v>30</v>
      </c>
    </row>
    <row r="1019" spans="1:12" s="6" customFormat="1" ht="15">
      <c r="A1019" s="105">
        <v>977</v>
      </c>
      <c r="B1019" s="112" t="s">
        <v>280</v>
      </c>
      <c r="C1019" s="112"/>
      <c r="D1019" s="8">
        <v>6777189110</v>
      </c>
      <c r="E1019" s="189" t="s">
        <v>1484</v>
      </c>
      <c r="F1019" s="112"/>
      <c r="G1019" s="107" t="s">
        <v>1462</v>
      </c>
      <c r="H1019" s="112"/>
      <c r="I1019" s="8" t="s">
        <v>362</v>
      </c>
      <c r="J1019" s="41" t="s">
        <v>1110</v>
      </c>
      <c r="K1019" s="57">
        <v>30</v>
      </c>
      <c r="L1019" s="58">
        <v>30</v>
      </c>
    </row>
    <row r="1020" spans="1:12" s="6" customFormat="1" ht="15">
      <c r="A1020" s="105">
        <v>978</v>
      </c>
      <c r="B1020" s="112" t="s">
        <v>280</v>
      </c>
      <c r="C1020" s="112"/>
      <c r="D1020" s="8">
        <v>9016700043</v>
      </c>
      <c r="E1020" s="189" t="s">
        <v>1485</v>
      </c>
      <c r="F1020" s="112"/>
      <c r="G1020" s="107" t="s">
        <v>1463</v>
      </c>
      <c r="H1020" s="112"/>
      <c r="I1020" s="8" t="s">
        <v>362</v>
      </c>
      <c r="J1020" s="41" t="s">
        <v>1110</v>
      </c>
      <c r="K1020" s="57">
        <v>30</v>
      </c>
      <c r="L1020" s="58">
        <v>30</v>
      </c>
    </row>
    <row r="1021" spans="1:12" s="6" customFormat="1" ht="15">
      <c r="A1021" s="105">
        <v>979</v>
      </c>
      <c r="B1021" s="112" t="s">
        <v>280</v>
      </c>
      <c r="C1021" s="112"/>
      <c r="D1021" s="8" t="s">
        <v>1488</v>
      </c>
      <c r="E1021" s="189" t="s">
        <v>1486</v>
      </c>
      <c r="F1021" s="112"/>
      <c r="G1021" s="107" t="s">
        <v>1464</v>
      </c>
      <c r="H1021" s="112"/>
      <c r="I1021" s="8" t="s">
        <v>255</v>
      </c>
      <c r="J1021" s="41" t="s">
        <v>1110</v>
      </c>
      <c r="K1021" s="57">
        <v>30</v>
      </c>
      <c r="L1021" s="58">
        <v>30</v>
      </c>
    </row>
    <row r="1022" spans="1:12" s="3" customFormat="1" ht="15">
      <c r="A1022" s="105">
        <v>980</v>
      </c>
      <c r="B1022" s="106"/>
      <c r="C1022" s="106"/>
      <c r="D1022" s="8" t="s">
        <v>140</v>
      </c>
      <c r="E1022" s="189" t="s">
        <v>151</v>
      </c>
      <c r="F1022" s="107"/>
      <c r="G1022" s="107" t="s">
        <v>140</v>
      </c>
      <c r="H1022" s="107">
        <v>4200</v>
      </c>
      <c r="I1022" s="8" t="s">
        <v>310</v>
      </c>
      <c r="J1022" s="108" t="s">
        <v>373</v>
      </c>
      <c r="K1022" s="57">
        <v>100</v>
      </c>
      <c r="L1022" s="58">
        <v>100</v>
      </c>
    </row>
    <row r="1023" spans="1:12" s="3" customFormat="1" ht="15">
      <c r="A1023" s="105">
        <v>981</v>
      </c>
      <c r="B1023" s="106"/>
      <c r="C1023" s="106"/>
      <c r="D1023" s="8" t="s">
        <v>141</v>
      </c>
      <c r="E1023" s="189" t="s">
        <v>151</v>
      </c>
      <c r="F1023" s="107"/>
      <c r="G1023" s="107" t="s">
        <v>141</v>
      </c>
      <c r="H1023" s="107">
        <v>4200</v>
      </c>
      <c r="I1023" s="8" t="s">
        <v>310</v>
      </c>
      <c r="J1023" s="108" t="s">
        <v>373</v>
      </c>
      <c r="K1023" s="57">
        <v>100</v>
      </c>
      <c r="L1023" s="58">
        <v>100</v>
      </c>
    </row>
    <row r="1024" spans="1:12" s="3" customFormat="1" ht="15">
      <c r="A1024" s="105">
        <v>982</v>
      </c>
      <c r="B1024" s="106"/>
      <c r="C1024" s="106"/>
      <c r="D1024" s="8" t="s">
        <v>142</v>
      </c>
      <c r="E1024" s="189" t="s">
        <v>152</v>
      </c>
      <c r="F1024" s="107"/>
      <c r="G1024" s="107" t="s">
        <v>142</v>
      </c>
      <c r="H1024" s="107">
        <v>4200</v>
      </c>
      <c r="I1024" s="8" t="s">
        <v>310</v>
      </c>
      <c r="J1024" s="108" t="s">
        <v>373</v>
      </c>
      <c r="K1024" s="57">
        <v>100</v>
      </c>
      <c r="L1024" s="58">
        <v>100</v>
      </c>
    </row>
    <row r="1025" spans="1:12" s="3" customFormat="1" ht="15">
      <c r="A1025" s="105">
        <v>982</v>
      </c>
      <c r="B1025" s="106"/>
      <c r="C1025" s="106"/>
      <c r="D1025" s="8" t="s">
        <v>5314</v>
      </c>
      <c r="E1025" s="189" t="s">
        <v>152</v>
      </c>
      <c r="F1025" s="107"/>
      <c r="G1025" s="107" t="s">
        <v>142</v>
      </c>
      <c r="H1025" s="107">
        <v>4200</v>
      </c>
      <c r="I1025" s="8" t="s">
        <v>310</v>
      </c>
      <c r="J1025" s="108" t="s">
        <v>373</v>
      </c>
      <c r="K1025" s="57">
        <v>100</v>
      </c>
      <c r="L1025" s="58">
        <v>100</v>
      </c>
    </row>
    <row r="1026" spans="1:12" s="3" customFormat="1" ht="15">
      <c r="A1026" s="105">
        <v>983</v>
      </c>
      <c r="B1026" s="106"/>
      <c r="C1026" s="106"/>
      <c r="D1026" s="8" t="s">
        <v>144</v>
      </c>
      <c r="E1026" s="189" t="s">
        <v>167</v>
      </c>
      <c r="F1026" s="107"/>
      <c r="G1026" s="107" t="s">
        <v>144</v>
      </c>
      <c r="H1026" s="107">
        <v>4200</v>
      </c>
      <c r="I1026" s="8" t="s">
        <v>310</v>
      </c>
      <c r="J1026" s="108" t="s">
        <v>373</v>
      </c>
      <c r="K1026" s="57">
        <v>100</v>
      </c>
      <c r="L1026" s="58">
        <v>100</v>
      </c>
    </row>
    <row r="1027" spans="1:12" s="3" customFormat="1" ht="15">
      <c r="A1027" s="105">
        <v>984</v>
      </c>
      <c r="B1027" s="106"/>
      <c r="C1027" s="106"/>
      <c r="D1027" s="111">
        <v>4755009070</v>
      </c>
      <c r="E1027" s="189" t="s">
        <v>168</v>
      </c>
      <c r="F1027" s="107"/>
      <c r="G1027" s="107" t="s">
        <v>147</v>
      </c>
      <c r="H1027" s="107">
        <v>4200</v>
      </c>
      <c r="I1027" s="8" t="s">
        <v>310</v>
      </c>
      <c r="J1027" s="108" t="s">
        <v>373</v>
      </c>
      <c r="K1027" s="57">
        <v>100</v>
      </c>
      <c r="L1027" s="58">
        <v>100</v>
      </c>
    </row>
    <row r="1028" spans="1:12" s="3" customFormat="1" ht="15">
      <c r="A1028" s="105">
        <v>985</v>
      </c>
      <c r="B1028" s="106"/>
      <c r="C1028" s="106"/>
      <c r="D1028" s="8" t="s">
        <v>149</v>
      </c>
      <c r="E1028" s="189" t="s">
        <v>169</v>
      </c>
      <c r="F1028" s="107"/>
      <c r="G1028" s="107" t="s">
        <v>149</v>
      </c>
      <c r="H1028" s="107">
        <v>4200</v>
      </c>
      <c r="I1028" s="8" t="s">
        <v>310</v>
      </c>
      <c r="J1028" s="108" t="s">
        <v>373</v>
      </c>
      <c r="K1028" s="57">
        <v>100</v>
      </c>
      <c r="L1028" s="58">
        <v>100</v>
      </c>
    </row>
    <row r="1029" spans="1:12" s="3" customFormat="1" ht="15">
      <c r="A1029" s="105">
        <v>986</v>
      </c>
      <c r="B1029" s="106"/>
      <c r="C1029" s="106"/>
      <c r="D1029" s="8" t="s">
        <v>150</v>
      </c>
      <c r="E1029" s="189" t="s">
        <v>169</v>
      </c>
      <c r="F1029" s="107"/>
      <c r="G1029" s="107" t="s">
        <v>150</v>
      </c>
      <c r="H1029" s="107">
        <v>4200</v>
      </c>
      <c r="I1029" s="8" t="s">
        <v>310</v>
      </c>
      <c r="J1029" s="108" t="s">
        <v>373</v>
      </c>
      <c r="K1029" s="57">
        <v>100</v>
      </c>
      <c r="L1029" s="58">
        <v>100</v>
      </c>
    </row>
    <row r="1030" spans="1:12" s="3" customFormat="1" ht="15">
      <c r="A1030" s="105">
        <v>987</v>
      </c>
      <c r="B1030" s="106"/>
      <c r="C1030" s="106"/>
      <c r="D1030" s="8" t="s">
        <v>189</v>
      </c>
      <c r="E1030" s="189" t="s">
        <v>170</v>
      </c>
      <c r="F1030" s="107"/>
      <c r="G1030" s="107" t="s">
        <v>189</v>
      </c>
      <c r="H1030" s="107">
        <v>4200</v>
      </c>
      <c r="I1030" s="8" t="s">
        <v>310</v>
      </c>
      <c r="J1030" s="108" t="s">
        <v>373</v>
      </c>
      <c r="K1030" s="57">
        <v>100</v>
      </c>
      <c r="L1030" s="58">
        <v>100</v>
      </c>
    </row>
    <row r="1031" spans="1:12" s="3" customFormat="1" ht="15">
      <c r="A1031" s="105">
        <v>988</v>
      </c>
      <c r="B1031" s="106"/>
      <c r="C1031" s="106"/>
      <c r="D1031" s="8" t="s">
        <v>190</v>
      </c>
      <c r="E1031" s="189" t="s">
        <v>171</v>
      </c>
      <c r="F1031" s="107"/>
      <c r="G1031" s="107" t="s">
        <v>190</v>
      </c>
      <c r="H1031" s="107">
        <v>4200</v>
      </c>
      <c r="I1031" s="8" t="s">
        <v>310</v>
      </c>
      <c r="J1031" s="108" t="s">
        <v>373</v>
      </c>
      <c r="K1031" s="57">
        <v>100</v>
      </c>
      <c r="L1031" s="58">
        <v>100</v>
      </c>
    </row>
    <row r="1032" spans="1:12" s="3" customFormat="1" ht="15">
      <c r="A1032" s="105">
        <v>989</v>
      </c>
      <c r="B1032" s="106"/>
      <c r="C1032" s="106"/>
      <c r="D1032" s="8" t="s">
        <v>191</v>
      </c>
      <c r="E1032" s="189" t="s">
        <v>172</v>
      </c>
      <c r="F1032" s="107"/>
      <c r="G1032" s="107" t="s">
        <v>191</v>
      </c>
      <c r="H1032" s="107">
        <v>4200</v>
      </c>
      <c r="I1032" s="8" t="s">
        <v>310</v>
      </c>
      <c r="J1032" s="108" t="s">
        <v>373</v>
      </c>
      <c r="K1032" s="57">
        <v>100</v>
      </c>
      <c r="L1032" s="58">
        <v>100</v>
      </c>
    </row>
    <row r="1033" spans="1:12" s="3" customFormat="1" ht="15">
      <c r="A1033" s="105">
        <v>990</v>
      </c>
      <c r="B1033" s="106"/>
      <c r="C1033" s="106"/>
      <c r="D1033" s="8">
        <v>9021307010</v>
      </c>
      <c r="E1033" s="189" t="s">
        <v>173</v>
      </c>
      <c r="F1033" s="107"/>
      <c r="G1033" s="107">
        <v>9021307010</v>
      </c>
      <c r="H1033" s="107">
        <v>4200</v>
      </c>
      <c r="I1033" s="8" t="s">
        <v>310</v>
      </c>
      <c r="J1033" s="108" t="s">
        <v>373</v>
      </c>
      <c r="K1033" s="57">
        <v>100</v>
      </c>
      <c r="L1033" s="58">
        <v>100</v>
      </c>
    </row>
    <row r="1034" spans="1:12" s="3" customFormat="1" ht="15">
      <c r="A1034" s="105">
        <v>990</v>
      </c>
      <c r="B1034" s="106"/>
      <c r="C1034" s="106"/>
      <c r="D1034" s="8">
        <v>9021307018</v>
      </c>
      <c r="E1034" s="189" t="s">
        <v>173</v>
      </c>
      <c r="F1034" s="107"/>
      <c r="G1034" s="107">
        <v>9021307018</v>
      </c>
      <c r="H1034" s="107">
        <v>4200</v>
      </c>
      <c r="I1034" s="8" t="s">
        <v>310</v>
      </c>
      <c r="J1034" s="108" t="s">
        <v>373</v>
      </c>
      <c r="K1034" s="57">
        <v>100</v>
      </c>
      <c r="L1034" s="58">
        <v>100</v>
      </c>
    </row>
    <row r="1035" spans="1:12" s="3" customFormat="1" ht="15">
      <c r="A1035" s="105">
        <v>991</v>
      </c>
      <c r="B1035" s="106"/>
      <c r="C1035" s="106"/>
      <c r="D1035" s="8" t="s">
        <v>192</v>
      </c>
      <c r="E1035" s="189" t="s">
        <v>174</v>
      </c>
      <c r="F1035" s="107"/>
      <c r="G1035" s="107" t="s">
        <v>192</v>
      </c>
      <c r="H1035" s="107">
        <v>4200</v>
      </c>
      <c r="I1035" s="8" t="s">
        <v>310</v>
      </c>
      <c r="J1035" s="108" t="s">
        <v>373</v>
      </c>
      <c r="K1035" s="57">
        <v>100</v>
      </c>
      <c r="L1035" s="58">
        <v>100</v>
      </c>
    </row>
    <row r="1036" spans="1:12" s="3" customFormat="1" ht="15">
      <c r="A1036" s="105">
        <v>992</v>
      </c>
      <c r="B1036" s="106"/>
      <c r="C1036" s="106"/>
      <c r="D1036" s="8" t="s">
        <v>193</v>
      </c>
      <c r="E1036" s="189" t="s">
        <v>175</v>
      </c>
      <c r="F1036" s="107"/>
      <c r="G1036" s="107" t="s">
        <v>193</v>
      </c>
      <c r="H1036" s="107">
        <v>4200</v>
      </c>
      <c r="I1036" s="8" t="s">
        <v>310</v>
      </c>
      <c r="J1036" s="108" t="s">
        <v>373</v>
      </c>
      <c r="K1036" s="57">
        <v>100</v>
      </c>
      <c r="L1036" s="58">
        <v>100</v>
      </c>
    </row>
    <row r="1037" spans="1:12" s="3" customFormat="1" ht="15">
      <c r="A1037" s="105">
        <v>993</v>
      </c>
      <c r="B1037" s="106"/>
      <c r="C1037" s="106"/>
      <c r="D1037" s="8">
        <v>9002921418</v>
      </c>
      <c r="E1037" s="189" t="s">
        <v>176</v>
      </c>
      <c r="F1037" s="107"/>
      <c r="G1037" s="107">
        <v>9002921418</v>
      </c>
      <c r="H1037" s="107">
        <v>4200</v>
      </c>
      <c r="I1037" s="8" t="s">
        <v>310</v>
      </c>
      <c r="J1037" s="108" t="s">
        <v>373</v>
      </c>
      <c r="K1037" s="57">
        <v>100</v>
      </c>
      <c r="L1037" s="58">
        <v>100</v>
      </c>
    </row>
    <row r="1038" spans="1:12" s="3" customFormat="1" ht="15">
      <c r="A1038" s="105">
        <v>994</v>
      </c>
      <c r="B1038" s="106"/>
      <c r="C1038" s="106"/>
      <c r="D1038" s="8">
        <v>3147830010</v>
      </c>
      <c r="E1038" s="189" t="s">
        <v>177</v>
      </c>
      <c r="F1038" s="107"/>
      <c r="G1038" s="107">
        <v>3147830010</v>
      </c>
      <c r="H1038" s="107">
        <v>4200</v>
      </c>
      <c r="I1038" s="8" t="s">
        <v>310</v>
      </c>
      <c r="J1038" s="108" t="s">
        <v>373</v>
      </c>
      <c r="K1038" s="57">
        <v>100</v>
      </c>
      <c r="L1038" s="58">
        <v>100</v>
      </c>
    </row>
    <row r="1039" spans="1:12" s="3" customFormat="1" ht="15">
      <c r="A1039" s="105">
        <v>995</v>
      </c>
      <c r="B1039" s="106"/>
      <c r="C1039" s="106"/>
      <c r="D1039" s="8" t="s">
        <v>200</v>
      </c>
      <c r="E1039" s="189" t="s">
        <v>174</v>
      </c>
      <c r="F1039" s="107"/>
      <c r="G1039" s="107" t="s">
        <v>200</v>
      </c>
      <c r="H1039" s="107">
        <v>4200</v>
      </c>
      <c r="I1039" s="8" t="s">
        <v>310</v>
      </c>
      <c r="J1039" s="108" t="s">
        <v>373</v>
      </c>
      <c r="K1039" s="57">
        <v>100</v>
      </c>
      <c r="L1039" s="58">
        <v>100</v>
      </c>
    </row>
    <row r="1040" spans="1:12" s="3" customFormat="1" ht="15">
      <c r="A1040" s="105">
        <v>996</v>
      </c>
      <c r="B1040" s="106"/>
      <c r="C1040" s="106"/>
      <c r="D1040" s="8">
        <v>9002921420</v>
      </c>
      <c r="E1040" s="189" t="s">
        <v>176</v>
      </c>
      <c r="F1040" s="107"/>
      <c r="G1040" s="107">
        <v>9002921420</v>
      </c>
      <c r="H1040" s="107">
        <v>4200</v>
      </c>
      <c r="I1040" s="8" t="s">
        <v>310</v>
      </c>
      <c r="J1040" s="108" t="s">
        <v>373</v>
      </c>
      <c r="K1040" s="57">
        <v>100</v>
      </c>
      <c r="L1040" s="58">
        <v>100</v>
      </c>
    </row>
    <row r="1041" spans="1:19" s="3" customFormat="1" ht="15">
      <c r="A1041" s="105">
        <v>997</v>
      </c>
      <c r="B1041" s="106"/>
      <c r="C1041" s="106"/>
      <c r="D1041" s="8" t="s">
        <v>201</v>
      </c>
      <c r="E1041" s="189" t="s">
        <v>152</v>
      </c>
      <c r="F1041" s="107"/>
      <c r="G1041" s="107" t="s">
        <v>201</v>
      </c>
      <c r="H1041" s="107">
        <v>4200</v>
      </c>
      <c r="I1041" s="8" t="s">
        <v>310</v>
      </c>
      <c r="J1041" s="108" t="s">
        <v>373</v>
      </c>
      <c r="K1041" s="57">
        <v>100</v>
      </c>
      <c r="L1041" s="58">
        <v>100</v>
      </c>
    </row>
    <row r="1042" spans="1:19" s="3" customFormat="1" ht="15">
      <c r="A1042" s="105">
        <v>998</v>
      </c>
      <c r="B1042" s="106"/>
      <c r="C1042" s="106"/>
      <c r="D1042" s="8">
        <v>4744730020</v>
      </c>
      <c r="E1042" s="189" t="s">
        <v>178</v>
      </c>
      <c r="F1042" s="107"/>
      <c r="G1042" s="107">
        <v>4744730020</v>
      </c>
      <c r="H1042" s="107">
        <v>4200</v>
      </c>
      <c r="I1042" s="8" t="s">
        <v>310</v>
      </c>
      <c r="J1042" s="108" t="s">
        <v>373</v>
      </c>
      <c r="K1042" s="57">
        <v>100</v>
      </c>
      <c r="L1042" s="58">
        <v>100</v>
      </c>
    </row>
    <row r="1043" spans="1:19" s="3" customFormat="1" ht="15">
      <c r="A1043" s="105">
        <v>999</v>
      </c>
      <c r="B1043" s="106"/>
      <c r="C1043" s="106"/>
      <c r="D1043" s="8">
        <v>4744904010</v>
      </c>
      <c r="E1043" s="189" t="s">
        <v>179</v>
      </c>
      <c r="F1043" s="107"/>
      <c r="G1043" s="107">
        <v>4744904010</v>
      </c>
      <c r="H1043" s="107">
        <v>4200</v>
      </c>
      <c r="I1043" s="8" t="s">
        <v>310</v>
      </c>
      <c r="J1043" s="108" t="s">
        <v>373</v>
      </c>
      <c r="K1043" s="57">
        <v>100</v>
      </c>
      <c r="L1043" s="58">
        <v>100</v>
      </c>
    </row>
    <row r="1044" spans="1:19" s="3" customFormat="1" ht="15">
      <c r="A1044" s="105">
        <v>1000</v>
      </c>
      <c r="B1044" s="106"/>
      <c r="C1044" s="106"/>
      <c r="D1044" s="8" t="s">
        <v>202</v>
      </c>
      <c r="E1044" s="189" t="s">
        <v>180</v>
      </c>
      <c r="F1044" s="107"/>
      <c r="G1044" s="107" t="s">
        <v>202</v>
      </c>
      <c r="H1044" s="107">
        <v>4200</v>
      </c>
      <c r="I1044" s="8" t="s">
        <v>310</v>
      </c>
      <c r="J1044" s="108" t="s">
        <v>373</v>
      </c>
      <c r="K1044" s="57">
        <v>100</v>
      </c>
      <c r="L1044" s="58">
        <v>100</v>
      </c>
    </row>
    <row r="1045" spans="1:19" s="3" customFormat="1" ht="15">
      <c r="A1045" s="105">
        <v>1001</v>
      </c>
      <c r="B1045" s="106"/>
      <c r="C1045" s="106"/>
      <c r="D1045" s="8" t="s">
        <v>203</v>
      </c>
      <c r="E1045" s="189" t="s">
        <v>181</v>
      </c>
      <c r="F1045" s="107"/>
      <c r="G1045" s="107" t="s">
        <v>203</v>
      </c>
      <c r="H1045" s="107">
        <v>4200</v>
      </c>
      <c r="I1045" s="8" t="s">
        <v>310</v>
      </c>
      <c r="J1045" s="108" t="s">
        <v>373</v>
      </c>
      <c r="K1045" s="57">
        <v>100</v>
      </c>
      <c r="L1045" s="58">
        <v>100</v>
      </c>
    </row>
    <row r="1046" spans="1:19" s="3" customFormat="1" ht="15">
      <c r="A1046" s="105">
        <v>1002</v>
      </c>
      <c r="B1046" s="106"/>
      <c r="C1046" s="106"/>
      <c r="D1046" s="8" t="s">
        <v>204</v>
      </c>
      <c r="E1046" s="189" t="s">
        <v>182</v>
      </c>
      <c r="F1046" s="107"/>
      <c r="G1046" s="107" t="s">
        <v>204</v>
      </c>
      <c r="H1046" s="107">
        <v>4200</v>
      </c>
      <c r="I1046" s="8" t="s">
        <v>310</v>
      </c>
      <c r="J1046" s="108" t="s">
        <v>373</v>
      </c>
      <c r="K1046" s="57">
        <v>100</v>
      </c>
      <c r="L1046" s="58">
        <v>100</v>
      </c>
    </row>
    <row r="1047" spans="1:19" s="3" customFormat="1" ht="15">
      <c r="A1047" s="105">
        <v>1003</v>
      </c>
      <c r="B1047" s="106"/>
      <c r="C1047" s="106"/>
      <c r="D1047" s="8" t="s">
        <v>205</v>
      </c>
      <c r="E1047" s="189" t="s">
        <v>182</v>
      </c>
      <c r="F1047" s="107"/>
      <c r="G1047" s="107" t="s">
        <v>205</v>
      </c>
      <c r="H1047" s="107">
        <v>4200</v>
      </c>
      <c r="I1047" s="8" t="s">
        <v>310</v>
      </c>
      <c r="J1047" s="108" t="s">
        <v>373</v>
      </c>
      <c r="K1047" s="57">
        <v>100</v>
      </c>
      <c r="L1047" s="58">
        <v>100</v>
      </c>
    </row>
    <row r="1048" spans="1:19" s="3" customFormat="1" ht="15">
      <c r="A1048" s="105">
        <v>1004</v>
      </c>
      <c r="B1048" s="106"/>
      <c r="C1048" s="106"/>
      <c r="D1048" s="8" t="s">
        <v>143</v>
      </c>
      <c r="E1048" s="189" t="s">
        <v>183</v>
      </c>
      <c r="F1048" s="107"/>
      <c r="G1048" s="107" t="s">
        <v>143</v>
      </c>
      <c r="H1048" s="107">
        <v>4200</v>
      </c>
      <c r="I1048" s="8" t="s">
        <v>310</v>
      </c>
      <c r="J1048" s="108" t="s">
        <v>373</v>
      </c>
      <c r="K1048" s="57">
        <v>100</v>
      </c>
      <c r="L1048" s="58">
        <v>100</v>
      </c>
    </row>
    <row r="1049" spans="1:19" s="3" customFormat="1" ht="15">
      <c r="A1049" s="105">
        <v>1005</v>
      </c>
      <c r="B1049" s="106"/>
      <c r="C1049" s="106"/>
      <c r="D1049" s="8" t="s">
        <v>206</v>
      </c>
      <c r="E1049" s="189" t="s">
        <v>184</v>
      </c>
      <c r="F1049" s="107"/>
      <c r="G1049" s="107" t="s">
        <v>206</v>
      </c>
      <c r="H1049" s="107">
        <v>4200</v>
      </c>
      <c r="I1049" s="8" t="s">
        <v>310</v>
      </c>
      <c r="J1049" s="108" t="s">
        <v>373</v>
      </c>
      <c r="K1049" s="57">
        <v>100</v>
      </c>
      <c r="L1049" s="58">
        <v>100</v>
      </c>
    </row>
    <row r="1050" spans="1:19" s="3" customFormat="1" ht="15">
      <c r="A1050" s="105">
        <v>1006</v>
      </c>
      <c r="B1050" s="106"/>
      <c r="C1050" s="106"/>
      <c r="D1050" s="8" t="s">
        <v>207</v>
      </c>
      <c r="E1050" s="189" t="s">
        <v>185</v>
      </c>
      <c r="F1050" s="107"/>
      <c r="G1050" s="107" t="s">
        <v>207</v>
      </c>
      <c r="H1050" s="107">
        <v>4200</v>
      </c>
      <c r="I1050" s="8" t="s">
        <v>310</v>
      </c>
      <c r="J1050" s="108" t="s">
        <v>373</v>
      </c>
      <c r="K1050" s="57">
        <v>100</v>
      </c>
      <c r="L1050" s="58">
        <v>100</v>
      </c>
    </row>
    <row r="1051" spans="1:19" s="3" customFormat="1" ht="15">
      <c r="A1051" s="105">
        <v>1007</v>
      </c>
      <c r="B1051" s="106"/>
      <c r="C1051" s="106"/>
      <c r="D1051" s="8" t="s">
        <v>208</v>
      </c>
      <c r="E1051" s="189" t="s">
        <v>186</v>
      </c>
      <c r="F1051" s="107"/>
      <c r="G1051" s="107" t="s">
        <v>208</v>
      </c>
      <c r="H1051" s="107">
        <v>4200</v>
      </c>
      <c r="I1051" s="8" t="s">
        <v>310</v>
      </c>
      <c r="J1051" s="108" t="s">
        <v>373</v>
      </c>
      <c r="K1051" s="57">
        <v>100</v>
      </c>
      <c r="L1051" s="58">
        <v>100</v>
      </c>
    </row>
    <row r="1052" spans="1:19" s="3" customFormat="1" ht="15">
      <c r="A1052" s="105">
        <v>1008</v>
      </c>
      <c r="B1052" s="106"/>
      <c r="C1052" s="106"/>
      <c r="D1052" s="8">
        <v>4749104010</v>
      </c>
      <c r="E1052" s="189" t="s">
        <v>187</v>
      </c>
      <c r="F1052" s="107"/>
      <c r="G1052" s="107">
        <v>4749104010</v>
      </c>
      <c r="H1052" s="107">
        <v>4200</v>
      </c>
      <c r="I1052" s="8" t="s">
        <v>310</v>
      </c>
      <c r="J1052" s="108" t="s">
        <v>373</v>
      </c>
      <c r="K1052" s="57">
        <v>100</v>
      </c>
      <c r="L1052" s="58">
        <v>100</v>
      </c>
    </row>
    <row r="1053" spans="1:19" s="3" customFormat="1" ht="15">
      <c r="A1053" s="105">
        <v>1009</v>
      </c>
      <c r="B1053" s="106"/>
      <c r="C1053" s="106"/>
      <c r="D1053" s="8">
        <v>4749204010</v>
      </c>
      <c r="E1053" s="189" t="s">
        <v>188</v>
      </c>
      <c r="F1053" s="107"/>
      <c r="G1053" s="107">
        <v>4749204010</v>
      </c>
      <c r="H1053" s="107">
        <v>4200</v>
      </c>
      <c r="I1053" s="8" t="s">
        <v>310</v>
      </c>
      <c r="J1053" s="108" t="s">
        <v>373</v>
      </c>
      <c r="K1053" s="57">
        <v>100</v>
      </c>
      <c r="L1053" s="58">
        <v>100</v>
      </c>
    </row>
    <row r="1054" spans="1:19" s="65" customFormat="1" ht="15">
      <c r="A1054" s="105">
        <v>1010</v>
      </c>
      <c r="B1054" s="117"/>
      <c r="C1054" s="117" t="s">
        <v>2489</v>
      </c>
      <c r="D1054" s="118" t="s">
        <v>2488</v>
      </c>
      <c r="E1054" s="189" t="s">
        <v>4577</v>
      </c>
      <c r="F1054" s="119"/>
      <c r="G1054" s="107" t="s">
        <v>2488</v>
      </c>
      <c r="H1054" s="107" t="s">
        <v>2494</v>
      </c>
      <c r="I1054" s="120" t="s">
        <v>4603</v>
      </c>
      <c r="J1054" s="120" t="s">
        <v>2490</v>
      </c>
      <c r="K1054" s="57">
        <v>100</v>
      </c>
      <c r="L1054" s="58">
        <v>100</v>
      </c>
      <c r="M1054" s="61"/>
      <c r="N1054" s="61"/>
      <c r="O1054" s="62"/>
      <c r="P1054" s="62"/>
      <c r="Q1054" s="63"/>
      <c r="R1054" s="62"/>
      <c r="S1054" s="64"/>
    </row>
    <row r="1055" spans="1:19" s="65" customFormat="1" ht="15">
      <c r="A1055" s="105">
        <v>1011</v>
      </c>
      <c r="B1055" s="117"/>
      <c r="C1055" s="117" t="s">
        <v>2489</v>
      </c>
      <c r="D1055" s="121" t="str">
        <f>"4331009015"</f>
        <v>4331009015</v>
      </c>
      <c r="E1055" s="189" t="s">
        <v>4577</v>
      </c>
      <c r="F1055" s="119"/>
      <c r="G1055" s="107" t="s">
        <v>2495</v>
      </c>
      <c r="H1055" s="107" t="s">
        <v>2494</v>
      </c>
      <c r="I1055" s="120" t="s">
        <v>4603</v>
      </c>
      <c r="J1055" s="120" t="s">
        <v>2490</v>
      </c>
      <c r="K1055" s="57">
        <v>100</v>
      </c>
      <c r="L1055" s="58">
        <v>100</v>
      </c>
      <c r="M1055" s="61"/>
      <c r="N1055" s="61"/>
      <c r="O1055" s="62"/>
      <c r="P1055" s="62"/>
      <c r="Q1055" s="63"/>
      <c r="R1055" s="62"/>
      <c r="S1055" s="64"/>
    </row>
    <row r="1056" spans="1:19" s="65" customFormat="1" ht="15">
      <c r="A1056" s="105">
        <v>1011</v>
      </c>
      <c r="B1056" s="117" t="s">
        <v>4547</v>
      </c>
      <c r="C1056" s="117" t="s">
        <v>2489</v>
      </c>
      <c r="D1056" s="121" t="str">
        <f>"4331009017"</f>
        <v>4331009017</v>
      </c>
      <c r="E1056" s="189" t="s">
        <v>4577</v>
      </c>
      <c r="F1056" s="119"/>
      <c r="G1056" s="107">
        <v>4331009017</v>
      </c>
      <c r="H1056" s="107" t="s">
        <v>2494</v>
      </c>
      <c r="I1056" s="120" t="s">
        <v>4603</v>
      </c>
      <c r="J1056" s="120" t="s">
        <v>2490</v>
      </c>
      <c r="K1056" s="57">
        <v>100</v>
      </c>
      <c r="L1056" s="58">
        <v>100</v>
      </c>
      <c r="M1056" s="61"/>
      <c r="N1056" s="61"/>
      <c r="O1056" s="62"/>
      <c r="P1056" s="62"/>
      <c r="Q1056" s="63"/>
      <c r="R1056" s="62"/>
      <c r="S1056" s="64"/>
    </row>
    <row r="1057" spans="1:19" s="65" customFormat="1" ht="15">
      <c r="A1057" s="105">
        <v>1012</v>
      </c>
      <c r="B1057" s="117"/>
      <c r="C1057" s="117" t="s">
        <v>2489</v>
      </c>
      <c r="D1057" s="8" t="s">
        <v>2493</v>
      </c>
      <c r="E1057" s="189" t="s">
        <v>4578</v>
      </c>
      <c r="F1057" s="119"/>
      <c r="G1057" s="122" t="s">
        <v>2493</v>
      </c>
      <c r="H1057" s="107" t="s">
        <v>2494</v>
      </c>
      <c r="I1057" s="120" t="s">
        <v>4603</v>
      </c>
      <c r="J1057" s="120" t="s">
        <v>2490</v>
      </c>
      <c r="K1057" s="57">
        <v>100</v>
      </c>
      <c r="L1057" s="58">
        <v>100</v>
      </c>
      <c r="M1057" s="61"/>
      <c r="N1057" s="61"/>
      <c r="O1057" s="62"/>
      <c r="P1057" s="62"/>
      <c r="Q1057" s="63"/>
      <c r="R1057" s="62"/>
      <c r="S1057" s="64"/>
    </row>
    <row r="1058" spans="1:19" s="65" customFormat="1" ht="15">
      <c r="A1058" s="105">
        <v>1013</v>
      </c>
      <c r="B1058" s="117"/>
      <c r="C1058" s="117" t="s">
        <v>2489</v>
      </c>
      <c r="D1058" s="8" t="str">
        <f>"4333009510"</f>
        <v>4333009510</v>
      </c>
      <c r="E1058" s="189" t="s">
        <v>4578</v>
      </c>
      <c r="F1058" s="119"/>
      <c r="G1058" s="122" t="s">
        <v>2496</v>
      </c>
      <c r="H1058" s="107" t="s">
        <v>2494</v>
      </c>
      <c r="I1058" s="120" t="s">
        <v>4603</v>
      </c>
      <c r="J1058" s="120" t="s">
        <v>2490</v>
      </c>
      <c r="K1058" s="57">
        <v>100</v>
      </c>
      <c r="L1058" s="58">
        <v>100</v>
      </c>
      <c r="M1058" s="61"/>
      <c r="N1058" s="61"/>
      <c r="O1058" s="62"/>
      <c r="P1058" s="62"/>
      <c r="Q1058" s="63"/>
      <c r="R1058" s="62"/>
      <c r="S1058" s="64"/>
    </row>
    <row r="1059" spans="1:19" s="65" customFormat="1" ht="15">
      <c r="A1059" s="105">
        <v>1014</v>
      </c>
      <c r="B1059" s="117"/>
      <c r="C1059" s="117" t="s">
        <v>1015</v>
      </c>
      <c r="D1059" s="111" t="str">
        <f>"9036630067"</f>
        <v>9036630067</v>
      </c>
      <c r="E1059" s="189" t="s">
        <v>1014</v>
      </c>
      <c r="F1059" s="119"/>
      <c r="G1059" s="122" t="s">
        <v>1009</v>
      </c>
      <c r="H1059" s="107">
        <v>4111</v>
      </c>
      <c r="I1059" s="120" t="s">
        <v>260</v>
      </c>
      <c r="J1059" s="120" t="s">
        <v>1690</v>
      </c>
      <c r="K1059" s="57">
        <v>30</v>
      </c>
      <c r="L1059" s="58">
        <v>30</v>
      </c>
      <c r="M1059" s="61"/>
      <c r="N1059" s="61"/>
      <c r="O1059" s="62"/>
      <c r="P1059" s="62"/>
      <c r="Q1059" s="63"/>
      <c r="R1059" s="62"/>
      <c r="S1059" s="64"/>
    </row>
    <row r="1060" spans="1:19" s="65" customFormat="1" ht="15">
      <c r="A1060" s="105">
        <v>1015</v>
      </c>
      <c r="B1060" s="117"/>
      <c r="C1060" s="117" t="s">
        <v>1015</v>
      </c>
      <c r="D1060" s="111" t="str">
        <f>"9036635087"</f>
        <v>9036635087</v>
      </c>
      <c r="E1060" s="189" t="s">
        <v>1014</v>
      </c>
      <c r="F1060" s="119"/>
      <c r="G1060" s="122" t="s">
        <v>1010</v>
      </c>
      <c r="H1060" s="107">
        <v>4111</v>
      </c>
      <c r="I1060" s="120" t="s">
        <v>260</v>
      </c>
      <c r="J1060" s="120" t="s">
        <v>1690</v>
      </c>
      <c r="K1060" s="57">
        <v>30</v>
      </c>
      <c r="L1060" s="58">
        <v>30</v>
      </c>
      <c r="M1060" s="61"/>
      <c r="N1060" s="61"/>
      <c r="O1060" s="62"/>
      <c r="P1060" s="62"/>
      <c r="Q1060" s="63"/>
      <c r="R1060" s="62"/>
      <c r="S1060" s="64"/>
    </row>
    <row r="1061" spans="1:19" s="65" customFormat="1" ht="15">
      <c r="A1061" s="105">
        <v>1016</v>
      </c>
      <c r="B1061" s="117"/>
      <c r="C1061" s="117" t="s">
        <v>1015</v>
      </c>
      <c r="D1061" s="111" t="str">
        <f>"9036650007"</f>
        <v>9036650007</v>
      </c>
      <c r="E1061" s="189" t="s">
        <v>1014</v>
      </c>
      <c r="F1061" s="119"/>
      <c r="G1061" s="122" t="s">
        <v>1011</v>
      </c>
      <c r="H1061" s="107">
        <v>4111</v>
      </c>
      <c r="I1061" s="120" t="s">
        <v>260</v>
      </c>
      <c r="J1061" s="120" t="s">
        <v>1690</v>
      </c>
      <c r="K1061" s="57">
        <v>30</v>
      </c>
      <c r="L1061" s="58">
        <v>30</v>
      </c>
      <c r="M1061" s="61"/>
      <c r="N1061" s="61"/>
      <c r="O1061" s="62"/>
      <c r="P1061" s="62"/>
      <c r="Q1061" s="63"/>
      <c r="R1061" s="62"/>
      <c r="S1061" s="64"/>
    </row>
    <row r="1062" spans="1:19" s="65" customFormat="1" ht="15">
      <c r="A1062" s="105">
        <v>1017</v>
      </c>
      <c r="B1062" s="117"/>
      <c r="C1062" s="117" t="s">
        <v>1015</v>
      </c>
      <c r="D1062" s="111" t="str">
        <f>"9036650008"</f>
        <v>9036650008</v>
      </c>
      <c r="E1062" s="189" t="s">
        <v>1014</v>
      </c>
      <c r="F1062" s="119"/>
      <c r="G1062" s="122" t="s">
        <v>1012</v>
      </c>
      <c r="H1062" s="107">
        <v>4111</v>
      </c>
      <c r="I1062" s="120" t="s">
        <v>260</v>
      </c>
      <c r="J1062" s="120" t="s">
        <v>1690</v>
      </c>
      <c r="K1062" s="57">
        <v>30</v>
      </c>
      <c r="L1062" s="58">
        <v>30</v>
      </c>
      <c r="M1062" s="61"/>
      <c r="N1062" s="61"/>
      <c r="O1062" s="62"/>
      <c r="P1062" s="62"/>
      <c r="Q1062" s="63"/>
      <c r="R1062" s="62"/>
      <c r="S1062" s="64"/>
    </row>
    <row r="1063" spans="1:19" s="65" customFormat="1" ht="15">
      <c r="A1063" s="105">
        <v>1018</v>
      </c>
      <c r="B1063" s="117"/>
      <c r="C1063" s="117" t="s">
        <v>1015</v>
      </c>
      <c r="D1063" s="111" t="str">
        <f>"9036675001"</f>
        <v>9036675001</v>
      </c>
      <c r="E1063" s="189" t="s">
        <v>1014</v>
      </c>
      <c r="F1063" s="119"/>
      <c r="G1063" s="122" t="s">
        <v>1013</v>
      </c>
      <c r="H1063" s="107">
        <v>4111</v>
      </c>
      <c r="I1063" s="120" t="s">
        <v>260</v>
      </c>
      <c r="J1063" s="120" t="s">
        <v>1690</v>
      </c>
      <c r="K1063" s="57">
        <v>30</v>
      </c>
      <c r="L1063" s="58">
        <v>30</v>
      </c>
      <c r="M1063" s="61"/>
      <c r="N1063" s="61"/>
      <c r="O1063" s="62"/>
      <c r="P1063" s="62"/>
      <c r="Q1063" s="63"/>
      <c r="R1063" s="62"/>
      <c r="S1063" s="64"/>
    </row>
    <row r="1064" spans="1:19" s="65" customFormat="1" ht="15">
      <c r="A1064" s="105">
        <v>1019</v>
      </c>
      <c r="B1064" s="117"/>
      <c r="C1064" s="107" t="s">
        <v>1015</v>
      </c>
      <c r="D1064" s="111" t="str">
        <f>"9031141009"</f>
        <v>9031141009</v>
      </c>
      <c r="E1064" s="189" t="s">
        <v>1019</v>
      </c>
      <c r="F1064" s="119"/>
      <c r="G1064" s="107" t="s">
        <v>1016</v>
      </c>
      <c r="H1064" s="107">
        <v>4111</v>
      </c>
      <c r="I1064" s="120" t="s">
        <v>260</v>
      </c>
      <c r="J1064" s="120" t="s">
        <v>1690</v>
      </c>
      <c r="K1064" s="57">
        <v>30</v>
      </c>
      <c r="L1064" s="58">
        <v>30</v>
      </c>
      <c r="M1064" s="61"/>
      <c r="N1064" s="61"/>
      <c r="O1064" s="62"/>
      <c r="P1064" s="62"/>
      <c r="Q1064" s="63"/>
      <c r="R1064" s="62"/>
      <c r="S1064" s="64"/>
    </row>
    <row r="1065" spans="1:19" s="65" customFormat="1" ht="15">
      <c r="A1065" s="105">
        <v>1020</v>
      </c>
      <c r="B1065" s="117"/>
      <c r="C1065" s="107" t="s">
        <v>1018</v>
      </c>
      <c r="D1065" s="111" t="str">
        <f>"9031141014"</f>
        <v>9031141014</v>
      </c>
      <c r="E1065" s="189" t="s">
        <v>1019</v>
      </c>
      <c r="F1065" s="119"/>
      <c r="G1065" s="107" t="s">
        <v>1017</v>
      </c>
      <c r="H1065" s="107">
        <v>4111</v>
      </c>
      <c r="I1065" s="120" t="s">
        <v>260</v>
      </c>
      <c r="J1065" s="120" t="s">
        <v>1690</v>
      </c>
      <c r="K1065" s="57">
        <v>30</v>
      </c>
      <c r="L1065" s="58">
        <v>30</v>
      </c>
      <c r="M1065" s="61"/>
      <c r="N1065" s="61"/>
      <c r="O1065" s="62"/>
      <c r="P1065" s="62"/>
      <c r="Q1065" s="63"/>
      <c r="R1065" s="62"/>
      <c r="S1065" s="64"/>
    </row>
    <row r="1066" spans="1:19" s="9" customFormat="1" ht="15">
      <c r="A1066" s="105">
        <v>1021</v>
      </c>
      <c r="B1066" s="106" t="s">
        <v>1897</v>
      </c>
      <c r="C1066" s="106"/>
      <c r="D1066" s="8" t="s">
        <v>153</v>
      </c>
      <c r="E1066" s="189" t="s">
        <v>2658</v>
      </c>
      <c r="F1066" s="106"/>
      <c r="G1066" s="106" t="s">
        <v>154</v>
      </c>
      <c r="H1066" s="107">
        <v>4200</v>
      </c>
      <c r="I1066" s="8" t="s">
        <v>310</v>
      </c>
      <c r="J1066" s="108" t="s">
        <v>1110</v>
      </c>
      <c r="K1066" s="57">
        <v>30</v>
      </c>
      <c r="L1066" s="58">
        <v>30</v>
      </c>
    </row>
    <row r="1067" spans="1:19" s="9" customFormat="1" ht="15">
      <c r="A1067" s="105">
        <v>1022</v>
      </c>
      <c r="B1067" s="106" t="s">
        <v>1897</v>
      </c>
      <c r="C1067" s="106"/>
      <c r="D1067" s="8" t="s">
        <v>155</v>
      </c>
      <c r="E1067" s="189" t="s">
        <v>2658</v>
      </c>
      <c r="F1067" s="106"/>
      <c r="G1067" s="106" t="s">
        <v>154</v>
      </c>
      <c r="H1067" s="107">
        <v>4200</v>
      </c>
      <c r="I1067" s="8" t="s">
        <v>310</v>
      </c>
      <c r="J1067" s="108" t="s">
        <v>1110</v>
      </c>
      <c r="K1067" s="57">
        <v>30</v>
      </c>
      <c r="L1067" s="58">
        <v>30</v>
      </c>
    </row>
    <row r="1068" spans="1:19" s="9" customFormat="1" ht="15">
      <c r="A1068" s="105">
        <v>1023</v>
      </c>
      <c r="B1068" s="106" t="s">
        <v>1896</v>
      </c>
      <c r="C1068" s="106"/>
      <c r="D1068" s="8" t="s">
        <v>2619</v>
      </c>
      <c r="E1068" s="189" t="s">
        <v>830</v>
      </c>
      <c r="F1068" s="106"/>
      <c r="G1068" s="106" t="s">
        <v>387</v>
      </c>
      <c r="H1068" s="107" t="s">
        <v>385</v>
      </c>
      <c r="I1068" s="8" t="s">
        <v>317</v>
      </c>
      <c r="J1068" s="108" t="s">
        <v>1110</v>
      </c>
      <c r="K1068" s="57">
        <v>30</v>
      </c>
      <c r="L1068" s="58">
        <v>30</v>
      </c>
    </row>
    <row r="1069" spans="1:19" s="9" customFormat="1" ht="15">
      <c r="A1069" s="105">
        <v>1024</v>
      </c>
      <c r="B1069" s="106" t="s">
        <v>1896</v>
      </c>
      <c r="C1069" s="106"/>
      <c r="D1069" s="8" t="s">
        <v>2620</v>
      </c>
      <c r="E1069" s="189" t="s">
        <v>830</v>
      </c>
      <c r="F1069" s="106"/>
      <c r="G1069" s="106" t="s">
        <v>383</v>
      </c>
      <c r="H1069" s="107" t="s">
        <v>379</v>
      </c>
      <c r="I1069" s="8" t="s">
        <v>260</v>
      </c>
      <c r="J1069" s="108" t="s">
        <v>1110</v>
      </c>
      <c r="K1069" s="57">
        <v>30</v>
      </c>
      <c r="L1069" s="58">
        <v>30</v>
      </c>
    </row>
    <row r="1070" spans="1:19" s="9" customFormat="1" ht="15">
      <c r="A1070" s="105">
        <v>1025</v>
      </c>
      <c r="B1070" s="106"/>
      <c r="C1070" s="106"/>
      <c r="D1070" s="8" t="s">
        <v>936</v>
      </c>
      <c r="E1070" s="189" t="s">
        <v>937</v>
      </c>
      <c r="F1070" s="106"/>
      <c r="G1070" s="107" t="s">
        <v>936</v>
      </c>
      <c r="H1070" s="107"/>
      <c r="I1070" s="8" t="s">
        <v>310</v>
      </c>
      <c r="J1070" s="108" t="s">
        <v>1864</v>
      </c>
      <c r="K1070" s="57">
        <v>30</v>
      </c>
      <c r="L1070" s="58">
        <v>30</v>
      </c>
    </row>
    <row r="1071" spans="1:19" s="9" customFormat="1" ht="15">
      <c r="A1071" s="105">
        <v>1026</v>
      </c>
      <c r="B1071" s="106"/>
      <c r="C1071" s="106"/>
      <c r="D1071" s="8" t="s">
        <v>724</v>
      </c>
      <c r="E1071" s="189" t="s">
        <v>725</v>
      </c>
      <c r="F1071" s="106"/>
      <c r="G1071" s="107" t="s">
        <v>724</v>
      </c>
      <c r="H1071" s="107"/>
      <c r="I1071" s="8" t="s">
        <v>310</v>
      </c>
      <c r="J1071" s="108" t="s">
        <v>373</v>
      </c>
      <c r="K1071" s="57">
        <v>100</v>
      </c>
      <c r="L1071" s="58">
        <v>100</v>
      </c>
    </row>
    <row r="1072" spans="1:19" s="9" customFormat="1" ht="15">
      <c r="A1072" s="105">
        <v>1027</v>
      </c>
      <c r="B1072" s="106"/>
      <c r="C1072" s="106"/>
      <c r="D1072" s="8" t="s">
        <v>726</v>
      </c>
      <c r="E1072" s="189" t="s">
        <v>725</v>
      </c>
      <c r="F1072" s="106"/>
      <c r="G1072" s="107" t="s">
        <v>726</v>
      </c>
      <c r="H1072" s="107"/>
      <c r="I1072" s="8" t="s">
        <v>310</v>
      </c>
      <c r="J1072" s="108" t="s">
        <v>373</v>
      </c>
      <c r="K1072" s="57">
        <v>100</v>
      </c>
      <c r="L1072" s="58">
        <v>100</v>
      </c>
    </row>
    <row r="1073" spans="1:12" s="9" customFormat="1" ht="15">
      <c r="A1073" s="105">
        <v>1028</v>
      </c>
      <c r="B1073" s="106"/>
      <c r="C1073" s="106"/>
      <c r="D1073" s="8" t="s">
        <v>727</v>
      </c>
      <c r="E1073" s="189" t="s">
        <v>725</v>
      </c>
      <c r="F1073" s="106"/>
      <c r="G1073" s="107" t="s">
        <v>727</v>
      </c>
      <c r="H1073" s="107"/>
      <c r="I1073" s="8" t="s">
        <v>310</v>
      </c>
      <c r="J1073" s="108" t="s">
        <v>373</v>
      </c>
      <c r="K1073" s="57">
        <v>100</v>
      </c>
      <c r="L1073" s="58">
        <v>100</v>
      </c>
    </row>
    <row r="1074" spans="1:12" s="9" customFormat="1" ht="15">
      <c r="A1074" s="105">
        <v>1029</v>
      </c>
      <c r="B1074" s="106"/>
      <c r="C1074" s="106"/>
      <c r="D1074" s="8" t="s">
        <v>728</v>
      </c>
      <c r="E1074" s="189" t="s">
        <v>725</v>
      </c>
      <c r="F1074" s="106"/>
      <c r="G1074" s="107" t="s">
        <v>728</v>
      </c>
      <c r="H1074" s="107"/>
      <c r="I1074" s="8" t="s">
        <v>310</v>
      </c>
      <c r="J1074" s="108" t="s">
        <v>373</v>
      </c>
      <c r="K1074" s="57">
        <v>100</v>
      </c>
      <c r="L1074" s="58">
        <v>100</v>
      </c>
    </row>
    <row r="1075" spans="1:12" s="9" customFormat="1" ht="15">
      <c r="A1075" s="105">
        <v>1030</v>
      </c>
      <c r="B1075" s="106"/>
      <c r="C1075" s="106"/>
      <c r="D1075" s="8" t="s">
        <v>729</v>
      </c>
      <c r="E1075" s="189" t="s">
        <v>730</v>
      </c>
      <c r="F1075" s="106"/>
      <c r="G1075" s="107" t="s">
        <v>729</v>
      </c>
      <c r="H1075" s="107"/>
      <c r="I1075" s="8" t="s">
        <v>310</v>
      </c>
      <c r="J1075" s="108" t="s">
        <v>373</v>
      </c>
      <c r="K1075" s="57">
        <v>100</v>
      </c>
      <c r="L1075" s="58">
        <v>100</v>
      </c>
    </row>
    <row r="1076" spans="1:12" s="9" customFormat="1" ht="15">
      <c r="A1076" s="105">
        <v>1031</v>
      </c>
      <c r="B1076" s="106"/>
      <c r="C1076" s="106"/>
      <c r="D1076" s="8" t="s">
        <v>731</v>
      </c>
      <c r="E1076" s="189" t="s">
        <v>732</v>
      </c>
      <c r="F1076" s="106"/>
      <c r="G1076" s="107" t="s">
        <v>731</v>
      </c>
      <c r="H1076" s="107"/>
      <c r="I1076" s="8" t="s">
        <v>310</v>
      </c>
      <c r="J1076" s="108" t="s">
        <v>373</v>
      </c>
      <c r="K1076" s="57">
        <v>100</v>
      </c>
      <c r="L1076" s="58">
        <v>100</v>
      </c>
    </row>
    <row r="1077" spans="1:12" s="9" customFormat="1" ht="15">
      <c r="A1077" s="105">
        <v>1032</v>
      </c>
      <c r="B1077" s="106"/>
      <c r="C1077" s="106"/>
      <c r="D1077" s="8" t="s">
        <v>733</v>
      </c>
      <c r="E1077" s="189" t="s">
        <v>725</v>
      </c>
      <c r="F1077" s="106"/>
      <c r="G1077" s="107" t="s">
        <v>733</v>
      </c>
      <c r="H1077" s="107"/>
      <c r="I1077" s="8" t="s">
        <v>310</v>
      </c>
      <c r="J1077" s="108" t="s">
        <v>373</v>
      </c>
      <c r="K1077" s="57">
        <v>100</v>
      </c>
      <c r="L1077" s="58">
        <v>100</v>
      </c>
    </row>
    <row r="1078" spans="1:12" s="9" customFormat="1" ht="15">
      <c r="A1078" s="105">
        <v>1033</v>
      </c>
      <c r="B1078" s="106"/>
      <c r="C1078" s="106"/>
      <c r="D1078" s="8" t="s">
        <v>734</v>
      </c>
      <c r="E1078" s="189" t="s">
        <v>735</v>
      </c>
      <c r="F1078" s="106"/>
      <c r="G1078" s="107" t="s">
        <v>734</v>
      </c>
      <c r="H1078" s="107"/>
      <c r="I1078" s="8" t="s">
        <v>310</v>
      </c>
      <c r="J1078" s="108" t="s">
        <v>373</v>
      </c>
      <c r="K1078" s="57">
        <v>100</v>
      </c>
      <c r="L1078" s="58">
        <v>100</v>
      </c>
    </row>
    <row r="1079" spans="1:12" s="9" customFormat="1" ht="15">
      <c r="A1079" s="105">
        <v>1034</v>
      </c>
      <c r="B1079" s="106"/>
      <c r="C1079" s="106"/>
      <c r="D1079" s="8" t="s">
        <v>736</v>
      </c>
      <c r="E1079" s="189" t="s">
        <v>732</v>
      </c>
      <c r="F1079" s="106"/>
      <c r="G1079" s="107" t="s">
        <v>736</v>
      </c>
      <c r="H1079" s="107"/>
      <c r="I1079" s="8" t="s">
        <v>310</v>
      </c>
      <c r="J1079" s="108" t="s">
        <v>373</v>
      </c>
      <c r="K1079" s="57">
        <v>100</v>
      </c>
      <c r="L1079" s="58">
        <v>100</v>
      </c>
    </row>
    <row r="1080" spans="1:12" s="9" customFormat="1" ht="15">
      <c r="A1080" s="105">
        <v>1035</v>
      </c>
      <c r="B1080" s="106"/>
      <c r="C1080" s="106"/>
      <c r="D1080" s="8" t="s">
        <v>737</v>
      </c>
      <c r="E1080" s="189" t="s">
        <v>738</v>
      </c>
      <c r="F1080" s="106"/>
      <c r="G1080" s="107" t="s">
        <v>737</v>
      </c>
      <c r="H1080" s="107"/>
      <c r="I1080" s="8" t="s">
        <v>310</v>
      </c>
      <c r="J1080" s="108" t="s">
        <v>373</v>
      </c>
      <c r="K1080" s="57">
        <v>100</v>
      </c>
      <c r="L1080" s="58">
        <v>100</v>
      </c>
    </row>
    <row r="1081" spans="1:12" s="9" customFormat="1" ht="15">
      <c r="A1081" s="105">
        <v>1036</v>
      </c>
      <c r="B1081" s="106"/>
      <c r="C1081" s="106"/>
      <c r="D1081" s="8" t="s">
        <v>739</v>
      </c>
      <c r="E1081" s="189" t="s">
        <v>732</v>
      </c>
      <c r="F1081" s="106"/>
      <c r="G1081" s="107" t="s">
        <v>739</v>
      </c>
      <c r="H1081" s="107"/>
      <c r="I1081" s="8" t="s">
        <v>310</v>
      </c>
      <c r="J1081" s="108" t="s">
        <v>373</v>
      </c>
      <c r="K1081" s="57">
        <v>100</v>
      </c>
      <c r="L1081" s="58">
        <v>100</v>
      </c>
    </row>
    <row r="1082" spans="1:12" s="9" customFormat="1" ht="15">
      <c r="A1082" s="105">
        <v>1037</v>
      </c>
      <c r="B1082" s="106"/>
      <c r="C1082" s="106"/>
      <c r="D1082" s="8" t="s">
        <v>740</v>
      </c>
      <c r="E1082" s="189" t="s">
        <v>741</v>
      </c>
      <c r="F1082" s="106"/>
      <c r="G1082" s="107" t="s">
        <v>740</v>
      </c>
      <c r="H1082" s="107"/>
      <c r="I1082" s="8" t="s">
        <v>310</v>
      </c>
      <c r="J1082" s="108" t="s">
        <v>373</v>
      </c>
      <c r="K1082" s="57">
        <v>100</v>
      </c>
      <c r="L1082" s="58">
        <v>100</v>
      </c>
    </row>
    <row r="1083" spans="1:12" s="9" customFormat="1" ht="15">
      <c r="A1083" s="105">
        <v>1038</v>
      </c>
      <c r="B1083" s="106"/>
      <c r="C1083" s="106"/>
      <c r="D1083" s="8" t="s">
        <v>742</v>
      </c>
      <c r="E1083" s="189" t="s">
        <v>743</v>
      </c>
      <c r="F1083" s="106"/>
      <c r="G1083" s="107" t="s">
        <v>742</v>
      </c>
      <c r="H1083" s="107"/>
      <c r="I1083" s="8" t="s">
        <v>310</v>
      </c>
      <c r="J1083" s="108" t="s">
        <v>373</v>
      </c>
      <c r="K1083" s="57">
        <v>100</v>
      </c>
      <c r="L1083" s="58">
        <v>100</v>
      </c>
    </row>
    <row r="1084" spans="1:12" s="9" customFormat="1" ht="15">
      <c r="A1084" s="105">
        <v>1039</v>
      </c>
      <c r="B1084" s="106"/>
      <c r="C1084" s="106"/>
      <c r="D1084" s="8" t="s">
        <v>744</v>
      </c>
      <c r="E1084" s="189" t="s">
        <v>732</v>
      </c>
      <c r="F1084" s="106"/>
      <c r="G1084" s="107" t="s">
        <v>744</v>
      </c>
      <c r="H1084" s="107"/>
      <c r="I1084" s="8" t="s">
        <v>310</v>
      </c>
      <c r="J1084" s="108" t="s">
        <v>373</v>
      </c>
      <c r="K1084" s="57">
        <v>100</v>
      </c>
      <c r="L1084" s="58">
        <v>100</v>
      </c>
    </row>
    <row r="1085" spans="1:12" s="9" customFormat="1" ht="15">
      <c r="A1085" s="105">
        <v>1040</v>
      </c>
      <c r="B1085" s="106"/>
      <c r="C1085" s="106"/>
      <c r="D1085" s="8" t="s">
        <v>745</v>
      </c>
      <c r="E1085" s="189" t="s">
        <v>746</v>
      </c>
      <c r="F1085" s="106"/>
      <c r="G1085" s="107" t="s">
        <v>745</v>
      </c>
      <c r="H1085" s="107"/>
      <c r="I1085" s="8" t="s">
        <v>310</v>
      </c>
      <c r="J1085" s="108" t="s">
        <v>373</v>
      </c>
      <c r="K1085" s="57">
        <v>100</v>
      </c>
      <c r="L1085" s="58">
        <v>100</v>
      </c>
    </row>
    <row r="1086" spans="1:12" s="9" customFormat="1" ht="15">
      <c r="A1086" s="105">
        <v>1041</v>
      </c>
      <c r="B1086" s="106"/>
      <c r="C1086" s="106"/>
      <c r="D1086" s="8" t="s">
        <v>747</v>
      </c>
      <c r="E1086" s="189" t="s">
        <v>735</v>
      </c>
      <c r="F1086" s="106"/>
      <c r="G1086" s="107" t="s">
        <v>747</v>
      </c>
      <c r="H1086" s="107"/>
      <c r="I1086" s="8" t="s">
        <v>310</v>
      </c>
      <c r="J1086" s="108" t="s">
        <v>373</v>
      </c>
      <c r="K1086" s="57">
        <v>100</v>
      </c>
      <c r="L1086" s="58">
        <v>100</v>
      </c>
    </row>
    <row r="1087" spans="1:12" s="9" customFormat="1" ht="15">
      <c r="A1087" s="105">
        <v>1042</v>
      </c>
      <c r="B1087" s="106"/>
      <c r="C1087" s="106"/>
      <c r="D1087" s="8" t="s">
        <v>748</v>
      </c>
      <c r="E1087" s="189" t="s">
        <v>749</v>
      </c>
      <c r="F1087" s="106"/>
      <c r="G1087" s="107" t="s">
        <v>748</v>
      </c>
      <c r="H1087" s="107"/>
      <c r="I1087" s="8" t="s">
        <v>310</v>
      </c>
      <c r="J1087" s="108" t="s">
        <v>373</v>
      </c>
      <c r="K1087" s="57">
        <v>100</v>
      </c>
      <c r="L1087" s="58">
        <v>100</v>
      </c>
    </row>
    <row r="1088" spans="1:12" s="9" customFormat="1" ht="15">
      <c r="A1088" s="105">
        <v>1043</v>
      </c>
      <c r="B1088" s="106"/>
      <c r="C1088" s="106"/>
      <c r="D1088" s="8" t="s">
        <v>750</v>
      </c>
      <c r="E1088" s="189" t="s">
        <v>751</v>
      </c>
      <c r="F1088" s="106"/>
      <c r="G1088" s="107" t="s">
        <v>750</v>
      </c>
      <c r="H1088" s="107"/>
      <c r="I1088" s="8" t="s">
        <v>310</v>
      </c>
      <c r="J1088" s="108" t="s">
        <v>373</v>
      </c>
      <c r="K1088" s="57">
        <v>100</v>
      </c>
      <c r="L1088" s="58">
        <v>100</v>
      </c>
    </row>
    <row r="1089" spans="1:12" s="9" customFormat="1" ht="15">
      <c r="A1089" s="105">
        <v>1044</v>
      </c>
      <c r="B1089" s="106"/>
      <c r="C1089" s="106"/>
      <c r="D1089" s="8" t="s">
        <v>752</v>
      </c>
      <c r="E1089" s="189" t="s">
        <v>753</v>
      </c>
      <c r="F1089" s="106"/>
      <c r="G1089" s="107" t="s">
        <v>752</v>
      </c>
      <c r="H1089" s="107"/>
      <c r="I1089" s="8" t="s">
        <v>310</v>
      </c>
      <c r="J1089" s="108" t="s">
        <v>373</v>
      </c>
      <c r="K1089" s="57">
        <v>100</v>
      </c>
      <c r="L1089" s="58">
        <v>100</v>
      </c>
    </row>
    <row r="1090" spans="1:12" s="9" customFormat="1" ht="15">
      <c r="A1090" s="105">
        <v>1045</v>
      </c>
      <c r="B1090" s="106"/>
      <c r="C1090" s="106"/>
      <c r="D1090" s="8" t="s">
        <v>754</v>
      </c>
      <c r="E1090" s="189" t="s">
        <v>751</v>
      </c>
      <c r="F1090" s="106"/>
      <c r="G1090" s="107" t="s">
        <v>754</v>
      </c>
      <c r="H1090" s="107"/>
      <c r="I1090" s="8" t="s">
        <v>310</v>
      </c>
      <c r="J1090" s="108" t="s">
        <v>373</v>
      </c>
      <c r="K1090" s="57">
        <v>100</v>
      </c>
      <c r="L1090" s="58">
        <v>100</v>
      </c>
    </row>
    <row r="1091" spans="1:12" s="9" customFormat="1" ht="15">
      <c r="A1091" s="105">
        <v>1046</v>
      </c>
      <c r="B1091" s="106"/>
      <c r="C1091" s="106"/>
      <c r="D1091" s="8" t="s">
        <v>755</v>
      </c>
      <c r="E1091" s="189" t="s">
        <v>756</v>
      </c>
      <c r="F1091" s="106"/>
      <c r="G1091" s="107" t="s">
        <v>755</v>
      </c>
      <c r="H1091" s="107"/>
      <c r="I1091" s="8" t="s">
        <v>310</v>
      </c>
      <c r="J1091" s="108" t="s">
        <v>373</v>
      </c>
      <c r="K1091" s="57">
        <v>100</v>
      </c>
      <c r="L1091" s="58">
        <v>100</v>
      </c>
    </row>
    <row r="1092" spans="1:12" s="9" customFormat="1" ht="15">
      <c r="A1092" s="105">
        <v>1047</v>
      </c>
      <c r="B1092" s="106"/>
      <c r="C1092" s="106"/>
      <c r="D1092" s="8" t="s">
        <v>757</v>
      </c>
      <c r="E1092" s="189" t="s">
        <v>751</v>
      </c>
      <c r="F1092" s="106"/>
      <c r="G1092" s="107" t="s">
        <v>757</v>
      </c>
      <c r="H1092" s="107"/>
      <c r="I1092" s="8" t="s">
        <v>310</v>
      </c>
      <c r="J1092" s="108" t="s">
        <v>373</v>
      </c>
      <c r="K1092" s="57">
        <v>100</v>
      </c>
      <c r="L1092" s="58">
        <v>100</v>
      </c>
    </row>
    <row r="1093" spans="1:12" s="9" customFormat="1" ht="15">
      <c r="A1093" s="105">
        <v>1048</v>
      </c>
      <c r="B1093" s="106"/>
      <c r="C1093" s="106"/>
      <c r="D1093" s="8" t="s">
        <v>758</v>
      </c>
      <c r="E1093" s="189" t="s">
        <v>759</v>
      </c>
      <c r="F1093" s="106"/>
      <c r="G1093" s="107" t="s">
        <v>758</v>
      </c>
      <c r="H1093" s="107"/>
      <c r="I1093" s="8" t="s">
        <v>310</v>
      </c>
      <c r="J1093" s="108" t="s">
        <v>373</v>
      </c>
      <c r="K1093" s="57">
        <v>100</v>
      </c>
      <c r="L1093" s="58">
        <v>100</v>
      </c>
    </row>
    <row r="1094" spans="1:12" s="9" customFormat="1" ht="15">
      <c r="A1094" s="105">
        <v>1049</v>
      </c>
      <c r="B1094" s="106"/>
      <c r="C1094" s="106"/>
      <c r="D1094" s="8" t="s">
        <v>760</v>
      </c>
      <c r="E1094" s="189" t="s">
        <v>751</v>
      </c>
      <c r="F1094" s="106"/>
      <c r="G1094" s="107" t="s">
        <v>760</v>
      </c>
      <c r="H1094" s="107"/>
      <c r="I1094" s="8" t="s">
        <v>310</v>
      </c>
      <c r="J1094" s="108" t="s">
        <v>373</v>
      </c>
      <c r="K1094" s="57">
        <v>100</v>
      </c>
      <c r="L1094" s="58">
        <v>100</v>
      </c>
    </row>
    <row r="1095" spans="1:12" s="9" customFormat="1" ht="15">
      <c r="A1095" s="105">
        <v>1050</v>
      </c>
      <c r="B1095" s="106"/>
      <c r="C1095" s="106"/>
      <c r="D1095" s="8" t="s">
        <v>761</v>
      </c>
      <c r="E1095" s="189" t="s">
        <v>732</v>
      </c>
      <c r="F1095" s="106"/>
      <c r="G1095" s="107" t="s">
        <v>761</v>
      </c>
      <c r="H1095" s="107"/>
      <c r="I1095" s="8" t="s">
        <v>310</v>
      </c>
      <c r="J1095" s="108" t="s">
        <v>373</v>
      </c>
      <c r="K1095" s="57">
        <v>100</v>
      </c>
      <c r="L1095" s="58">
        <v>100</v>
      </c>
    </row>
    <row r="1096" spans="1:12" s="9" customFormat="1" ht="15">
      <c r="A1096" s="105">
        <v>1051</v>
      </c>
      <c r="B1096" s="106"/>
      <c r="C1096" s="106"/>
      <c r="D1096" s="8" t="s">
        <v>762</v>
      </c>
      <c r="E1096" s="189" t="s">
        <v>743</v>
      </c>
      <c r="F1096" s="106"/>
      <c r="G1096" s="107" t="s">
        <v>762</v>
      </c>
      <c r="H1096" s="107"/>
      <c r="I1096" s="8" t="s">
        <v>310</v>
      </c>
      <c r="J1096" s="108" t="s">
        <v>373</v>
      </c>
      <c r="K1096" s="57">
        <v>100</v>
      </c>
      <c r="L1096" s="58">
        <v>100</v>
      </c>
    </row>
    <row r="1097" spans="1:12" s="9" customFormat="1" ht="15">
      <c r="A1097" s="105">
        <v>1052</v>
      </c>
      <c r="B1097" s="106"/>
      <c r="C1097" s="106"/>
      <c r="D1097" s="8" t="s">
        <v>763</v>
      </c>
      <c r="E1097" s="189" t="s">
        <v>743</v>
      </c>
      <c r="F1097" s="106"/>
      <c r="G1097" s="107" t="s">
        <v>763</v>
      </c>
      <c r="H1097" s="107"/>
      <c r="I1097" s="8" t="s">
        <v>310</v>
      </c>
      <c r="J1097" s="108" t="s">
        <v>373</v>
      </c>
      <c r="K1097" s="57">
        <v>100</v>
      </c>
      <c r="L1097" s="58">
        <v>100</v>
      </c>
    </row>
    <row r="1098" spans="1:12" s="9" customFormat="1" ht="15">
      <c r="A1098" s="105">
        <v>1053</v>
      </c>
      <c r="B1098" s="106"/>
      <c r="C1098" s="106"/>
      <c r="D1098" s="8" t="s">
        <v>764</v>
      </c>
      <c r="E1098" s="189" t="s">
        <v>751</v>
      </c>
      <c r="F1098" s="106"/>
      <c r="G1098" s="107" t="s">
        <v>764</v>
      </c>
      <c r="H1098" s="107"/>
      <c r="I1098" s="8" t="s">
        <v>310</v>
      </c>
      <c r="J1098" s="108" t="s">
        <v>373</v>
      </c>
      <c r="K1098" s="57">
        <v>100</v>
      </c>
      <c r="L1098" s="58">
        <v>100</v>
      </c>
    </row>
    <row r="1099" spans="1:12" s="9" customFormat="1" ht="15">
      <c r="A1099" s="105">
        <v>1054</v>
      </c>
      <c r="B1099" s="106"/>
      <c r="C1099" s="106"/>
      <c r="D1099" s="8" t="s">
        <v>765</v>
      </c>
      <c r="E1099" s="189" t="s">
        <v>766</v>
      </c>
      <c r="F1099" s="106"/>
      <c r="G1099" s="107" t="s">
        <v>765</v>
      </c>
      <c r="H1099" s="107"/>
      <c r="I1099" s="8" t="s">
        <v>310</v>
      </c>
      <c r="J1099" s="108" t="s">
        <v>373</v>
      </c>
      <c r="K1099" s="57">
        <v>100</v>
      </c>
      <c r="L1099" s="58">
        <v>100</v>
      </c>
    </row>
    <row r="1100" spans="1:12" s="9" customFormat="1" ht="15">
      <c r="A1100" s="105">
        <v>1055</v>
      </c>
      <c r="B1100" s="106"/>
      <c r="C1100" s="106"/>
      <c r="D1100" s="8" t="s">
        <v>767</v>
      </c>
      <c r="E1100" s="189" t="s">
        <v>732</v>
      </c>
      <c r="F1100" s="106"/>
      <c r="G1100" s="107" t="s">
        <v>767</v>
      </c>
      <c r="H1100" s="107"/>
      <c r="I1100" s="8" t="s">
        <v>310</v>
      </c>
      <c r="J1100" s="108" t="s">
        <v>373</v>
      </c>
      <c r="K1100" s="57">
        <v>100</v>
      </c>
      <c r="L1100" s="58">
        <v>100</v>
      </c>
    </row>
    <row r="1101" spans="1:12" s="9" customFormat="1" ht="15">
      <c r="A1101" s="105">
        <v>1056</v>
      </c>
      <c r="B1101" s="106"/>
      <c r="C1101" s="106"/>
      <c r="D1101" s="8" t="s">
        <v>768</v>
      </c>
      <c r="E1101" s="189" t="s">
        <v>769</v>
      </c>
      <c r="F1101" s="106"/>
      <c r="G1101" s="107" t="s">
        <v>768</v>
      </c>
      <c r="H1101" s="107"/>
      <c r="I1101" s="8" t="s">
        <v>310</v>
      </c>
      <c r="J1101" s="108" t="s">
        <v>373</v>
      </c>
      <c r="K1101" s="57">
        <v>100</v>
      </c>
      <c r="L1101" s="58">
        <v>100</v>
      </c>
    </row>
    <row r="1102" spans="1:12" s="9" customFormat="1" ht="15">
      <c r="A1102" s="105">
        <v>1057</v>
      </c>
      <c r="B1102" s="106"/>
      <c r="C1102" s="106"/>
      <c r="D1102" s="8" t="s">
        <v>770</v>
      </c>
      <c r="E1102" s="189" t="s">
        <v>751</v>
      </c>
      <c r="F1102" s="106"/>
      <c r="G1102" s="107" t="s">
        <v>770</v>
      </c>
      <c r="H1102" s="107"/>
      <c r="I1102" s="8" t="s">
        <v>310</v>
      </c>
      <c r="J1102" s="108" t="s">
        <v>373</v>
      </c>
      <c r="K1102" s="57">
        <v>100</v>
      </c>
      <c r="L1102" s="58">
        <v>100</v>
      </c>
    </row>
    <row r="1103" spans="1:12" s="9" customFormat="1" ht="15">
      <c r="A1103" s="105">
        <v>1058</v>
      </c>
      <c r="B1103" s="106"/>
      <c r="C1103" s="106"/>
      <c r="D1103" s="8" t="s">
        <v>771</v>
      </c>
      <c r="E1103" s="189" t="s">
        <v>772</v>
      </c>
      <c r="F1103" s="106"/>
      <c r="G1103" s="107" t="s">
        <v>771</v>
      </c>
      <c r="H1103" s="107"/>
      <c r="I1103" s="8" t="s">
        <v>310</v>
      </c>
      <c r="J1103" s="108" t="s">
        <v>373</v>
      </c>
      <c r="K1103" s="57">
        <v>100</v>
      </c>
      <c r="L1103" s="58">
        <v>100</v>
      </c>
    </row>
    <row r="1104" spans="1:12" s="9" customFormat="1" ht="15">
      <c r="A1104" s="105">
        <v>1059</v>
      </c>
      <c r="B1104" s="106"/>
      <c r="C1104" s="106"/>
      <c r="D1104" s="8" t="s">
        <v>773</v>
      </c>
      <c r="E1104" s="189" t="s">
        <v>743</v>
      </c>
      <c r="F1104" s="106"/>
      <c r="G1104" s="107" t="s">
        <v>773</v>
      </c>
      <c r="H1104" s="107"/>
      <c r="I1104" s="8" t="s">
        <v>310</v>
      </c>
      <c r="J1104" s="108" t="s">
        <v>373</v>
      </c>
      <c r="K1104" s="57">
        <v>100</v>
      </c>
      <c r="L1104" s="58">
        <v>100</v>
      </c>
    </row>
    <row r="1105" spans="1:12" s="9" customFormat="1" ht="15">
      <c r="A1105" s="105">
        <v>1060</v>
      </c>
      <c r="B1105" s="106"/>
      <c r="C1105" s="106"/>
      <c r="D1105" s="8" t="s">
        <v>774</v>
      </c>
      <c r="E1105" s="189" t="s">
        <v>732</v>
      </c>
      <c r="F1105" s="106"/>
      <c r="G1105" s="107" t="s">
        <v>774</v>
      </c>
      <c r="H1105" s="107"/>
      <c r="I1105" s="8" t="s">
        <v>310</v>
      </c>
      <c r="J1105" s="108" t="s">
        <v>373</v>
      </c>
      <c r="K1105" s="57">
        <v>100</v>
      </c>
      <c r="L1105" s="58">
        <v>100</v>
      </c>
    </row>
    <row r="1106" spans="1:12" s="9" customFormat="1" ht="15">
      <c r="A1106" s="105">
        <v>1061</v>
      </c>
      <c r="B1106" s="106"/>
      <c r="C1106" s="106"/>
      <c r="D1106" s="8" t="s">
        <v>775</v>
      </c>
      <c r="E1106" s="189" t="s">
        <v>751</v>
      </c>
      <c r="F1106" s="106"/>
      <c r="G1106" s="107" t="s">
        <v>775</v>
      </c>
      <c r="H1106" s="107"/>
      <c r="I1106" s="8" t="s">
        <v>310</v>
      </c>
      <c r="J1106" s="108" t="s">
        <v>373</v>
      </c>
      <c r="K1106" s="57">
        <v>100</v>
      </c>
      <c r="L1106" s="58">
        <v>100</v>
      </c>
    </row>
    <row r="1107" spans="1:12" s="9" customFormat="1" ht="15">
      <c r="A1107" s="105">
        <v>1062</v>
      </c>
      <c r="B1107" s="106"/>
      <c r="C1107" s="106"/>
      <c r="D1107" s="8" t="s">
        <v>776</v>
      </c>
      <c r="E1107" s="189" t="s">
        <v>725</v>
      </c>
      <c r="F1107" s="106"/>
      <c r="G1107" s="107" t="s">
        <v>776</v>
      </c>
      <c r="H1107" s="107"/>
      <c r="I1107" s="8" t="s">
        <v>310</v>
      </c>
      <c r="J1107" s="108" t="s">
        <v>373</v>
      </c>
      <c r="K1107" s="57">
        <v>100</v>
      </c>
      <c r="L1107" s="58">
        <v>100</v>
      </c>
    </row>
    <row r="1108" spans="1:12" s="9" customFormat="1" ht="15">
      <c r="A1108" s="105">
        <v>1063</v>
      </c>
      <c r="B1108" s="106"/>
      <c r="C1108" s="106"/>
      <c r="D1108" s="8" t="s">
        <v>777</v>
      </c>
      <c r="E1108" s="189" t="s">
        <v>778</v>
      </c>
      <c r="F1108" s="106"/>
      <c r="G1108" s="107" t="s">
        <v>777</v>
      </c>
      <c r="H1108" s="107"/>
      <c r="I1108" s="8" t="s">
        <v>310</v>
      </c>
      <c r="J1108" s="108" t="s">
        <v>373</v>
      </c>
      <c r="K1108" s="57">
        <v>100</v>
      </c>
      <c r="L1108" s="58">
        <v>100</v>
      </c>
    </row>
    <row r="1109" spans="1:12" s="9" customFormat="1" ht="15">
      <c r="A1109" s="105">
        <v>1064</v>
      </c>
      <c r="B1109" s="106"/>
      <c r="C1109" s="106"/>
      <c r="D1109" s="8" t="s">
        <v>779</v>
      </c>
      <c r="E1109" s="189" t="s">
        <v>780</v>
      </c>
      <c r="F1109" s="106"/>
      <c r="G1109" s="107" t="s">
        <v>779</v>
      </c>
      <c r="H1109" s="107"/>
      <c r="I1109" s="8" t="s">
        <v>310</v>
      </c>
      <c r="J1109" s="108" t="s">
        <v>373</v>
      </c>
      <c r="K1109" s="57">
        <v>100</v>
      </c>
      <c r="L1109" s="58">
        <v>100</v>
      </c>
    </row>
    <row r="1110" spans="1:12" s="9" customFormat="1" ht="15">
      <c r="A1110" s="105">
        <v>1065</v>
      </c>
      <c r="B1110" s="106"/>
      <c r="C1110" s="106"/>
      <c r="D1110" s="8" t="s">
        <v>781</v>
      </c>
      <c r="E1110" s="189" t="s">
        <v>732</v>
      </c>
      <c r="F1110" s="106"/>
      <c r="G1110" s="107" t="s">
        <v>781</v>
      </c>
      <c r="H1110" s="107"/>
      <c r="I1110" s="8" t="s">
        <v>310</v>
      </c>
      <c r="J1110" s="108" t="s">
        <v>373</v>
      </c>
      <c r="K1110" s="57">
        <v>100</v>
      </c>
      <c r="L1110" s="58">
        <v>100</v>
      </c>
    </row>
    <row r="1111" spans="1:12" s="9" customFormat="1" ht="15">
      <c r="A1111" s="105">
        <v>1066</v>
      </c>
      <c r="B1111" s="106"/>
      <c r="C1111" s="106"/>
      <c r="D1111" s="8" t="s">
        <v>782</v>
      </c>
      <c r="E1111" s="189" t="s">
        <v>783</v>
      </c>
      <c r="F1111" s="106"/>
      <c r="G1111" s="107" t="s">
        <v>782</v>
      </c>
      <c r="H1111" s="107"/>
      <c r="I1111" s="8" t="s">
        <v>310</v>
      </c>
      <c r="J1111" s="108" t="s">
        <v>373</v>
      </c>
      <c r="K1111" s="57">
        <v>100</v>
      </c>
      <c r="L1111" s="58">
        <v>100</v>
      </c>
    </row>
    <row r="1112" spans="1:12" s="9" customFormat="1" ht="15">
      <c r="A1112" s="105">
        <v>1067</v>
      </c>
      <c r="B1112" s="106"/>
      <c r="C1112" s="106"/>
      <c r="D1112" s="8" t="s">
        <v>784</v>
      </c>
      <c r="E1112" s="189" t="s">
        <v>778</v>
      </c>
      <c r="F1112" s="106"/>
      <c r="G1112" s="107" t="s">
        <v>784</v>
      </c>
      <c r="H1112" s="107"/>
      <c r="I1112" s="8" t="s">
        <v>310</v>
      </c>
      <c r="J1112" s="108" t="s">
        <v>373</v>
      </c>
      <c r="K1112" s="57">
        <v>100</v>
      </c>
      <c r="L1112" s="58">
        <v>100</v>
      </c>
    </row>
    <row r="1113" spans="1:12" s="9" customFormat="1" ht="15">
      <c r="A1113" s="105">
        <v>1068</v>
      </c>
      <c r="B1113" s="106"/>
      <c r="C1113" s="106"/>
      <c r="D1113" s="8" t="s">
        <v>785</v>
      </c>
      <c r="E1113" s="189" t="s">
        <v>786</v>
      </c>
      <c r="F1113" s="106"/>
      <c r="G1113" s="107" t="s">
        <v>785</v>
      </c>
      <c r="H1113" s="107"/>
      <c r="I1113" s="8" t="s">
        <v>310</v>
      </c>
      <c r="J1113" s="108" t="s">
        <v>373</v>
      </c>
      <c r="K1113" s="57">
        <v>100</v>
      </c>
      <c r="L1113" s="58">
        <v>100</v>
      </c>
    </row>
    <row r="1114" spans="1:12" s="9" customFormat="1" ht="15">
      <c r="A1114" s="105">
        <v>1069</v>
      </c>
      <c r="B1114" s="106"/>
      <c r="C1114" s="106"/>
      <c r="D1114" s="8" t="s">
        <v>787</v>
      </c>
      <c r="E1114" s="189" t="s">
        <v>751</v>
      </c>
      <c r="F1114" s="106"/>
      <c r="G1114" s="107" t="s">
        <v>787</v>
      </c>
      <c r="H1114" s="107"/>
      <c r="I1114" s="8" t="s">
        <v>310</v>
      </c>
      <c r="J1114" s="108" t="s">
        <v>373</v>
      </c>
      <c r="K1114" s="57">
        <v>100</v>
      </c>
      <c r="L1114" s="58">
        <v>100</v>
      </c>
    </row>
    <row r="1115" spans="1:12" s="9" customFormat="1" ht="15">
      <c r="A1115" s="105">
        <v>1070</v>
      </c>
      <c r="B1115" s="106"/>
      <c r="C1115" s="106"/>
      <c r="D1115" s="8" t="s">
        <v>788</v>
      </c>
      <c r="E1115" s="189" t="s">
        <v>735</v>
      </c>
      <c r="F1115" s="106"/>
      <c r="G1115" s="107" t="s">
        <v>788</v>
      </c>
      <c r="H1115" s="107"/>
      <c r="I1115" s="8" t="s">
        <v>310</v>
      </c>
      <c r="J1115" s="108" t="s">
        <v>373</v>
      </c>
      <c r="K1115" s="57">
        <v>100</v>
      </c>
      <c r="L1115" s="58">
        <v>100</v>
      </c>
    </row>
    <row r="1116" spans="1:12" s="9" customFormat="1" ht="15">
      <c r="A1116" s="105">
        <v>1071</v>
      </c>
      <c r="B1116" s="106"/>
      <c r="C1116" s="106"/>
      <c r="D1116" s="8" t="s">
        <v>789</v>
      </c>
      <c r="E1116" s="189" t="s">
        <v>790</v>
      </c>
      <c r="F1116" s="106"/>
      <c r="G1116" s="107" t="s">
        <v>789</v>
      </c>
      <c r="H1116" s="107"/>
      <c r="I1116" s="8" t="s">
        <v>310</v>
      </c>
      <c r="J1116" s="108" t="s">
        <v>373</v>
      </c>
      <c r="K1116" s="57">
        <v>100</v>
      </c>
      <c r="L1116" s="58">
        <v>100</v>
      </c>
    </row>
    <row r="1117" spans="1:12" s="9" customFormat="1" ht="15">
      <c r="A1117" s="105">
        <v>1072</v>
      </c>
      <c r="B1117" s="106"/>
      <c r="C1117" s="106"/>
      <c r="D1117" s="8" t="s">
        <v>791</v>
      </c>
      <c r="E1117" s="189" t="s">
        <v>792</v>
      </c>
      <c r="F1117" s="106"/>
      <c r="G1117" s="107" t="s">
        <v>791</v>
      </c>
      <c r="H1117" s="107"/>
      <c r="I1117" s="8" t="s">
        <v>310</v>
      </c>
      <c r="J1117" s="108" t="s">
        <v>373</v>
      </c>
      <c r="K1117" s="57">
        <v>100</v>
      </c>
      <c r="L1117" s="58">
        <v>100</v>
      </c>
    </row>
    <row r="1118" spans="1:12" s="9" customFormat="1" ht="15">
      <c r="A1118" s="105">
        <v>1073</v>
      </c>
      <c r="B1118" s="106"/>
      <c r="C1118" s="106"/>
      <c r="D1118" s="8" t="s">
        <v>793</v>
      </c>
      <c r="E1118" s="189" t="s">
        <v>732</v>
      </c>
      <c r="F1118" s="106"/>
      <c r="G1118" s="107" t="s">
        <v>793</v>
      </c>
      <c r="H1118" s="107"/>
      <c r="I1118" s="8" t="s">
        <v>310</v>
      </c>
      <c r="J1118" s="108" t="s">
        <v>373</v>
      </c>
      <c r="K1118" s="57">
        <v>100</v>
      </c>
      <c r="L1118" s="58">
        <v>100</v>
      </c>
    </row>
    <row r="1119" spans="1:12" s="9" customFormat="1" ht="15">
      <c r="A1119" s="105">
        <v>1074</v>
      </c>
      <c r="B1119" s="106"/>
      <c r="C1119" s="106"/>
      <c r="D1119" s="8" t="s">
        <v>794</v>
      </c>
      <c r="E1119" s="189" t="s">
        <v>751</v>
      </c>
      <c r="F1119" s="106"/>
      <c r="G1119" s="107" t="s">
        <v>794</v>
      </c>
      <c r="H1119" s="107"/>
      <c r="I1119" s="8" t="s">
        <v>310</v>
      </c>
      <c r="J1119" s="108" t="s">
        <v>373</v>
      </c>
      <c r="K1119" s="57">
        <v>100</v>
      </c>
      <c r="L1119" s="58">
        <v>100</v>
      </c>
    </row>
    <row r="1120" spans="1:12" s="9" customFormat="1" ht="15">
      <c r="A1120" s="105">
        <v>1075</v>
      </c>
      <c r="B1120" s="106"/>
      <c r="C1120" s="106"/>
      <c r="D1120" s="8" t="s">
        <v>795</v>
      </c>
      <c r="E1120" s="189" t="s">
        <v>751</v>
      </c>
      <c r="F1120" s="106"/>
      <c r="G1120" s="107" t="s">
        <v>795</v>
      </c>
      <c r="H1120" s="107"/>
      <c r="I1120" s="8" t="s">
        <v>310</v>
      </c>
      <c r="J1120" s="108" t="s">
        <v>373</v>
      </c>
      <c r="K1120" s="57">
        <v>100</v>
      </c>
      <c r="L1120" s="58">
        <v>100</v>
      </c>
    </row>
    <row r="1121" spans="1:12" s="9" customFormat="1" ht="15">
      <c r="A1121" s="105">
        <v>1076</v>
      </c>
      <c r="B1121" s="106"/>
      <c r="C1121" s="106"/>
      <c r="D1121" s="8" t="s">
        <v>796</v>
      </c>
      <c r="E1121" s="189" t="s">
        <v>778</v>
      </c>
      <c r="F1121" s="106"/>
      <c r="G1121" s="107" t="s">
        <v>796</v>
      </c>
      <c r="H1121" s="107"/>
      <c r="I1121" s="8" t="s">
        <v>310</v>
      </c>
      <c r="J1121" s="108" t="s">
        <v>373</v>
      </c>
      <c r="K1121" s="57">
        <v>100</v>
      </c>
      <c r="L1121" s="58">
        <v>100</v>
      </c>
    </row>
    <row r="1122" spans="1:12" s="9" customFormat="1" ht="15">
      <c r="A1122" s="105">
        <v>1077</v>
      </c>
      <c r="B1122" s="106"/>
      <c r="C1122" s="106"/>
      <c r="D1122" s="8" t="s">
        <v>797</v>
      </c>
      <c r="E1122" s="189" t="s">
        <v>738</v>
      </c>
      <c r="F1122" s="106"/>
      <c r="G1122" s="107" t="s">
        <v>797</v>
      </c>
      <c r="H1122" s="107"/>
      <c r="I1122" s="8" t="s">
        <v>310</v>
      </c>
      <c r="J1122" s="108" t="s">
        <v>373</v>
      </c>
      <c r="K1122" s="57">
        <v>100</v>
      </c>
      <c r="L1122" s="58">
        <v>100</v>
      </c>
    </row>
    <row r="1123" spans="1:12" s="9" customFormat="1" ht="15">
      <c r="A1123" s="105">
        <v>1078</v>
      </c>
      <c r="B1123" s="106"/>
      <c r="C1123" s="106"/>
      <c r="D1123" s="8" t="s">
        <v>798</v>
      </c>
      <c r="E1123" s="189" t="s">
        <v>780</v>
      </c>
      <c r="F1123" s="106"/>
      <c r="G1123" s="107" t="s">
        <v>798</v>
      </c>
      <c r="H1123" s="107"/>
      <c r="I1123" s="8" t="s">
        <v>310</v>
      </c>
      <c r="J1123" s="108" t="s">
        <v>373</v>
      </c>
      <c r="K1123" s="57">
        <v>100</v>
      </c>
      <c r="L1123" s="58">
        <v>100</v>
      </c>
    </row>
    <row r="1124" spans="1:12" s="9" customFormat="1" ht="15">
      <c r="A1124" s="105">
        <v>1079</v>
      </c>
      <c r="B1124" s="106"/>
      <c r="C1124" s="106"/>
      <c r="D1124" s="8" t="s">
        <v>799</v>
      </c>
      <c r="E1124" s="189" t="s">
        <v>800</v>
      </c>
      <c r="F1124" s="106"/>
      <c r="G1124" s="107" t="s">
        <v>799</v>
      </c>
      <c r="H1124" s="107"/>
      <c r="I1124" s="8" t="s">
        <v>310</v>
      </c>
      <c r="J1124" s="108" t="s">
        <v>373</v>
      </c>
      <c r="K1124" s="57">
        <v>100</v>
      </c>
      <c r="L1124" s="58">
        <v>100</v>
      </c>
    </row>
    <row r="1125" spans="1:12" s="9" customFormat="1" ht="15">
      <c r="A1125" s="105">
        <v>1080</v>
      </c>
      <c r="B1125" s="106"/>
      <c r="C1125" s="106"/>
      <c r="D1125" s="8" t="s">
        <v>801</v>
      </c>
      <c r="E1125" s="189" t="s">
        <v>802</v>
      </c>
      <c r="F1125" s="106"/>
      <c r="G1125" s="107" t="s">
        <v>801</v>
      </c>
      <c r="H1125" s="107"/>
      <c r="I1125" s="8" t="s">
        <v>310</v>
      </c>
      <c r="J1125" s="108" t="s">
        <v>373</v>
      </c>
      <c r="K1125" s="57">
        <v>100</v>
      </c>
      <c r="L1125" s="58">
        <v>100</v>
      </c>
    </row>
    <row r="1126" spans="1:12" s="9" customFormat="1" ht="15">
      <c r="A1126" s="105">
        <v>1081</v>
      </c>
      <c r="B1126" s="106"/>
      <c r="C1126" s="106"/>
      <c r="D1126" s="8" t="s">
        <v>803</v>
      </c>
      <c r="E1126" s="189" t="s">
        <v>751</v>
      </c>
      <c r="F1126" s="106"/>
      <c r="G1126" s="107" t="s">
        <v>803</v>
      </c>
      <c r="H1126" s="107"/>
      <c r="I1126" s="8" t="s">
        <v>310</v>
      </c>
      <c r="J1126" s="108" t="s">
        <v>373</v>
      </c>
      <c r="K1126" s="57">
        <v>100</v>
      </c>
      <c r="L1126" s="58">
        <v>100</v>
      </c>
    </row>
    <row r="1127" spans="1:12" s="9" customFormat="1" ht="15">
      <c r="A1127" s="105">
        <v>1082</v>
      </c>
      <c r="B1127" s="106"/>
      <c r="C1127" s="106"/>
      <c r="D1127" s="8" t="s">
        <v>804</v>
      </c>
      <c r="E1127" s="189" t="s">
        <v>769</v>
      </c>
      <c r="F1127" s="106"/>
      <c r="G1127" s="107" t="s">
        <v>804</v>
      </c>
      <c r="H1127" s="107"/>
      <c r="I1127" s="8" t="s">
        <v>310</v>
      </c>
      <c r="J1127" s="108" t="s">
        <v>373</v>
      </c>
      <c r="K1127" s="57">
        <v>100</v>
      </c>
      <c r="L1127" s="58">
        <v>100</v>
      </c>
    </row>
    <row r="1128" spans="1:12" s="9" customFormat="1" ht="15">
      <c r="A1128" s="105">
        <v>1083</v>
      </c>
      <c r="B1128" s="106"/>
      <c r="C1128" s="106"/>
      <c r="D1128" s="8" t="s">
        <v>805</v>
      </c>
      <c r="E1128" s="189" t="s">
        <v>732</v>
      </c>
      <c r="F1128" s="106"/>
      <c r="G1128" s="107" t="s">
        <v>805</v>
      </c>
      <c r="H1128" s="107"/>
      <c r="I1128" s="8" t="s">
        <v>310</v>
      </c>
      <c r="J1128" s="108" t="s">
        <v>373</v>
      </c>
      <c r="K1128" s="57">
        <v>100</v>
      </c>
      <c r="L1128" s="58">
        <v>100</v>
      </c>
    </row>
    <row r="1129" spans="1:12" s="9" customFormat="1" ht="15">
      <c r="A1129" s="105">
        <v>1084</v>
      </c>
      <c r="B1129" s="106"/>
      <c r="C1129" s="106"/>
      <c r="D1129" s="8" t="s">
        <v>806</v>
      </c>
      <c r="E1129" s="189" t="s">
        <v>756</v>
      </c>
      <c r="F1129" s="106"/>
      <c r="G1129" s="107" t="s">
        <v>806</v>
      </c>
      <c r="H1129" s="107"/>
      <c r="I1129" s="8" t="s">
        <v>310</v>
      </c>
      <c r="J1129" s="108" t="s">
        <v>373</v>
      </c>
      <c r="K1129" s="57">
        <v>100</v>
      </c>
      <c r="L1129" s="58">
        <v>100</v>
      </c>
    </row>
    <row r="1130" spans="1:12" s="9" customFormat="1" ht="15">
      <c r="A1130" s="105">
        <v>1085</v>
      </c>
      <c r="B1130" s="106"/>
      <c r="C1130" s="106"/>
      <c r="D1130" s="8" t="s">
        <v>807</v>
      </c>
      <c r="E1130" s="189" t="s">
        <v>732</v>
      </c>
      <c r="F1130" s="106"/>
      <c r="G1130" s="107" t="s">
        <v>807</v>
      </c>
      <c r="H1130" s="107"/>
      <c r="I1130" s="8" t="s">
        <v>310</v>
      </c>
      <c r="J1130" s="108" t="s">
        <v>373</v>
      </c>
      <c r="K1130" s="57">
        <v>100</v>
      </c>
      <c r="L1130" s="58">
        <v>100</v>
      </c>
    </row>
    <row r="1131" spans="1:12" s="9" customFormat="1" ht="15">
      <c r="A1131" s="105">
        <v>1086</v>
      </c>
      <c r="B1131" s="106"/>
      <c r="C1131" s="106"/>
      <c r="D1131" s="8" t="s">
        <v>808</v>
      </c>
      <c r="E1131" s="189" t="s">
        <v>809</v>
      </c>
      <c r="F1131" s="106"/>
      <c r="G1131" s="107" t="s">
        <v>808</v>
      </c>
      <c r="H1131" s="107"/>
      <c r="I1131" s="8" t="s">
        <v>310</v>
      </c>
      <c r="J1131" s="108" t="s">
        <v>373</v>
      </c>
      <c r="K1131" s="57">
        <v>100</v>
      </c>
      <c r="L1131" s="58">
        <v>100</v>
      </c>
    </row>
    <row r="1132" spans="1:12" s="9" customFormat="1" ht="15">
      <c r="A1132" s="105">
        <v>1086</v>
      </c>
      <c r="B1132" s="106"/>
      <c r="C1132" s="106"/>
      <c r="D1132" s="8" t="s">
        <v>4755</v>
      </c>
      <c r="E1132" s="189" t="s">
        <v>809</v>
      </c>
      <c r="F1132" s="106"/>
      <c r="G1132" s="107" t="s">
        <v>808</v>
      </c>
      <c r="H1132" s="107"/>
      <c r="I1132" s="8" t="s">
        <v>310</v>
      </c>
      <c r="J1132" s="108" t="s">
        <v>373</v>
      </c>
      <c r="K1132" s="57">
        <v>100</v>
      </c>
      <c r="L1132" s="58">
        <v>100</v>
      </c>
    </row>
    <row r="1133" spans="1:12" s="9" customFormat="1" ht="15">
      <c r="A1133" s="105">
        <v>1086</v>
      </c>
      <c r="B1133" s="106"/>
      <c r="C1133" s="106"/>
      <c r="D1133" s="8" t="s">
        <v>5311</v>
      </c>
      <c r="E1133" s="189" t="s">
        <v>809</v>
      </c>
      <c r="F1133" s="106"/>
      <c r="G1133" s="107" t="s">
        <v>808</v>
      </c>
      <c r="H1133" s="107"/>
      <c r="I1133" s="8" t="s">
        <v>310</v>
      </c>
      <c r="J1133" s="108" t="s">
        <v>373</v>
      </c>
      <c r="K1133" s="57">
        <v>100</v>
      </c>
      <c r="L1133" s="58">
        <v>100</v>
      </c>
    </row>
    <row r="1134" spans="1:12" s="9" customFormat="1" ht="15">
      <c r="A1134" s="105">
        <v>1086</v>
      </c>
      <c r="B1134" s="106"/>
      <c r="C1134" s="106"/>
      <c r="D1134" s="8" t="s">
        <v>5313</v>
      </c>
      <c r="E1134" s="189" t="s">
        <v>809</v>
      </c>
      <c r="F1134" s="106"/>
      <c r="G1134" s="107" t="s">
        <v>808</v>
      </c>
      <c r="H1134" s="107"/>
      <c r="I1134" s="8" t="s">
        <v>310</v>
      </c>
      <c r="J1134" s="108" t="s">
        <v>373</v>
      </c>
      <c r="K1134" s="57">
        <v>100</v>
      </c>
      <c r="L1134" s="58">
        <v>100</v>
      </c>
    </row>
    <row r="1135" spans="1:12" s="9" customFormat="1" ht="15">
      <c r="A1135" s="105">
        <v>1087</v>
      </c>
      <c r="B1135" s="106"/>
      <c r="C1135" s="106"/>
      <c r="D1135" s="8" t="s">
        <v>810</v>
      </c>
      <c r="E1135" s="189" t="s">
        <v>811</v>
      </c>
      <c r="F1135" s="106"/>
      <c r="G1135" s="107" t="s">
        <v>810</v>
      </c>
      <c r="H1135" s="107"/>
      <c r="I1135" s="8" t="s">
        <v>310</v>
      </c>
      <c r="J1135" s="108" t="s">
        <v>373</v>
      </c>
      <c r="K1135" s="57">
        <v>100</v>
      </c>
      <c r="L1135" s="58">
        <v>100</v>
      </c>
    </row>
    <row r="1136" spans="1:12" s="9" customFormat="1" ht="15">
      <c r="A1136" s="105">
        <v>1088</v>
      </c>
      <c r="B1136" s="106"/>
      <c r="C1136" s="106"/>
      <c r="D1136" s="8" t="s">
        <v>812</v>
      </c>
      <c r="E1136" s="189" t="s">
        <v>813</v>
      </c>
      <c r="F1136" s="106"/>
      <c r="G1136" s="107" t="s">
        <v>812</v>
      </c>
      <c r="H1136" s="107"/>
      <c r="I1136" s="8" t="s">
        <v>310</v>
      </c>
      <c r="J1136" s="108" t="s">
        <v>373</v>
      </c>
      <c r="K1136" s="57">
        <v>100</v>
      </c>
      <c r="L1136" s="58">
        <v>100</v>
      </c>
    </row>
    <row r="1137" spans="1:12" s="9" customFormat="1" ht="15">
      <c r="A1137" s="105">
        <v>1089</v>
      </c>
      <c r="B1137" s="106"/>
      <c r="C1137" s="106"/>
      <c r="D1137" s="8" t="s">
        <v>814</v>
      </c>
      <c r="E1137" s="189" t="s">
        <v>815</v>
      </c>
      <c r="F1137" s="106"/>
      <c r="G1137" s="107" t="s">
        <v>814</v>
      </c>
      <c r="H1137" s="107"/>
      <c r="I1137" s="8" t="s">
        <v>310</v>
      </c>
      <c r="J1137" s="108" t="s">
        <v>373</v>
      </c>
      <c r="K1137" s="57">
        <v>100</v>
      </c>
      <c r="L1137" s="58">
        <v>100</v>
      </c>
    </row>
    <row r="1138" spans="1:12" s="9" customFormat="1" ht="15">
      <c r="A1138" s="105">
        <v>1090</v>
      </c>
      <c r="B1138" s="106"/>
      <c r="C1138" s="106"/>
      <c r="D1138" s="8" t="s">
        <v>816</v>
      </c>
      <c r="E1138" s="189" t="s">
        <v>817</v>
      </c>
      <c r="F1138" s="106"/>
      <c r="G1138" s="107" t="s">
        <v>816</v>
      </c>
      <c r="H1138" s="107"/>
      <c r="I1138" s="8" t="s">
        <v>310</v>
      </c>
      <c r="J1138" s="108" t="s">
        <v>373</v>
      </c>
      <c r="K1138" s="57">
        <v>100</v>
      </c>
      <c r="L1138" s="58">
        <v>100</v>
      </c>
    </row>
    <row r="1139" spans="1:12" s="9" customFormat="1" ht="15">
      <c r="A1139" s="105">
        <v>1090</v>
      </c>
      <c r="B1139" s="106"/>
      <c r="C1139" s="106"/>
      <c r="D1139" s="8" t="s">
        <v>4756</v>
      </c>
      <c r="E1139" s="189" t="s">
        <v>817</v>
      </c>
      <c r="F1139" s="106"/>
      <c r="G1139" s="107" t="s">
        <v>4756</v>
      </c>
      <c r="H1139" s="107"/>
      <c r="I1139" s="8" t="s">
        <v>310</v>
      </c>
      <c r="J1139" s="108" t="s">
        <v>373</v>
      </c>
      <c r="K1139" s="57">
        <v>100</v>
      </c>
      <c r="L1139" s="58">
        <v>100</v>
      </c>
    </row>
    <row r="1140" spans="1:12" s="9" customFormat="1" ht="15">
      <c r="A1140" s="105">
        <v>1091</v>
      </c>
      <c r="B1140" s="106"/>
      <c r="C1140" s="106"/>
      <c r="D1140" s="8" t="s">
        <v>818</v>
      </c>
      <c r="E1140" s="189" t="s">
        <v>819</v>
      </c>
      <c r="F1140" s="106"/>
      <c r="G1140" s="107" t="s">
        <v>818</v>
      </c>
      <c r="H1140" s="107"/>
      <c r="I1140" s="8" t="s">
        <v>310</v>
      </c>
      <c r="J1140" s="108" t="s">
        <v>373</v>
      </c>
      <c r="K1140" s="57">
        <v>100</v>
      </c>
      <c r="L1140" s="58">
        <v>100</v>
      </c>
    </row>
    <row r="1141" spans="1:12" s="9" customFormat="1" ht="15">
      <c r="A1141" s="105">
        <v>1092</v>
      </c>
      <c r="B1141" s="106"/>
      <c r="C1141" s="106"/>
      <c r="D1141" s="8" t="s">
        <v>820</v>
      </c>
      <c r="E1141" s="189" t="s">
        <v>809</v>
      </c>
      <c r="F1141" s="106"/>
      <c r="G1141" s="107" t="s">
        <v>820</v>
      </c>
      <c r="H1141" s="107"/>
      <c r="I1141" s="8" t="s">
        <v>310</v>
      </c>
      <c r="J1141" s="108" t="s">
        <v>373</v>
      </c>
      <c r="K1141" s="57">
        <v>100</v>
      </c>
      <c r="L1141" s="58">
        <v>100</v>
      </c>
    </row>
    <row r="1142" spans="1:12" s="9" customFormat="1" ht="15">
      <c r="A1142" s="105">
        <v>1092</v>
      </c>
      <c r="B1142" s="106"/>
      <c r="C1142" s="106"/>
      <c r="D1142" s="8" t="s">
        <v>4754</v>
      </c>
      <c r="E1142" s="189" t="s">
        <v>809</v>
      </c>
      <c r="F1142" s="106"/>
      <c r="G1142" s="107" t="s">
        <v>820</v>
      </c>
      <c r="H1142" s="107"/>
      <c r="I1142" s="8" t="s">
        <v>310</v>
      </c>
      <c r="J1142" s="108" t="s">
        <v>373</v>
      </c>
      <c r="K1142" s="57">
        <v>100</v>
      </c>
      <c r="L1142" s="58">
        <v>100</v>
      </c>
    </row>
    <row r="1143" spans="1:12" s="9" customFormat="1" ht="15">
      <c r="A1143" s="105">
        <v>1092</v>
      </c>
      <c r="B1143" s="106"/>
      <c r="C1143" s="106"/>
      <c r="D1143" s="8" t="s">
        <v>5312</v>
      </c>
      <c r="E1143" s="189" t="s">
        <v>809</v>
      </c>
      <c r="F1143" s="106"/>
      <c r="G1143" s="107" t="s">
        <v>820</v>
      </c>
      <c r="H1143" s="107"/>
      <c r="I1143" s="8" t="s">
        <v>310</v>
      </c>
      <c r="J1143" s="108" t="s">
        <v>373</v>
      </c>
      <c r="K1143" s="57">
        <v>100</v>
      </c>
      <c r="L1143" s="58">
        <v>100</v>
      </c>
    </row>
    <row r="1144" spans="1:12" s="9" customFormat="1" ht="15">
      <c r="A1144" s="105">
        <v>1093</v>
      </c>
      <c r="B1144" s="106"/>
      <c r="C1144" s="106"/>
      <c r="D1144" s="8" t="s">
        <v>821</v>
      </c>
      <c r="E1144" s="189" t="s">
        <v>822</v>
      </c>
      <c r="F1144" s="106"/>
      <c r="G1144" s="107" t="s">
        <v>821</v>
      </c>
      <c r="H1144" s="107"/>
      <c r="I1144" s="8" t="s">
        <v>310</v>
      </c>
      <c r="J1144" s="108" t="s">
        <v>373</v>
      </c>
      <c r="K1144" s="57">
        <v>100</v>
      </c>
      <c r="L1144" s="58">
        <v>100</v>
      </c>
    </row>
    <row r="1145" spans="1:12" s="9" customFormat="1" ht="15">
      <c r="A1145" s="105">
        <v>1094</v>
      </c>
      <c r="B1145" s="106"/>
      <c r="C1145" s="106"/>
      <c r="D1145" s="8" t="s">
        <v>823</v>
      </c>
      <c r="E1145" s="189" t="s">
        <v>2484</v>
      </c>
      <c r="F1145" s="106"/>
      <c r="G1145" s="107" t="s">
        <v>823</v>
      </c>
      <c r="H1145" s="107"/>
      <c r="I1145" s="8" t="s">
        <v>310</v>
      </c>
      <c r="J1145" s="108" t="s">
        <v>373</v>
      </c>
      <c r="K1145" s="57">
        <v>100</v>
      </c>
      <c r="L1145" s="58">
        <v>100</v>
      </c>
    </row>
    <row r="1146" spans="1:12" s="9" customFormat="1" ht="15">
      <c r="A1146" s="105">
        <v>1095</v>
      </c>
      <c r="B1146" s="106"/>
      <c r="C1146" s="106"/>
      <c r="D1146" s="8" t="s">
        <v>824</v>
      </c>
      <c r="E1146" s="189" t="s">
        <v>756</v>
      </c>
      <c r="F1146" s="106"/>
      <c r="G1146" s="107" t="s">
        <v>824</v>
      </c>
      <c r="H1146" s="107"/>
      <c r="I1146" s="8" t="s">
        <v>310</v>
      </c>
      <c r="J1146" s="108" t="s">
        <v>373</v>
      </c>
      <c r="K1146" s="57">
        <v>100</v>
      </c>
      <c r="L1146" s="58">
        <v>100</v>
      </c>
    </row>
    <row r="1147" spans="1:12" s="9" customFormat="1" ht="15">
      <c r="A1147" s="105">
        <v>1096</v>
      </c>
      <c r="B1147" s="106"/>
      <c r="C1147" s="106"/>
      <c r="D1147" s="8" t="s">
        <v>825</v>
      </c>
      <c r="E1147" s="189" t="s">
        <v>826</v>
      </c>
      <c r="F1147" s="106"/>
      <c r="G1147" s="107" t="s">
        <v>825</v>
      </c>
      <c r="H1147" s="107"/>
      <c r="I1147" s="8" t="s">
        <v>310</v>
      </c>
      <c r="J1147" s="108" t="s">
        <v>373</v>
      </c>
      <c r="K1147" s="57">
        <v>100</v>
      </c>
      <c r="L1147" s="58">
        <v>100</v>
      </c>
    </row>
    <row r="1148" spans="1:12" s="9" customFormat="1" ht="15">
      <c r="A1148" s="105">
        <v>1097</v>
      </c>
      <c r="B1148" s="106"/>
      <c r="C1148" s="106"/>
      <c r="D1148" s="8" t="s">
        <v>827</v>
      </c>
      <c r="E1148" s="189" t="s">
        <v>743</v>
      </c>
      <c r="F1148" s="106"/>
      <c r="G1148" s="107" t="s">
        <v>827</v>
      </c>
      <c r="H1148" s="107"/>
      <c r="I1148" s="8" t="s">
        <v>310</v>
      </c>
      <c r="J1148" s="108" t="s">
        <v>373</v>
      </c>
      <c r="K1148" s="57">
        <v>100</v>
      </c>
      <c r="L1148" s="58">
        <v>100</v>
      </c>
    </row>
    <row r="1149" spans="1:12" s="9" customFormat="1" ht="15">
      <c r="A1149" s="105">
        <v>1098</v>
      </c>
      <c r="B1149" s="106"/>
      <c r="C1149" s="106"/>
      <c r="D1149" s="8" t="s">
        <v>828</v>
      </c>
      <c r="E1149" s="189" t="s">
        <v>778</v>
      </c>
      <c r="F1149" s="106"/>
      <c r="G1149" s="107" t="s">
        <v>828</v>
      </c>
      <c r="H1149" s="107"/>
      <c r="I1149" s="8" t="s">
        <v>310</v>
      </c>
      <c r="J1149" s="108" t="s">
        <v>373</v>
      </c>
      <c r="K1149" s="57">
        <v>100</v>
      </c>
      <c r="L1149" s="58">
        <v>100</v>
      </c>
    </row>
    <row r="1150" spans="1:12" s="9" customFormat="1" ht="15">
      <c r="A1150" s="105">
        <v>1099</v>
      </c>
      <c r="B1150" s="106"/>
      <c r="C1150" s="106"/>
      <c r="D1150" s="8" t="s">
        <v>829</v>
      </c>
      <c r="E1150" s="189" t="s">
        <v>830</v>
      </c>
      <c r="F1150" s="106"/>
      <c r="G1150" s="107" t="s">
        <v>829</v>
      </c>
      <c r="H1150" s="107"/>
      <c r="I1150" s="8" t="s">
        <v>310</v>
      </c>
      <c r="J1150" s="108" t="s">
        <v>1110</v>
      </c>
      <c r="K1150" s="57">
        <v>30</v>
      </c>
      <c r="L1150" s="58">
        <v>30</v>
      </c>
    </row>
    <row r="1151" spans="1:12" s="9" customFormat="1" ht="15">
      <c r="A1151" s="105">
        <v>1100</v>
      </c>
      <c r="B1151" s="106"/>
      <c r="C1151" s="106"/>
      <c r="D1151" s="8" t="s">
        <v>831</v>
      </c>
      <c r="E1151" s="189" t="s">
        <v>732</v>
      </c>
      <c r="F1151" s="106"/>
      <c r="G1151" s="107" t="s">
        <v>831</v>
      </c>
      <c r="H1151" s="107"/>
      <c r="I1151" s="8" t="s">
        <v>310</v>
      </c>
      <c r="J1151" s="108" t="s">
        <v>373</v>
      </c>
      <c r="K1151" s="57">
        <v>100</v>
      </c>
      <c r="L1151" s="58">
        <v>100</v>
      </c>
    </row>
    <row r="1152" spans="1:12" s="9" customFormat="1" ht="15">
      <c r="A1152" s="105">
        <v>1101</v>
      </c>
      <c r="B1152" s="106"/>
      <c r="C1152" s="106"/>
      <c r="D1152" s="8" t="s">
        <v>832</v>
      </c>
      <c r="E1152" s="189" t="s">
        <v>725</v>
      </c>
      <c r="F1152" s="106"/>
      <c r="G1152" s="107" t="s">
        <v>832</v>
      </c>
      <c r="H1152" s="107"/>
      <c r="I1152" s="8" t="s">
        <v>310</v>
      </c>
      <c r="J1152" s="108" t="s">
        <v>373</v>
      </c>
      <c r="K1152" s="57">
        <v>100</v>
      </c>
      <c r="L1152" s="58">
        <v>100</v>
      </c>
    </row>
    <row r="1153" spans="1:229" s="9" customFormat="1" ht="15">
      <c r="A1153" s="105">
        <v>1102</v>
      </c>
      <c r="B1153" s="106"/>
      <c r="C1153" s="106"/>
      <c r="D1153" s="8" t="s">
        <v>833</v>
      </c>
      <c r="E1153" s="189" t="s">
        <v>834</v>
      </c>
      <c r="F1153" s="106"/>
      <c r="G1153" s="107" t="s">
        <v>833</v>
      </c>
      <c r="H1153" s="107"/>
      <c r="I1153" s="8" t="s">
        <v>310</v>
      </c>
      <c r="J1153" s="108" t="s">
        <v>1110</v>
      </c>
      <c r="K1153" s="57">
        <v>30</v>
      </c>
      <c r="L1153" s="58">
        <v>30</v>
      </c>
    </row>
    <row r="1154" spans="1:229" s="9" customFormat="1" ht="15">
      <c r="A1154" s="105">
        <v>1103</v>
      </c>
      <c r="B1154" s="106"/>
      <c r="C1154" s="106"/>
      <c r="D1154" s="8" t="s">
        <v>835</v>
      </c>
      <c r="E1154" s="189" t="s">
        <v>817</v>
      </c>
      <c r="F1154" s="106"/>
      <c r="G1154" s="107" t="s">
        <v>835</v>
      </c>
      <c r="H1154" s="107"/>
      <c r="I1154" s="8" t="s">
        <v>310</v>
      </c>
      <c r="J1154" s="108" t="s">
        <v>373</v>
      </c>
      <c r="K1154" s="57">
        <v>100</v>
      </c>
      <c r="L1154" s="58">
        <v>100</v>
      </c>
    </row>
    <row r="1155" spans="1:229" s="9" customFormat="1" ht="15">
      <c r="A1155" s="105">
        <v>1104</v>
      </c>
      <c r="B1155" s="106"/>
      <c r="C1155" s="106"/>
      <c r="D1155" s="8" t="s">
        <v>836</v>
      </c>
      <c r="E1155" s="189" t="s">
        <v>837</v>
      </c>
      <c r="F1155" s="106"/>
      <c r="G1155" s="107" t="s">
        <v>836</v>
      </c>
      <c r="H1155" s="107"/>
      <c r="I1155" s="8" t="s">
        <v>310</v>
      </c>
      <c r="J1155" s="108" t="s">
        <v>373</v>
      </c>
      <c r="K1155" s="57">
        <v>100</v>
      </c>
      <c r="L1155" s="58">
        <v>100</v>
      </c>
    </row>
    <row r="1156" spans="1:229" s="9" customFormat="1" ht="15">
      <c r="A1156" s="105">
        <v>1105</v>
      </c>
      <c r="B1156" s="106"/>
      <c r="C1156" s="106"/>
      <c r="D1156" s="8" t="s">
        <v>838</v>
      </c>
      <c r="E1156" s="189" t="s">
        <v>783</v>
      </c>
      <c r="F1156" s="106"/>
      <c r="G1156" s="107" t="s">
        <v>838</v>
      </c>
      <c r="H1156" s="107"/>
      <c r="I1156" s="8" t="s">
        <v>310</v>
      </c>
      <c r="J1156" s="108" t="s">
        <v>373</v>
      </c>
      <c r="K1156" s="57">
        <v>100</v>
      </c>
      <c r="L1156" s="58">
        <v>100</v>
      </c>
    </row>
    <row r="1157" spans="1:229" s="9" customFormat="1" ht="15">
      <c r="A1157" s="105">
        <v>1106</v>
      </c>
      <c r="B1157" s="106"/>
      <c r="C1157" s="106"/>
      <c r="D1157" s="8" t="s">
        <v>839</v>
      </c>
      <c r="E1157" s="189" t="s">
        <v>840</v>
      </c>
      <c r="F1157" s="106"/>
      <c r="G1157" s="107" t="s">
        <v>839</v>
      </c>
      <c r="H1157" s="107"/>
      <c r="I1157" s="8" t="s">
        <v>310</v>
      </c>
      <c r="J1157" s="108" t="s">
        <v>373</v>
      </c>
      <c r="K1157" s="57">
        <v>100</v>
      </c>
      <c r="L1157" s="58">
        <v>100</v>
      </c>
    </row>
    <row r="1158" spans="1:229" s="9" customFormat="1" ht="15">
      <c r="A1158" s="105">
        <v>1107</v>
      </c>
      <c r="B1158" s="106"/>
      <c r="C1158" s="106"/>
      <c r="D1158" s="8" t="s">
        <v>841</v>
      </c>
      <c r="E1158" s="189" t="s">
        <v>738</v>
      </c>
      <c r="F1158" s="106"/>
      <c r="G1158" s="107" t="s">
        <v>841</v>
      </c>
      <c r="H1158" s="107"/>
      <c r="I1158" s="8" t="s">
        <v>310</v>
      </c>
      <c r="J1158" s="108" t="s">
        <v>373</v>
      </c>
      <c r="K1158" s="57">
        <v>100</v>
      </c>
      <c r="L1158" s="58">
        <v>100</v>
      </c>
    </row>
    <row r="1159" spans="1:229" s="9" customFormat="1" ht="15">
      <c r="A1159" s="105">
        <v>1108</v>
      </c>
      <c r="B1159" s="106"/>
      <c r="C1159" s="106"/>
      <c r="D1159" s="8" t="s">
        <v>842</v>
      </c>
      <c r="E1159" s="189" t="s">
        <v>1019</v>
      </c>
      <c r="F1159" s="106"/>
      <c r="G1159" s="107" t="s">
        <v>842</v>
      </c>
      <c r="H1159" s="107"/>
      <c r="I1159" s="8" t="s">
        <v>310</v>
      </c>
      <c r="J1159" s="108" t="s">
        <v>847</v>
      </c>
      <c r="K1159" s="57">
        <v>30</v>
      </c>
      <c r="L1159" s="58">
        <v>30</v>
      </c>
    </row>
    <row r="1160" spans="1:229" s="9" customFormat="1" ht="15">
      <c r="A1160" s="105">
        <v>1109</v>
      </c>
      <c r="B1160" s="106"/>
      <c r="C1160" s="106"/>
      <c r="D1160" s="8" t="s">
        <v>844</v>
      </c>
      <c r="E1160" s="189" t="s">
        <v>766</v>
      </c>
      <c r="F1160" s="106"/>
      <c r="G1160" s="107" t="s">
        <v>844</v>
      </c>
      <c r="H1160" s="107"/>
      <c r="I1160" s="8" t="s">
        <v>310</v>
      </c>
      <c r="J1160" s="108" t="s">
        <v>373</v>
      </c>
      <c r="K1160" s="57">
        <v>100</v>
      </c>
      <c r="L1160" s="58">
        <v>100</v>
      </c>
    </row>
    <row r="1161" spans="1:229" s="9" customFormat="1" ht="15">
      <c r="A1161" s="105">
        <v>1110</v>
      </c>
      <c r="B1161" s="106"/>
      <c r="C1161" s="106"/>
      <c r="D1161" s="8" t="s">
        <v>845</v>
      </c>
      <c r="E1161" s="189" t="s">
        <v>846</v>
      </c>
      <c r="F1161" s="106"/>
      <c r="G1161" s="107" t="s">
        <v>845</v>
      </c>
      <c r="H1161" s="107"/>
      <c r="I1161" s="8" t="s">
        <v>310</v>
      </c>
      <c r="J1161" s="108" t="s">
        <v>373</v>
      </c>
      <c r="K1161" s="57">
        <v>100</v>
      </c>
      <c r="L1161" s="58">
        <v>100</v>
      </c>
    </row>
    <row r="1162" spans="1:229" s="9" customFormat="1" ht="15">
      <c r="A1162" s="105">
        <v>1111</v>
      </c>
      <c r="B1162" s="106"/>
      <c r="C1162" s="106"/>
      <c r="D1162" s="8" t="s">
        <v>848</v>
      </c>
      <c r="E1162" s="189" t="s">
        <v>738</v>
      </c>
      <c r="F1162" s="106"/>
      <c r="G1162" s="107" t="s">
        <v>848</v>
      </c>
      <c r="H1162" s="107"/>
      <c r="I1162" s="8" t="s">
        <v>310</v>
      </c>
      <c r="J1162" s="108" t="s">
        <v>373</v>
      </c>
      <c r="K1162" s="57">
        <v>100</v>
      </c>
      <c r="L1162" s="58">
        <v>100</v>
      </c>
    </row>
    <row r="1163" spans="1:229" s="9" customFormat="1" ht="15">
      <c r="A1163" s="105">
        <v>1112</v>
      </c>
      <c r="B1163" s="106"/>
      <c r="C1163" s="106"/>
      <c r="D1163" s="8" t="s">
        <v>850</v>
      </c>
      <c r="E1163" s="189" t="s">
        <v>811</v>
      </c>
      <c r="F1163" s="106"/>
      <c r="G1163" s="107" t="s">
        <v>850</v>
      </c>
      <c r="H1163" s="107"/>
      <c r="I1163" s="8" t="s">
        <v>310</v>
      </c>
      <c r="J1163" s="108" t="s">
        <v>373</v>
      </c>
      <c r="K1163" s="57">
        <v>100</v>
      </c>
      <c r="L1163" s="58">
        <v>100</v>
      </c>
    </row>
    <row r="1164" spans="1:229" s="9" customFormat="1" ht="15">
      <c r="A1164" s="105">
        <v>1113</v>
      </c>
      <c r="B1164" s="106"/>
      <c r="C1164" s="106"/>
      <c r="D1164" s="8" t="s">
        <v>851</v>
      </c>
      <c r="E1164" s="189" t="s">
        <v>849</v>
      </c>
      <c r="F1164" s="106"/>
      <c r="G1164" s="107" t="s">
        <v>851</v>
      </c>
      <c r="H1164" s="107"/>
      <c r="I1164" s="8" t="s">
        <v>310</v>
      </c>
      <c r="J1164" s="108" t="s">
        <v>373</v>
      </c>
      <c r="K1164" s="57">
        <v>100</v>
      </c>
      <c r="L1164" s="58">
        <v>100</v>
      </c>
    </row>
    <row r="1165" spans="1:229" s="2" customFormat="1" ht="15">
      <c r="A1165" s="105">
        <v>1114</v>
      </c>
      <c r="B1165" s="113" t="s">
        <v>1896</v>
      </c>
      <c r="C1165" s="124">
        <v>110004</v>
      </c>
      <c r="D1165" s="8" t="s">
        <v>2501</v>
      </c>
      <c r="E1165" s="189" t="s">
        <v>1014</v>
      </c>
      <c r="F1165" s="107"/>
      <c r="G1165" s="107" t="s">
        <v>2500</v>
      </c>
      <c r="H1165" s="107">
        <v>4100</v>
      </c>
      <c r="I1165" s="8" t="s">
        <v>260</v>
      </c>
      <c r="J1165" s="41" t="s">
        <v>2632</v>
      </c>
      <c r="K1165" s="57">
        <v>30</v>
      </c>
      <c r="L1165" s="58">
        <v>30</v>
      </c>
      <c r="M1165" s="44"/>
      <c r="N1165" s="44"/>
      <c r="O1165" s="44"/>
      <c r="P1165" s="44"/>
      <c r="Q1165" s="44"/>
      <c r="R1165" s="44"/>
      <c r="S1165" s="44"/>
      <c r="T1165" s="44"/>
      <c r="U1165" s="44"/>
      <c r="V1165" s="44"/>
      <c r="W1165" s="44"/>
      <c r="X1165" s="44"/>
      <c r="Y1165" s="44"/>
      <c r="Z1165" s="44"/>
      <c r="AA1165" s="44"/>
      <c r="AB1165" s="44"/>
      <c r="AC1165" s="44"/>
      <c r="AD1165" s="44"/>
      <c r="AE1165" s="44"/>
      <c r="AF1165" s="44"/>
      <c r="AG1165" s="44"/>
      <c r="AH1165" s="44"/>
      <c r="AI1165" s="44"/>
      <c r="AJ1165" s="44"/>
      <c r="AK1165" s="44"/>
      <c r="AL1165" s="44"/>
      <c r="AM1165" s="44"/>
      <c r="AN1165" s="44"/>
      <c r="AO1165" s="44"/>
      <c r="AP1165" s="44"/>
      <c r="AQ1165" s="44"/>
      <c r="AR1165" s="44"/>
      <c r="AS1165" s="44"/>
      <c r="AT1165" s="44"/>
      <c r="AU1165" s="44"/>
      <c r="AV1165" s="44"/>
      <c r="AW1165" s="44"/>
      <c r="AX1165" s="44"/>
      <c r="AY1165" s="44"/>
      <c r="AZ1165" s="44"/>
      <c r="BA1165" s="44"/>
      <c r="BB1165" s="44"/>
      <c r="BC1165" s="44"/>
      <c r="BD1165" s="44"/>
      <c r="BE1165" s="44"/>
      <c r="BF1165" s="44"/>
      <c r="BG1165" s="44"/>
      <c r="BH1165" s="44"/>
      <c r="BI1165" s="44"/>
      <c r="BJ1165" s="44"/>
      <c r="BK1165" s="44"/>
      <c r="BL1165" s="44"/>
      <c r="BM1165" s="44"/>
      <c r="BN1165" s="44"/>
      <c r="BO1165" s="44"/>
      <c r="BP1165" s="44"/>
      <c r="BQ1165" s="44"/>
      <c r="BR1165" s="44"/>
      <c r="BS1165" s="44"/>
      <c r="BT1165" s="44"/>
      <c r="BU1165" s="44"/>
      <c r="BV1165" s="44"/>
      <c r="BW1165" s="44"/>
      <c r="BX1165" s="44"/>
      <c r="BY1165" s="44"/>
      <c r="BZ1165" s="44"/>
      <c r="CA1165" s="44"/>
      <c r="CB1165" s="44"/>
      <c r="CC1165" s="44"/>
      <c r="CD1165" s="44"/>
      <c r="CE1165" s="44"/>
      <c r="CF1165" s="44"/>
      <c r="CG1165" s="44"/>
      <c r="CH1165" s="44"/>
      <c r="CI1165" s="44"/>
      <c r="CJ1165" s="44"/>
      <c r="CK1165" s="44"/>
      <c r="CL1165" s="44"/>
      <c r="CM1165" s="44"/>
      <c r="CN1165" s="44"/>
      <c r="CO1165" s="44"/>
      <c r="CP1165" s="44"/>
      <c r="CQ1165" s="44"/>
      <c r="CR1165" s="44"/>
      <c r="CS1165" s="44"/>
      <c r="CT1165" s="44"/>
      <c r="CU1165" s="44"/>
      <c r="CV1165" s="44"/>
      <c r="CW1165" s="44"/>
      <c r="CX1165" s="44"/>
      <c r="CY1165" s="44"/>
      <c r="CZ1165" s="44"/>
      <c r="DA1165" s="44"/>
      <c r="DB1165" s="44"/>
      <c r="DC1165" s="44"/>
      <c r="DD1165" s="44"/>
      <c r="DE1165" s="44"/>
      <c r="DF1165" s="44"/>
      <c r="DG1165" s="44"/>
      <c r="DH1165" s="44"/>
      <c r="DI1165" s="44"/>
      <c r="DJ1165" s="44"/>
      <c r="DK1165" s="44"/>
      <c r="DL1165" s="44"/>
      <c r="DM1165" s="44"/>
      <c r="DN1165" s="44"/>
      <c r="DO1165" s="44"/>
      <c r="DP1165" s="44"/>
      <c r="DQ1165" s="44"/>
      <c r="DR1165" s="44"/>
      <c r="DS1165" s="44"/>
      <c r="DT1165" s="44"/>
      <c r="DU1165" s="44"/>
      <c r="DV1165" s="44"/>
      <c r="DW1165" s="44"/>
      <c r="DX1165" s="44"/>
      <c r="DY1165" s="44"/>
      <c r="DZ1165" s="44"/>
      <c r="EA1165" s="44"/>
      <c r="EB1165" s="44"/>
      <c r="EC1165" s="44"/>
      <c r="ED1165" s="44"/>
      <c r="EE1165" s="44"/>
      <c r="EF1165" s="44"/>
      <c r="EG1165" s="44"/>
      <c r="EH1165" s="44"/>
      <c r="EI1165" s="44"/>
      <c r="EJ1165" s="44"/>
      <c r="EK1165" s="44"/>
      <c r="EL1165" s="44"/>
      <c r="EM1165" s="44"/>
      <c r="EN1165" s="44"/>
      <c r="EO1165" s="44"/>
      <c r="EP1165" s="44"/>
      <c r="EQ1165" s="44"/>
      <c r="ER1165" s="44"/>
      <c r="ES1165" s="44"/>
      <c r="ET1165" s="44"/>
      <c r="EU1165" s="44"/>
      <c r="EV1165" s="44"/>
      <c r="EW1165" s="44"/>
      <c r="EX1165" s="44"/>
      <c r="EY1165" s="44"/>
      <c r="EZ1165" s="44"/>
      <c r="FA1165" s="44"/>
      <c r="FB1165" s="44"/>
      <c r="FC1165" s="44"/>
      <c r="FD1165" s="44"/>
      <c r="FE1165" s="44"/>
      <c r="FF1165" s="44"/>
      <c r="FG1165" s="44"/>
      <c r="FH1165" s="44"/>
      <c r="FI1165" s="44"/>
      <c r="FJ1165" s="44"/>
      <c r="FK1165" s="44"/>
      <c r="FL1165" s="44"/>
      <c r="FM1165" s="44"/>
      <c r="FN1165" s="44"/>
      <c r="FO1165" s="44"/>
      <c r="FP1165" s="44"/>
      <c r="FQ1165" s="44"/>
      <c r="FR1165" s="44"/>
      <c r="FS1165" s="44"/>
      <c r="FT1165" s="44"/>
      <c r="FU1165" s="44"/>
      <c r="FV1165" s="44"/>
      <c r="FW1165" s="44"/>
      <c r="FX1165" s="44"/>
      <c r="FY1165" s="44"/>
      <c r="FZ1165" s="44"/>
      <c r="GA1165" s="44"/>
      <c r="GB1165" s="44"/>
      <c r="GC1165" s="44"/>
      <c r="GD1165" s="44"/>
      <c r="GE1165" s="44"/>
      <c r="GF1165" s="44"/>
      <c r="GG1165" s="44"/>
      <c r="GH1165" s="44"/>
      <c r="GI1165" s="44"/>
      <c r="GJ1165" s="44"/>
      <c r="GK1165" s="44"/>
      <c r="GL1165" s="44"/>
      <c r="GM1165" s="44"/>
      <c r="GN1165" s="44"/>
      <c r="GO1165" s="44"/>
      <c r="GP1165" s="44"/>
      <c r="GQ1165" s="44"/>
      <c r="GR1165" s="44"/>
      <c r="GS1165" s="44"/>
      <c r="GT1165" s="44"/>
      <c r="GU1165" s="44"/>
      <c r="GV1165" s="44"/>
      <c r="GW1165" s="44"/>
      <c r="GX1165" s="44"/>
      <c r="GY1165" s="44"/>
      <c r="GZ1165" s="44"/>
      <c r="HA1165" s="44"/>
      <c r="HB1165" s="44"/>
      <c r="HC1165" s="44"/>
      <c r="HD1165" s="44"/>
      <c r="HE1165" s="44"/>
      <c r="HF1165" s="44"/>
      <c r="HG1165" s="44"/>
      <c r="HH1165" s="44"/>
      <c r="HI1165" s="44"/>
      <c r="HJ1165" s="44"/>
      <c r="HK1165" s="44"/>
      <c r="HL1165" s="44"/>
      <c r="HM1165" s="44"/>
      <c r="HN1165" s="44"/>
      <c r="HO1165" s="44"/>
      <c r="HP1165" s="44"/>
      <c r="HQ1165" s="44"/>
      <c r="HR1165" s="44"/>
      <c r="HS1165" s="44"/>
      <c r="HT1165" s="44"/>
      <c r="HU1165" s="44"/>
    </row>
    <row r="1166" spans="1:229" s="2" customFormat="1" ht="15">
      <c r="A1166" s="105">
        <v>1115</v>
      </c>
      <c r="B1166" s="113" t="s">
        <v>1440</v>
      </c>
      <c r="C1166" s="124">
        <v>100002</v>
      </c>
      <c r="D1166" s="8" t="s">
        <v>2503</v>
      </c>
      <c r="E1166" s="189" t="s">
        <v>681</v>
      </c>
      <c r="F1166" s="107"/>
      <c r="G1166" s="107" t="s">
        <v>2502</v>
      </c>
      <c r="H1166" s="107">
        <v>5110</v>
      </c>
      <c r="I1166" s="8" t="s">
        <v>267</v>
      </c>
      <c r="J1166" s="8" t="s">
        <v>1110</v>
      </c>
      <c r="K1166" s="57">
        <v>30</v>
      </c>
      <c r="L1166" s="58">
        <v>30</v>
      </c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/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44"/>
      <c r="BJ1166" s="44"/>
      <c r="BK1166" s="44"/>
      <c r="BL1166" s="44"/>
      <c r="BM1166" s="44"/>
      <c r="BN1166" s="44"/>
      <c r="BO1166" s="44"/>
      <c r="BP1166" s="44"/>
      <c r="BQ1166" s="44"/>
      <c r="BR1166" s="44"/>
      <c r="BS1166" s="44"/>
      <c r="BT1166" s="44"/>
      <c r="BU1166" s="44"/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/>
      <c r="CP1166" s="44"/>
      <c r="CQ1166" s="44"/>
      <c r="CR1166" s="44"/>
      <c r="CS1166" s="44"/>
      <c r="CT1166" s="44"/>
      <c r="CU1166" s="44"/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/>
      <c r="DF1166" s="44"/>
      <c r="DG1166" s="44"/>
      <c r="DH1166" s="44"/>
      <c r="DI1166" s="44"/>
      <c r="DJ1166" s="44"/>
      <c r="DK1166" s="44"/>
      <c r="DL1166" s="44"/>
      <c r="DM1166" s="44"/>
      <c r="DN1166" s="44"/>
      <c r="DO1166" s="44"/>
      <c r="DP1166" s="44"/>
      <c r="DQ1166" s="44"/>
      <c r="DR1166" s="44"/>
      <c r="DS1166" s="44"/>
      <c r="DT1166" s="44"/>
      <c r="DU1166" s="44"/>
      <c r="DV1166" s="44"/>
      <c r="DW1166" s="44"/>
      <c r="DX1166" s="44"/>
      <c r="DY1166" s="44"/>
      <c r="DZ1166" s="44"/>
      <c r="EA1166" s="44"/>
      <c r="EB1166" s="44"/>
      <c r="EC1166" s="44"/>
      <c r="ED1166" s="44"/>
      <c r="EE1166" s="44"/>
      <c r="EF1166" s="44"/>
      <c r="EG1166" s="44"/>
      <c r="EH1166" s="44"/>
      <c r="EI1166" s="44"/>
      <c r="EJ1166" s="44"/>
      <c r="EK1166" s="44"/>
      <c r="EL1166" s="44"/>
      <c r="EM1166" s="44"/>
      <c r="EN1166" s="44"/>
      <c r="EO1166" s="44"/>
      <c r="EP1166" s="44"/>
      <c r="EQ1166" s="44"/>
      <c r="ER1166" s="44"/>
      <c r="ES1166" s="44"/>
      <c r="ET1166" s="44"/>
      <c r="EU1166" s="44"/>
      <c r="EV1166" s="44"/>
      <c r="EW1166" s="44"/>
      <c r="EX1166" s="44"/>
      <c r="EY1166" s="44"/>
      <c r="EZ1166" s="44"/>
      <c r="FA1166" s="44"/>
      <c r="FB1166" s="44"/>
      <c r="FC1166" s="44"/>
      <c r="FD1166" s="44"/>
      <c r="FE1166" s="44"/>
      <c r="FF1166" s="44"/>
      <c r="FG1166" s="44"/>
      <c r="FH1166" s="44"/>
      <c r="FI1166" s="44"/>
      <c r="FJ1166" s="44"/>
      <c r="FK1166" s="44"/>
      <c r="FL1166" s="44"/>
      <c r="FM1166" s="44"/>
      <c r="FN1166" s="44"/>
      <c r="FO1166" s="44"/>
      <c r="FP1166" s="44"/>
      <c r="FQ1166" s="44"/>
      <c r="FR1166" s="44"/>
      <c r="FS1166" s="44"/>
      <c r="FT1166" s="44"/>
      <c r="FU1166" s="44"/>
      <c r="FV1166" s="44"/>
      <c r="FW1166" s="44"/>
      <c r="FX1166" s="44"/>
      <c r="FY1166" s="44"/>
      <c r="FZ1166" s="44"/>
      <c r="GA1166" s="44"/>
      <c r="GB1166" s="44"/>
      <c r="GC1166" s="44"/>
      <c r="GD1166" s="44"/>
      <c r="GE1166" s="44"/>
      <c r="GF1166" s="44"/>
      <c r="GG1166" s="44"/>
      <c r="GH1166" s="44"/>
      <c r="GI1166" s="44"/>
      <c r="GJ1166" s="44"/>
      <c r="GK1166" s="44"/>
      <c r="GL1166" s="44"/>
      <c r="GM1166" s="44"/>
      <c r="GN1166" s="44"/>
      <c r="GO1166" s="44"/>
      <c r="GP1166" s="44"/>
      <c r="GQ1166" s="44"/>
      <c r="GR1166" s="44"/>
      <c r="GS1166" s="44"/>
      <c r="GT1166" s="44"/>
      <c r="GU1166" s="44"/>
      <c r="GV1166" s="44"/>
      <c r="GW1166" s="44"/>
      <c r="GX1166" s="44"/>
      <c r="GY1166" s="44"/>
      <c r="GZ1166" s="44"/>
      <c r="HA1166" s="44"/>
      <c r="HB1166" s="44"/>
      <c r="HC1166" s="44"/>
      <c r="HD1166" s="44"/>
      <c r="HE1166" s="44"/>
      <c r="HF1166" s="44"/>
      <c r="HG1166" s="44"/>
      <c r="HH1166" s="44"/>
      <c r="HI1166" s="44"/>
      <c r="HJ1166" s="44"/>
      <c r="HK1166" s="44"/>
      <c r="HL1166" s="44"/>
      <c r="HM1166" s="44"/>
      <c r="HN1166" s="44"/>
      <c r="HO1166" s="44"/>
      <c r="HP1166" s="44"/>
      <c r="HQ1166" s="44"/>
      <c r="HR1166" s="44"/>
      <c r="HS1166" s="44"/>
      <c r="HT1166" s="44"/>
      <c r="HU1166" s="44"/>
    </row>
    <row r="1167" spans="1:229" s="2" customFormat="1" ht="15">
      <c r="A1167" s="105">
        <v>1116</v>
      </c>
      <c r="B1167" s="113" t="s">
        <v>1440</v>
      </c>
      <c r="C1167" s="124">
        <v>100002</v>
      </c>
      <c r="D1167" s="8" t="s">
        <v>2505</v>
      </c>
      <c r="E1167" s="189" t="s">
        <v>681</v>
      </c>
      <c r="F1167" s="107"/>
      <c r="G1167" s="107" t="s">
        <v>2504</v>
      </c>
      <c r="H1167" s="107">
        <v>5110</v>
      </c>
      <c r="I1167" s="8" t="s">
        <v>267</v>
      </c>
      <c r="J1167" s="8" t="s">
        <v>1110</v>
      </c>
      <c r="K1167" s="57">
        <v>30</v>
      </c>
      <c r="L1167" s="58">
        <v>30</v>
      </c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44"/>
      <c r="BJ1167" s="44"/>
      <c r="BK1167" s="44"/>
      <c r="BL1167" s="44"/>
      <c r="BM1167" s="44"/>
      <c r="BN1167" s="44"/>
      <c r="BO1167" s="44"/>
      <c r="BP1167" s="44"/>
      <c r="BQ1167" s="44"/>
      <c r="BR1167" s="44"/>
      <c r="BS1167" s="44"/>
      <c r="BT1167" s="44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44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  <c r="DK1167" s="44"/>
      <c r="DL1167" s="44"/>
      <c r="DM1167" s="44"/>
      <c r="DN1167" s="44"/>
      <c r="DO1167" s="44"/>
      <c r="DP1167" s="44"/>
      <c r="DQ1167" s="44"/>
      <c r="DR1167" s="44"/>
      <c r="DS1167" s="44"/>
      <c r="DT1167" s="44"/>
      <c r="DU1167" s="44"/>
      <c r="DV1167" s="44"/>
      <c r="DW1167" s="44"/>
      <c r="DX1167" s="44"/>
      <c r="DY1167" s="44"/>
      <c r="DZ1167" s="44"/>
      <c r="EA1167" s="44"/>
      <c r="EB1167" s="44"/>
      <c r="EC1167" s="44"/>
      <c r="ED1167" s="44"/>
      <c r="EE1167" s="44"/>
      <c r="EF1167" s="44"/>
      <c r="EG1167" s="44"/>
      <c r="EH1167" s="44"/>
      <c r="EI1167" s="44"/>
      <c r="EJ1167" s="44"/>
      <c r="EK1167" s="44"/>
      <c r="EL1167" s="44"/>
      <c r="EM1167" s="44"/>
      <c r="EN1167" s="44"/>
      <c r="EO1167" s="44"/>
      <c r="EP1167" s="44"/>
      <c r="EQ1167" s="44"/>
      <c r="ER1167" s="44"/>
      <c r="ES1167" s="44"/>
      <c r="ET1167" s="44"/>
      <c r="EU1167" s="44"/>
      <c r="EV1167" s="44"/>
      <c r="EW1167" s="44"/>
      <c r="EX1167" s="44"/>
      <c r="EY1167" s="44"/>
      <c r="EZ1167" s="44"/>
      <c r="FA1167" s="44"/>
      <c r="FB1167" s="44"/>
      <c r="FC1167" s="44"/>
      <c r="FD1167" s="44"/>
      <c r="FE1167" s="44"/>
      <c r="FF1167" s="44"/>
      <c r="FG1167" s="44"/>
      <c r="FH1167" s="44"/>
      <c r="FI1167" s="44"/>
      <c r="FJ1167" s="44"/>
      <c r="FK1167" s="44"/>
      <c r="FL1167" s="44"/>
      <c r="FM1167" s="44"/>
      <c r="FN1167" s="44"/>
      <c r="FO1167" s="44"/>
      <c r="FP1167" s="44"/>
      <c r="FQ1167" s="44"/>
      <c r="FR1167" s="44"/>
      <c r="FS1167" s="44"/>
      <c r="FT1167" s="44"/>
      <c r="FU1167" s="44"/>
      <c r="FV1167" s="44"/>
      <c r="FW1167" s="44"/>
      <c r="FX1167" s="44"/>
      <c r="FY1167" s="44"/>
      <c r="FZ1167" s="44"/>
      <c r="GA1167" s="44"/>
      <c r="GB1167" s="44"/>
      <c r="GC1167" s="44"/>
      <c r="GD1167" s="44"/>
      <c r="GE1167" s="44"/>
      <c r="GF1167" s="44"/>
      <c r="GG1167" s="44"/>
      <c r="GH1167" s="44"/>
      <c r="GI1167" s="44"/>
      <c r="GJ1167" s="44"/>
      <c r="GK1167" s="44"/>
      <c r="GL1167" s="44"/>
      <c r="GM1167" s="44"/>
      <c r="GN1167" s="44"/>
      <c r="GO1167" s="44"/>
      <c r="GP1167" s="44"/>
      <c r="GQ1167" s="44"/>
      <c r="GR1167" s="44"/>
      <c r="GS1167" s="44"/>
      <c r="GT1167" s="44"/>
      <c r="GU1167" s="44"/>
      <c r="GV1167" s="44"/>
      <c r="GW1167" s="44"/>
      <c r="GX1167" s="44"/>
      <c r="GY1167" s="44"/>
      <c r="GZ1167" s="44"/>
      <c r="HA1167" s="44"/>
      <c r="HB1167" s="44"/>
      <c r="HC1167" s="44"/>
      <c r="HD1167" s="44"/>
      <c r="HE1167" s="44"/>
      <c r="HF1167" s="44"/>
      <c r="HG1167" s="44"/>
      <c r="HH1167" s="44"/>
      <c r="HI1167" s="44"/>
      <c r="HJ1167" s="44"/>
      <c r="HK1167" s="44"/>
      <c r="HL1167" s="44"/>
      <c r="HM1167" s="44"/>
      <c r="HN1167" s="44"/>
      <c r="HO1167" s="44"/>
      <c r="HP1167" s="44"/>
      <c r="HQ1167" s="44"/>
      <c r="HR1167" s="44"/>
      <c r="HS1167" s="44"/>
      <c r="HT1167" s="44"/>
      <c r="HU1167" s="44"/>
    </row>
    <row r="1168" spans="1:229" s="2" customFormat="1" ht="15">
      <c r="A1168" s="105">
        <v>1117</v>
      </c>
      <c r="B1168" s="113"/>
      <c r="C1168" s="124"/>
      <c r="D1168" s="8" t="s">
        <v>2511</v>
      </c>
      <c r="E1168" s="189" t="s">
        <v>151</v>
      </c>
      <c r="F1168" s="107"/>
      <c r="G1168" s="107"/>
      <c r="H1168" s="107"/>
      <c r="I1168" s="8" t="s">
        <v>310</v>
      </c>
      <c r="J1168" s="108" t="s">
        <v>373</v>
      </c>
      <c r="K1168" s="57">
        <v>100</v>
      </c>
      <c r="L1168" s="58">
        <v>100</v>
      </c>
      <c r="M1168" s="44"/>
      <c r="N1168" s="44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  <c r="Z1168" s="44"/>
      <c r="AA1168" s="44"/>
      <c r="AB1168" s="44"/>
      <c r="AC1168" s="44"/>
      <c r="AD1168" s="44"/>
      <c r="AE1168" s="44"/>
      <c r="AF1168" s="44"/>
      <c r="AG1168" s="44"/>
      <c r="AH1168" s="44"/>
      <c r="AI1168" s="44"/>
      <c r="AJ1168" s="44"/>
      <c r="AK1168" s="44"/>
      <c r="AL1168" s="44"/>
      <c r="AM1168" s="44"/>
      <c r="AN1168" s="44"/>
      <c r="AO1168" s="44"/>
      <c r="AP1168" s="44"/>
      <c r="AQ1168" s="44"/>
      <c r="AR1168" s="44"/>
      <c r="AS1168" s="44"/>
      <c r="AT1168" s="44"/>
      <c r="AU1168" s="44"/>
      <c r="AV1168" s="44"/>
      <c r="AW1168" s="44"/>
      <c r="AX1168" s="44"/>
      <c r="AY1168" s="44"/>
      <c r="AZ1168" s="44"/>
      <c r="BA1168" s="44"/>
      <c r="BB1168" s="44"/>
      <c r="BC1168" s="44"/>
      <c r="BD1168" s="44"/>
      <c r="BE1168" s="44"/>
      <c r="BF1168" s="44"/>
      <c r="BG1168" s="44"/>
      <c r="BH1168" s="44"/>
      <c r="BI1168" s="44"/>
      <c r="BJ1168" s="44"/>
      <c r="BK1168" s="44"/>
      <c r="BL1168" s="44"/>
      <c r="BM1168" s="44"/>
      <c r="BN1168" s="44"/>
      <c r="BO1168" s="44"/>
      <c r="BP1168" s="44"/>
      <c r="BQ1168" s="44"/>
      <c r="BR1168" s="44"/>
      <c r="BS1168" s="44"/>
      <c r="BT1168" s="44"/>
      <c r="BU1168" s="44"/>
      <c r="BV1168" s="44"/>
      <c r="BW1168" s="44"/>
      <c r="BX1168" s="44"/>
      <c r="BY1168" s="44"/>
      <c r="BZ1168" s="44"/>
      <c r="CA1168" s="44"/>
      <c r="CB1168" s="44"/>
      <c r="CC1168" s="44"/>
      <c r="CD1168" s="44"/>
      <c r="CE1168" s="44"/>
      <c r="CF1168" s="44"/>
      <c r="CG1168" s="44"/>
      <c r="CH1168" s="44"/>
      <c r="CI1168" s="44"/>
      <c r="CJ1168" s="44"/>
      <c r="CK1168" s="44"/>
      <c r="CL1168" s="44"/>
      <c r="CM1168" s="44"/>
      <c r="CN1168" s="44"/>
      <c r="CO1168" s="44"/>
      <c r="CP1168" s="44"/>
      <c r="CQ1168" s="44"/>
      <c r="CR1168" s="44"/>
      <c r="CS1168" s="44"/>
      <c r="CT1168" s="44"/>
      <c r="CU1168" s="44"/>
      <c r="CV1168" s="44"/>
      <c r="CW1168" s="44"/>
      <c r="CX1168" s="44"/>
      <c r="CY1168" s="44"/>
      <c r="CZ1168" s="44"/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  <c r="DK1168" s="44"/>
      <c r="DL1168" s="44"/>
      <c r="DM1168" s="44"/>
      <c r="DN1168" s="44"/>
      <c r="DO1168" s="44"/>
      <c r="DP1168" s="44"/>
      <c r="DQ1168" s="44"/>
      <c r="DR1168" s="44"/>
      <c r="DS1168" s="44"/>
      <c r="DT1168" s="44"/>
      <c r="DU1168" s="44"/>
      <c r="DV1168" s="44"/>
      <c r="DW1168" s="44"/>
      <c r="DX1168" s="44"/>
      <c r="DY1168" s="44"/>
      <c r="DZ1168" s="44"/>
      <c r="EA1168" s="44"/>
      <c r="EB1168" s="44"/>
      <c r="EC1168" s="44"/>
      <c r="ED1168" s="44"/>
      <c r="EE1168" s="44"/>
      <c r="EF1168" s="44"/>
      <c r="EG1168" s="44"/>
      <c r="EH1168" s="44"/>
      <c r="EI1168" s="44"/>
      <c r="EJ1168" s="44"/>
      <c r="EK1168" s="44"/>
      <c r="EL1168" s="44"/>
      <c r="EM1168" s="44"/>
      <c r="EN1168" s="44"/>
      <c r="EO1168" s="44"/>
      <c r="EP1168" s="44"/>
      <c r="EQ1168" s="44"/>
      <c r="ER1168" s="44"/>
      <c r="ES1168" s="44"/>
      <c r="ET1168" s="44"/>
      <c r="EU1168" s="44"/>
      <c r="EV1168" s="44"/>
      <c r="EW1168" s="44"/>
      <c r="EX1168" s="44"/>
      <c r="EY1168" s="44"/>
      <c r="EZ1168" s="44"/>
      <c r="FA1168" s="44"/>
      <c r="FB1168" s="44"/>
      <c r="FC1168" s="44"/>
      <c r="FD1168" s="44"/>
      <c r="FE1168" s="44"/>
      <c r="FF1168" s="44"/>
      <c r="FG1168" s="44"/>
      <c r="FH1168" s="44"/>
      <c r="FI1168" s="44"/>
      <c r="FJ1168" s="44"/>
      <c r="FK1168" s="44"/>
      <c r="FL1168" s="44"/>
      <c r="FM1168" s="44"/>
      <c r="FN1168" s="44"/>
      <c r="FO1168" s="44"/>
      <c r="FP1168" s="44"/>
      <c r="FQ1168" s="44"/>
      <c r="FR1168" s="44"/>
      <c r="FS1168" s="44"/>
      <c r="FT1168" s="44"/>
      <c r="FU1168" s="44"/>
      <c r="FV1168" s="44"/>
      <c r="FW1168" s="44"/>
      <c r="FX1168" s="44"/>
      <c r="FY1168" s="44"/>
      <c r="FZ1168" s="44"/>
      <c r="GA1168" s="44"/>
      <c r="GB1168" s="44"/>
      <c r="GC1168" s="44"/>
      <c r="GD1168" s="44"/>
      <c r="GE1168" s="44"/>
      <c r="GF1168" s="44"/>
      <c r="GG1168" s="44"/>
      <c r="GH1168" s="44"/>
      <c r="GI1168" s="44"/>
      <c r="GJ1168" s="44"/>
      <c r="GK1168" s="44"/>
      <c r="GL1168" s="44"/>
      <c r="GM1168" s="44"/>
      <c r="GN1168" s="44"/>
      <c r="GO1168" s="44"/>
      <c r="GP1168" s="44"/>
      <c r="GQ1168" s="44"/>
      <c r="GR1168" s="44"/>
      <c r="GS1168" s="44"/>
      <c r="GT1168" s="44"/>
      <c r="GU1168" s="44"/>
      <c r="GV1168" s="44"/>
      <c r="GW1168" s="44"/>
      <c r="GX1168" s="44"/>
      <c r="GY1168" s="44"/>
      <c r="GZ1168" s="44"/>
      <c r="HA1168" s="44"/>
      <c r="HB1168" s="44"/>
      <c r="HC1168" s="44"/>
      <c r="HD1168" s="44"/>
      <c r="HE1168" s="44"/>
      <c r="HF1168" s="44"/>
      <c r="HG1168" s="44"/>
      <c r="HH1168" s="44"/>
      <c r="HI1168" s="44"/>
      <c r="HJ1168" s="44"/>
      <c r="HK1168" s="44"/>
      <c r="HL1168" s="44"/>
      <c r="HM1168" s="44"/>
      <c r="HN1168" s="44"/>
      <c r="HO1168" s="44"/>
      <c r="HP1168" s="44"/>
      <c r="HQ1168" s="44"/>
      <c r="HR1168" s="44"/>
      <c r="HS1168" s="44"/>
      <c r="HT1168" s="44"/>
      <c r="HU1168" s="44"/>
    </row>
    <row r="1169" spans="1:229" s="2" customFormat="1" ht="15">
      <c r="A1169" s="105">
        <v>1118</v>
      </c>
      <c r="B1169" s="113"/>
      <c r="C1169" s="124"/>
      <c r="D1169" s="8" t="s">
        <v>2509</v>
      </c>
      <c r="E1169" s="189" t="s">
        <v>170</v>
      </c>
      <c r="F1169" s="107"/>
      <c r="G1169" s="107"/>
      <c r="H1169" s="107"/>
      <c r="I1169" s="8" t="s">
        <v>310</v>
      </c>
      <c r="J1169" s="108" t="s">
        <v>373</v>
      </c>
      <c r="K1169" s="57">
        <v>100</v>
      </c>
      <c r="L1169" s="58">
        <v>100</v>
      </c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44"/>
      <c r="AL1169" s="44"/>
      <c r="AM1169" s="44"/>
      <c r="AN1169" s="44"/>
      <c r="AO1169" s="44"/>
      <c r="AP1169" s="44"/>
      <c r="AQ1169" s="44"/>
      <c r="AR1169" s="44"/>
      <c r="AS1169" s="44"/>
      <c r="AT1169" s="44"/>
      <c r="AU1169" s="44"/>
      <c r="AV1169" s="44"/>
      <c r="AW1169" s="44"/>
      <c r="AX1169" s="44"/>
      <c r="AY1169" s="44"/>
      <c r="AZ1169" s="44"/>
      <c r="BA1169" s="44"/>
      <c r="BB1169" s="44"/>
      <c r="BC1169" s="44"/>
      <c r="BD1169" s="44"/>
      <c r="BE1169" s="44"/>
      <c r="BF1169" s="44"/>
      <c r="BG1169" s="44"/>
      <c r="BH1169" s="44"/>
      <c r="BI1169" s="44"/>
      <c r="BJ1169" s="44"/>
      <c r="BK1169" s="44"/>
      <c r="BL1169" s="44"/>
      <c r="BM1169" s="44"/>
      <c r="BN1169" s="44"/>
      <c r="BO1169" s="44"/>
      <c r="BP1169" s="44"/>
      <c r="BQ1169" s="44"/>
      <c r="BR1169" s="44"/>
      <c r="BS1169" s="44"/>
      <c r="BT1169" s="44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44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  <c r="DK1169" s="44"/>
      <c r="DL1169" s="44"/>
      <c r="DM1169" s="44"/>
      <c r="DN1169" s="44"/>
      <c r="DO1169" s="44"/>
      <c r="DP1169" s="44"/>
      <c r="DQ1169" s="44"/>
      <c r="DR1169" s="44"/>
      <c r="DS1169" s="44"/>
      <c r="DT1169" s="44"/>
      <c r="DU1169" s="44"/>
      <c r="DV1169" s="44"/>
      <c r="DW1169" s="44"/>
      <c r="DX1169" s="44"/>
      <c r="DY1169" s="44"/>
      <c r="DZ1169" s="44"/>
      <c r="EA1169" s="44"/>
      <c r="EB1169" s="44"/>
      <c r="EC1169" s="44"/>
      <c r="ED1169" s="44"/>
      <c r="EE1169" s="44"/>
      <c r="EF1169" s="44"/>
      <c r="EG1169" s="44"/>
      <c r="EH1169" s="44"/>
      <c r="EI1169" s="44"/>
      <c r="EJ1169" s="44"/>
      <c r="EK1169" s="44"/>
      <c r="EL1169" s="44"/>
      <c r="EM1169" s="44"/>
      <c r="EN1169" s="44"/>
      <c r="EO1169" s="44"/>
      <c r="EP1169" s="44"/>
      <c r="EQ1169" s="44"/>
      <c r="ER1169" s="44"/>
      <c r="ES1169" s="44"/>
      <c r="ET1169" s="44"/>
      <c r="EU1169" s="44"/>
      <c r="EV1169" s="44"/>
      <c r="EW1169" s="44"/>
      <c r="EX1169" s="44"/>
      <c r="EY1169" s="44"/>
      <c r="EZ1169" s="44"/>
      <c r="FA1169" s="44"/>
      <c r="FB1169" s="44"/>
      <c r="FC1169" s="44"/>
      <c r="FD1169" s="44"/>
      <c r="FE1169" s="44"/>
      <c r="FF1169" s="44"/>
      <c r="FG1169" s="44"/>
      <c r="FH1169" s="44"/>
      <c r="FI1169" s="44"/>
      <c r="FJ1169" s="44"/>
      <c r="FK1169" s="44"/>
      <c r="FL1169" s="44"/>
      <c r="FM1169" s="44"/>
      <c r="FN1169" s="44"/>
      <c r="FO1169" s="44"/>
      <c r="FP1169" s="44"/>
      <c r="FQ1169" s="44"/>
      <c r="FR1169" s="44"/>
      <c r="FS1169" s="44"/>
      <c r="FT1169" s="44"/>
      <c r="FU1169" s="44"/>
      <c r="FV1169" s="44"/>
      <c r="FW1169" s="44"/>
      <c r="FX1169" s="44"/>
      <c r="FY1169" s="44"/>
      <c r="FZ1169" s="44"/>
      <c r="GA1169" s="44"/>
      <c r="GB1169" s="44"/>
      <c r="GC1169" s="44"/>
      <c r="GD1169" s="44"/>
      <c r="GE1169" s="44"/>
      <c r="GF1169" s="44"/>
      <c r="GG1169" s="44"/>
      <c r="GH1169" s="44"/>
      <c r="GI1169" s="44"/>
      <c r="GJ1169" s="44"/>
      <c r="GK1169" s="44"/>
      <c r="GL1169" s="44"/>
      <c r="GM1169" s="44"/>
      <c r="GN1169" s="44"/>
      <c r="GO1169" s="44"/>
      <c r="GP1169" s="44"/>
      <c r="GQ1169" s="44"/>
      <c r="GR1169" s="44"/>
      <c r="GS1169" s="44"/>
      <c r="GT1169" s="44"/>
      <c r="GU1169" s="44"/>
      <c r="GV1169" s="44"/>
      <c r="GW1169" s="44"/>
      <c r="GX1169" s="44"/>
      <c r="GY1169" s="44"/>
      <c r="GZ1169" s="44"/>
      <c r="HA1169" s="44"/>
      <c r="HB1169" s="44"/>
      <c r="HC1169" s="44"/>
      <c r="HD1169" s="44"/>
      <c r="HE1169" s="44"/>
      <c r="HF1169" s="44"/>
      <c r="HG1169" s="44"/>
      <c r="HH1169" s="44"/>
      <c r="HI1169" s="44"/>
      <c r="HJ1169" s="44"/>
      <c r="HK1169" s="44"/>
      <c r="HL1169" s="44"/>
      <c r="HM1169" s="44"/>
      <c r="HN1169" s="44"/>
      <c r="HO1169" s="44"/>
      <c r="HP1169" s="44"/>
      <c r="HQ1169" s="44"/>
      <c r="HR1169" s="44"/>
      <c r="HS1169" s="44"/>
      <c r="HT1169" s="44"/>
      <c r="HU1169" s="44"/>
    </row>
    <row r="1170" spans="1:229" s="2" customFormat="1" ht="15">
      <c r="A1170" s="105">
        <v>1119</v>
      </c>
      <c r="B1170" s="113"/>
      <c r="C1170" s="124"/>
      <c r="D1170" s="8" t="s">
        <v>2510</v>
      </c>
      <c r="E1170" s="189" t="s">
        <v>2506</v>
      </c>
      <c r="F1170" s="107"/>
      <c r="G1170" s="107"/>
      <c r="H1170" s="107"/>
      <c r="I1170" s="8" t="s">
        <v>310</v>
      </c>
      <c r="J1170" s="108" t="s">
        <v>373</v>
      </c>
      <c r="K1170" s="57">
        <v>100</v>
      </c>
      <c r="L1170" s="58">
        <v>100</v>
      </c>
      <c r="M1170" s="4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44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  <c r="DK1170" s="44"/>
      <c r="DL1170" s="44"/>
      <c r="DM1170" s="44"/>
      <c r="DN1170" s="44"/>
      <c r="DO1170" s="44"/>
      <c r="DP1170" s="44"/>
      <c r="DQ1170" s="44"/>
      <c r="DR1170" s="44"/>
      <c r="DS1170" s="44"/>
      <c r="DT1170" s="44"/>
      <c r="DU1170" s="44"/>
      <c r="DV1170" s="44"/>
      <c r="DW1170" s="44"/>
      <c r="DX1170" s="44"/>
      <c r="DY1170" s="44"/>
      <c r="DZ1170" s="44"/>
      <c r="EA1170" s="44"/>
      <c r="EB1170" s="44"/>
      <c r="EC1170" s="44"/>
      <c r="ED1170" s="44"/>
      <c r="EE1170" s="44"/>
      <c r="EF1170" s="44"/>
      <c r="EG1170" s="44"/>
      <c r="EH1170" s="44"/>
      <c r="EI1170" s="44"/>
      <c r="EJ1170" s="44"/>
      <c r="EK1170" s="44"/>
      <c r="EL1170" s="44"/>
      <c r="EM1170" s="44"/>
      <c r="EN1170" s="44"/>
      <c r="EO1170" s="44"/>
      <c r="EP1170" s="44"/>
      <c r="EQ1170" s="44"/>
      <c r="ER1170" s="44"/>
      <c r="ES1170" s="44"/>
      <c r="ET1170" s="44"/>
      <c r="EU1170" s="44"/>
      <c r="EV1170" s="44"/>
      <c r="EW1170" s="44"/>
      <c r="EX1170" s="44"/>
      <c r="EY1170" s="44"/>
      <c r="EZ1170" s="44"/>
      <c r="FA1170" s="44"/>
      <c r="FB1170" s="44"/>
      <c r="FC1170" s="44"/>
      <c r="FD1170" s="44"/>
      <c r="FE1170" s="44"/>
      <c r="FF1170" s="44"/>
      <c r="FG1170" s="44"/>
      <c r="FH1170" s="44"/>
      <c r="FI1170" s="44"/>
      <c r="FJ1170" s="44"/>
      <c r="FK1170" s="44"/>
      <c r="FL1170" s="44"/>
      <c r="FM1170" s="44"/>
      <c r="FN1170" s="44"/>
      <c r="FO1170" s="44"/>
      <c r="FP1170" s="44"/>
      <c r="FQ1170" s="44"/>
      <c r="FR1170" s="44"/>
      <c r="FS1170" s="44"/>
      <c r="FT1170" s="44"/>
      <c r="FU1170" s="44"/>
      <c r="FV1170" s="44"/>
      <c r="FW1170" s="44"/>
      <c r="FX1170" s="44"/>
      <c r="FY1170" s="44"/>
      <c r="FZ1170" s="44"/>
      <c r="GA1170" s="44"/>
      <c r="GB1170" s="44"/>
      <c r="GC1170" s="44"/>
      <c r="GD1170" s="44"/>
      <c r="GE1170" s="44"/>
      <c r="GF1170" s="44"/>
      <c r="GG1170" s="44"/>
      <c r="GH1170" s="44"/>
      <c r="GI1170" s="44"/>
      <c r="GJ1170" s="44"/>
      <c r="GK1170" s="44"/>
      <c r="GL1170" s="44"/>
      <c r="GM1170" s="44"/>
      <c r="GN1170" s="44"/>
      <c r="GO1170" s="44"/>
      <c r="GP1170" s="44"/>
      <c r="GQ1170" s="44"/>
      <c r="GR1170" s="44"/>
      <c r="GS1170" s="44"/>
      <c r="GT1170" s="44"/>
      <c r="GU1170" s="44"/>
      <c r="GV1170" s="44"/>
      <c r="GW1170" s="44"/>
      <c r="GX1170" s="44"/>
      <c r="GY1170" s="44"/>
      <c r="GZ1170" s="44"/>
      <c r="HA1170" s="44"/>
      <c r="HB1170" s="44"/>
      <c r="HC1170" s="44"/>
      <c r="HD1170" s="44"/>
      <c r="HE1170" s="44"/>
      <c r="HF1170" s="44"/>
      <c r="HG1170" s="44"/>
      <c r="HH1170" s="44"/>
      <c r="HI1170" s="44"/>
      <c r="HJ1170" s="44"/>
      <c r="HK1170" s="44"/>
      <c r="HL1170" s="44"/>
      <c r="HM1170" s="44"/>
      <c r="HN1170" s="44"/>
      <c r="HO1170" s="44"/>
      <c r="HP1170" s="44"/>
      <c r="HQ1170" s="44"/>
      <c r="HR1170" s="44"/>
      <c r="HS1170" s="44"/>
      <c r="HT1170" s="44"/>
      <c r="HU1170" s="44"/>
    </row>
    <row r="1171" spans="1:229" s="2" customFormat="1" ht="15">
      <c r="A1171" s="105">
        <v>1120</v>
      </c>
      <c r="B1171" s="113"/>
      <c r="C1171" s="124"/>
      <c r="D1171" s="8" t="s">
        <v>2512</v>
      </c>
      <c r="E1171" s="189" t="s">
        <v>2507</v>
      </c>
      <c r="F1171" s="107"/>
      <c r="G1171" s="107"/>
      <c r="H1171" s="107"/>
      <c r="I1171" s="8" t="s">
        <v>310</v>
      </c>
      <c r="J1171" s="108" t="s">
        <v>373</v>
      </c>
      <c r="K1171" s="57">
        <v>100</v>
      </c>
      <c r="L1171" s="58">
        <v>100</v>
      </c>
      <c r="M1171" s="4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44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  <c r="DK1171" s="44"/>
      <c r="DL1171" s="44"/>
      <c r="DM1171" s="44"/>
      <c r="DN1171" s="44"/>
      <c r="DO1171" s="44"/>
      <c r="DP1171" s="44"/>
      <c r="DQ1171" s="44"/>
      <c r="DR1171" s="44"/>
      <c r="DS1171" s="44"/>
      <c r="DT1171" s="44"/>
      <c r="DU1171" s="44"/>
      <c r="DV1171" s="44"/>
      <c r="DW1171" s="44"/>
      <c r="DX1171" s="44"/>
      <c r="DY1171" s="44"/>
      <c r="DZ1171" s="44"/>
      <c r="EA1171" s="44"/>
      <c r="EB1171" s="44"/>
      <c r="EC1171" s="44"/>
      <c r="ED1171" s="44"/>
      <c r="EE1171" s="44"/>
      <c r="EF1171" s="44"/>
      <c r="EG1171" s="44"/>
      <c r="EH1171" s="44"/>
      <c r="EI1171" s="44"/>
      <c r="EJ1171" s="44"/>
      <c r="EK1171" s="44"/>
      <c r="EL1171" s="44"/>
      <c r="EM1171" s="44"/>
      <c r="EN1171" s="44"/>
      <c r="EO1171" s="44"/>
      <c r="EP1171" s="44"/>
      <c r="EQ1171" s="44"/>
      <c r="ER1171" s="44"/>
      <c r="ES1171" s="44"/>
      <c r="ET1171" s="44"/>
      <c r="EU1171" s="44"/>
      <c r="EV1171" s="44"/>
      <c r="EW1171" s="44"/>
      <c r="EX1171" s="44"/>
      <c r="EY1171" s="44"/>
      <c r="EZ1171" s="44"/>
      <c r="FA1171" s="44"/>
      <c r="FB1171" s="44"/>
      <c r="FC1171" s="44"/>
      <c r="FD1171" s="44"/>
      <c r="FE1171" s="44"/>
      <c r="FF1171" s="44"/>
      <c r="FG1171" s="44"/>
      <c r="FH1171" s="44"/>
      <c r="FI1171" s="44"/>
      <c r="FJ1171" s="44"/>
      <c r="FK1171" s="44"/>
      <c r="FL1171" s="44"/>
      <c r="FM1171" s="44"/>
      <c r="FN1171" s="44"/>
      <c r="FO1171" s="44"/>
      <c r="FP1171" s="44"/>
      <c r="FQ1171" s="44"/>
      <c r="FR1171" s="44"/>
      <c r="FS1171" s="44"/>
      <c r="FT1171" s="44"/>
      <c r="FU1171" s="44"/>
      <c r="FV1171" s="44"/>
      <c r="FW1171" s="44"/>
      <c r="FX1171" s="44"/>
      <c r="FY1171" s="44"/>
      <c r="FZ1171" s="44"/>
      <c r="GA1171" s="44"/>
      <c r="GB1171" s="44"/>
      <c r="GC1171" s="44"/>
      <c r="GD1171" s="44"/>
      <c r="GE1171" s="44"/>
      <c r="GF1171" s="44"/>
      <c r="GG1171" s="44"/>
      <c r="GH1171" s="44"/>
      <c r="GI1171" s="44"/>
      <c r="GJ1171" s="44"/>
      <c r="GK1171" s="44"/>
      <c r="GL1171" s="44"/>
      <c r="GM1171" s="44"/>
      <c r="GN1171" s="44"/>
      <c r="GO1171" s="44"/>
      <c r="GP1171" s="44"/>
      <c r="GQ1171" s="44"/>
      <c r="GR1171" s="44"/>
      <c r="GS1171" s="44"/>
      <c r="GT1171" s="44"/>
      <c r="GU1171" s="44"/>
      <c r="GV1171" s="44"/>
      <c r="GW1171" s="44"/>
      <c r="GX1171" s="44"/>
      <c r="GY1171" s="44"/>
      <c r="GZ1171" s="44"/>
      <c r="HA1171" s="44"/>
      <c r="HB1171" s="44"/>
      <c r="HC1171" s="44"/>
      <c r="HD1171" s="44"/>
      <c r="HE1171" s="44"/>
      <c r="HF1171" s="44"/>
      <c r="HG1171" s="44"/>
      <c r="HH1171" s="44"/>
      <c r="HI1171" s="44"/>
      <c r="HJ1171" s="44"/>
      <c r="HK1171" s="44"/>
      <c r="HL1171" s="44"/>
      <c r="HM1171" s="44"/>
      <c r="HN1171" s="44"/>
      <c r="HO1171" s="44"/>
      <c r="HP1171" s="44"/>
      <c r="HQ1171" s="44"/>
      <c r="HR1171" s="44"/>
      <c r="HS1171" s="44"/>
      <c r="HT1171" s="44"/>
      <c r="HU1171" s="44"/>
    </row>
    <row r="1172" spans="1:229" s="2" customFormat="1" ht="15">
      <c r="A1172" s="105">
        <v>1121</v>
      </c>
      <c r="B1172" s="113"/>
      <c r="C1172" s="124"/>
      <c r="D1172" s="8" t="s">
        <v>2513</v>
      </c>
      <c r="E1172" s="189" t="s">
        <v>174</v>
      </c>
      <c r="F1172" s="107"/>
      <c r="G1172" s="107"/>
      <c r="H1172" s="107"/>
      <c r="I1172" s="8" t="s">
        <v>310</v>
      </c>
      <c r="J1172" s="108" t="s">
        <v>373</v>
      </c>
      <c r="K1172" s="57">
        <v>100</v>
      </c>
      <c r="L1172" s="58">
        <v>100</v>
      </c>
      <c r="M1172" s="4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44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  <c r="DK1172" s="44"/>
      <c r="DL1172" s="44"/>
      <c r="DM1172" s="44"/>
      <c r="DN1172" s="44"/>
      <c r="DO1172" s="44"/>
      <c r="DP1172" s="44"/>
      <c r="DQ1172" s="44"/>
      <c r="DR1172" s="44"/>
      <c r="DS1172" s="44"/>
      <c r="DT1172" s="44"/>
      <c r="DU1172" s="44"/>
      <c r="DV1172" s="44"/>
      <c r="DW1172" s="44"/>
      <c r="DX1172" s="44"/>
      <c r="DY1172" s="44"/>
      <c r="DZ1172" s="44"/>
      <c r="EA1172" s="44"/>
      <c r="EB1172" s="44"/>
      <c r="EC1172" s="44"/>
      <c r="ED1172" s="44"/>
      <c r="EE1172" s="44"/>
      <c r="EF1172" s="44"/>
      <c r="EG1172" s="44"/>
      <c r="EH1172" s="44"/>
      <c r="EI1172" s="44"/>
      <c r="EJ1172" s="44"/>
      <c r="EK1172" s="44"/>
      <c r="EL1172" s="44"/>
      <c r="EM1172" s="44"/>
      <c r="EN1172" s="44"/>
      <c r="EO1172" s="44"/>
      <c r="EP1172" s="44"/>
      <c r="EQ1172" s="44"/>
      <c r="ER1172" s="44"/>
      <c r="ES1172" s="44"/>
      <c r="ET1172" s="44"/>
      <c r="EU1172" s="44"/>
      <c r="EV1172" s="44"/>
      <c r="EW1172" s="44"/>
      <c r="EX1172" s="44"/>
      <c r="EY1172" s="44"/>
      <c r="EZ1172" s="44"/>
      <c r="FA1172" s="44"/>
      <c r="FB1172" s="44"/>
      <c r="FC1172" s="44"/>
      <c r="FD1172" s="44"/>
      <c r="FE1172" s="44"/>
      <c r="FF1172" s="44"/>
      <c r="FG1172" s="44"/>
      <c r="FH1172" s="44"/>
      <c r="FI1172" s="44"/>
      <c r="FJ1172" s="44"/>
      <c r="FK1172" s="44"/>
      <c r="FL1172" s="44"/>
      <c r="FM1172" s="44"/>
      <c r="FN1172" s="44"/>
      <c r="FO1172" s="44"/>
      <c r="FP1172" s="44"/>
      <c r="FQ1172" s="44"/>
      <c r="FR1172" s="44"/>
      <c r="FS1172" s="44"/>
      <c r="FT1172" s="44"/>
      <c r="FU1172" s="44"/>
      <c r="FV1172" s="44"/>
      <c r="FW1172" s="44"/>
      <c r="FX1172" s="44"/>
      <c r="FY1172" s="44"/>
      <c r="FZ1172" s="44"/>
      <c r="GA1172" s="44"/>
      <c r="GB1172" s="44"/>
      <c r="GC1172" s="44"/>
      <c r="GD1172" s="44"/>
      <c r="GE1172" s="44"/>
      <c r="GF1172" s="44"/>
      <c r="GG1172" s="44"/>
      <c r="GH1172" s="44"/>
      <c r="GI1172" s="44"/>
      <c r="GJ1172" s="44"/>
      <c r="GK1172" s="44"/>
      <c r="GL1172" s="44"/>
      <c r="GM1172" s="44"/>
      <c r="GN1172" s="44"/>
      <c r="GO1172" s="44"/>
      <c r="GP1172" s="44"/>
      <c r="GQ1172" s="44"/>
      <c r="GR1172" s="44"/>
      <c r="GS1172" s="44"/>
      <c r="GT1172" s="44"/>
      <c r="GU1172" s="44"/>
      <c r="GV1172" s="44"/>
      <c r="GW1172" s="44"/>
      <c r="GX1172" s="44"/>
      <c r="GY1172" s="44"/>
      <c r="GZ1172" s="44"/>
      <c r="HA1172" s="44"/>
      <c r="HB1172" s="44"/>
      <c r="HC1172" s="44"/>
      <c r="HD1172" s="44"/>
      <c r="HE1172" s="44"/>
      <c r="HF1172" s="44"/>
      <c r="HG1172" s="44"/>
      <c r="HH1172" s="44"/>
      <c r="HI1172" s="44"/>
      <c r="HJ1172" s="44"/>
      <c r="HK1172" s="44"/>
      <c r="HL1172" s="44"/>
      <c r="HM1172" s="44"/>
      <c r="HN1172" s="44"/>
      <c r="HO1172" s="44"/>
      <c r="HP1172" s="44"/>
      <c r="HQ1172" s="44"/>
      <c r="HR1172" s="44"/>
      <c r="HS1172" s="44"/>
      <c r="HT1172" s="44"/>
      <c r="HU1172" s="44"/>
    </row>
    <row r="1173" spans="1:229" s="2" customFormat="1" ht="15">
      <c r="A1173" s="105">
        <v>1122</v>
      </c>
      <c r="B1173" s="113"/>
      <c r="C1173" s="124"/>
      <c r="D1173" s="8" t="s">
        <v>2514</v>
      </c>
      <c r="E1173" s="189" t="s">
        <v>175</v>
      </c>
      <c r="F1173" s="107"/>
      <c r="G1173" s="107"/>
      <c r="H1173" s="107"/>
      <c r="I1173" s="8" t="s">
        <v>310</v>
      </c>
      <c r="J1173" s="108" t="s">
        <v>373</v>
      </c>
      <c r="K1173" s="57">
        <v>100</v>
      </c>
      <c r="L1173" s="58">
        <v>100</v>
      </c>
      <c r="M1173" s="4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44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  <c r="DK1173" s="44"/>
      <c r="DL1173" s="44"/>
      <c r="DM1173" s="44"/>
      <c r="DN1173" s="44"/>
      <c r="DO1173" s="44"/>
      <c r="DP1173" s="44"/>
      <c r="DQ1173" s="44"/>
      <c r="DR1173" s="44"/>
      <c r="DS1173" s="44"/>
      <c r="DT1173" s="44"/>
      <c r="DU1173" s="44"/>
      <c r="DV1173" s="44"/>
      <c r="DW1173" s="44"/>
      <c r="DX1173" s="44"/>
      <c r="DY1173" s="44"/>
      <c r="DZ1173" s="44"/>
      <c r="EA1173" s="44"/>
      <c r="EB1173" s="44"/>
      <c r="EC1173" s="44"/>
      <c r="ED1173" s="44"/>
      <c r="EE1173" s="44"/>
      <c r="EF1173" s="44"/>
      <c r="EG1173" s="44"/>
      <c r="EH1173" s="44"/>
      <c r="EI1173" s="44"/>
      <c r="EJ1173" s="44"/>
      <c r="EK1173" s="44"/>
      <c r="EL1173" s="44"/>
      <c r="EM1173" s="44"/>
      <c r="EN1173" s="44"/>
      <c r="EO1173" s="44"/>
      <c r="EP1173" s="44"/>
      <c r="EQ1173" s="44"/>
      <c r="ER1173" s="44"/>
      <c r="ES1173" s="44"/>
      <c r="ET1173" s="44"/>
      <c r="EU1173" s="44"/>
      <c r="EV1173" s="44"/>
      <c r="EW1173" s="44"/>
      <c r="EX1173" s="44"/>
      <c r="EY1173" s="44"/>
      <c r="EZ1173" s="44"/>
      <c r="FA1173" s="44"/>
      <c r="FB1173" s="44"/>
      <c r="FC1173" s="44"/>
      <c r="FD1173" s="44"/>
      <c r="FE1173" s="44"/>
      <c r="FF1173" s="44"/>
      <c r="FG1173" s="44"/>
      <c r="FH1173" s="44"/>
      <c r="FI1173" s="44"/>
      <c r="FJ1173" s="44"/>
      <c r="FK1173" s="44"/>
      <c r="FL1173" s="44"/>
      <c r="FM1173" s="44"/>
      <c r="FN1173" s="44"/>
      <c r="FO1173" s="44"/>
      <c r="FP1173" s="44"/>
      <c r="FQ1173" s="44"/>
      <c r="FR1173" s="44"/>
      <c r="FS1173" s="44"/>
      <c r="FT1173" s="44"/>
      <c r="FU1173" s="44"/>
      <c r="FV1173" s="44"/>
      <c r="FW1173" s="44"/>
      <c r="FX1173" s="44"/>
      <c r="FY1173" s="44"/>
      <c r="FZ1173" s="44"/>
      <c r="GA1173" s="44"/>
      <c r="GB1173" s="44"/>
      <c r="GC1173" s="44"/>
      <c r="GD1173" s="44"/>
      <c r="GE1173" s="44"/>
      <c r="GF1173" s="44"/>
      <c r="GG1173" s="44"/>
      <c r="GH1173" s="44"/>
      <c r="GI1173" s="44"/>
      <c r="GJ1173" s="44"/>
      <c r="GK1173" s="44"/>
      <c r="GL1173" s="44"/>
      <c r="GM1173" s="44"/>
      <c r="GN1173" s="44"/>
      <c r="GO1173" s="44"/>
      <c r="GP1173" s="44"/>
      <c r="GQ1173" s="44"/>
      <c r="GR1173" s="44"/>
      <c r="GS1173" s="44"/>
      <c r="GT1173" s="44"/>
      <c r="GU1173" s="44"/>
      <c r="GV1173" s="44"/>
      <c r="GW1173" s="44"/>
      <c r="GX1173" s="44"/>
      <c r="GY1173" s="44"/>
      <c r="GZ1173" s="44"/>
      <c r="HA1173" s="44"/>
      <c r="HB1173" s="44"/>
      <c r="HC1173" s="44"/>
      <c r="HD1173" s="44"/>
      <c r="HE1173" s="44"/>
      <c r="HF1173" s="44"/>
      <c r="HG1173" s="44"/>
      <c r="HH1173" s="44"/>
      <c r="HI1173" s="44"/>
      <c r="HJ1173" s="44"/>
      <c r="HK1173" s="44"/>
      <c r="HL1173" s="44"/>
      <c r="HM1173" s="44"/>
      <c r="HN1173" s="44"/>
      <c r="HO1173" s="44"/>
      <c r="HP1173" s="44"/>
      <c r="HQ1173" s="44"/>
      <c r="HR1173" s="44"/>
      <c r="HS1173" s="44"/>
      <c r="HT1173" s="44"/>
      <c r="HU1173" s="44"/>
    </row>
    <row r="1174" spans="1:229" s="2" customFormat="1" ht="15">
      <c r="A1174" s="105">
        <v>1123</v>
      </c>
      <c r="B1174" s="113"/>
      <c r="C1174" s="124"/>
      <c r="D1174" s="8" t="s">
        <v>2515</v>
      </c>
      <c r="E1174" s="189" t="s">
        <v>176</v>
      </c>
      <c r="F1174" s="107"/>
      <c r="G1174" s="107"/>
      <c r="H1174" s="107"/>
      <c r="I1174" s="8" t="s">
        <v>310</v>
      </c>
      <c r="J1174" s="108" t="s">
        <v>373</v>
      </c>
      <c r="K1174" s="57">
        <v>100</v>
      </c>
      <c r="L1174" s="58">
        <v>100</v>
      </c>
      <c r="M1174" s="4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44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  <c r="DK1174" s="44"/>
      <c r="DL1174" s="44"/>
      <c r="DM1174" s="44"/>
      <c r="DN1174" s="44"/>
      <c r="DO1174" s="44"/>
      <c r="DP1174" s="44"/>
      <c r="DQ1174" s="44"/>
      <c r="DR1174" s="44"/>
      <c r="DS1174" s="44"/>
      <c r="DT1174" s="44"/>
      <c r="DU1174" s="44"/>
      <c r="DV1174" s="44"/>
      <c r="DW1174" s="44"/>
      <c r="DX1174" s="44"/>
      <c r="DY1174" s="44"/>
      <c r="DZ1174" s="44"/>
      <c r="EA1174" s="44"/>
      <c r="EB1174" s="44"/>
      <c r="EC1174" s="44"/>
      <c r="ED1174" s="44"/>
      <c r="EE1174" s="44"/>
      <c r="EF1174" s="44"/>
      <c r="EG1174" s="44"/>
      <c r="EH1174" s="44"/>
      <c r="EI1174" s="44"/>
      <c r="EJ1174" s="44"/>
      <c r="EK1174" s="44"/>
      <c r="EL1174" s="44"/>
      <c r="EM1174" s="44"/>
      <c r="EN1174" s="44"/>
      <c r="EO1174" s="44"/>
      <c r="EP1174" s="44"/>
      <c r="EQ1174" s="44"/>
      <c r="ER1174" s="44"/>
      <c r="ES1174" s="44"/>
      <c r="ET1174" s="44"/>
      <c r="EU1174" s="44"/>
      <c r="EV1174" s="44"/>
      <c r="EW1174" s="44"/>
      <c r="EX1174" s="44"/>
      <c r="EY1174" s="44"/>
      <c r="EZ1174" s="44"/>
      <c r="FA1174" s="44"/>
      <c r="FB1174" s="44"/>
      <c r="FC1174" s="44"/>
      <c r="FD1174" s="44"/>
      <c r="FE1174" s="44"/>
      <c r="FF1174" s="44"/>
      <c r="FG1174" s="44"/>
      <c r="FH1174" s="44"/>
      <c r="FI1174" s="44"/>
      <c r="FJ1174" s="44"/>
      <c r="FK1174" s="44"/>
      <c r="FL1174" s="44"/>
      <c r="FM1174" s="44"/>
      <c r="FN1174" s="44"/>
      <c r="FO1174" s="44"/>
      <c r="FP1174" s="44"/>
      <c r="FQ1174" s="44"/>
      <c r="FR1174" s="44"/>
      <c r="FS1174" s="44"/>
      <c r="FT1174" s="44"/>
      <c r="FU1174" s="44"/>
      <c r="FV1174" s="44"/>
      <c r="FW1174" s="44"/>
      <c r="FX1174" s="44"/>
      <c r="FY1174" s="44"/>
      <c r="FZ1174" s="44"/>
      <c r="GA1174" s="44"/>
      <c r="GB1174" s="44"/>
      <c r="GC1174" s="44"/>
      <c r="GD1174" s="44"/>
      <c r="GE1174" s="44"/>
      <c r="GF1174" s="44"/>
      <c r="GG1174" s="44"/>
      <c r="GH1174" s="44"/>
      <c r="GI1174" s="44"/>
      <c r="GJ1174" s="44"/>
      <c r="GK1174" s="44"/>
      <c r="GL1174" s="44"/>
      <c r="GM1174" s="44"/>
      <c r="GN1174" s="44"/>
      <c r="GO1174" s="44"/>
      <c r="GP1174" s="44"/>
      <c r="GQ1174" s="44"/>
      <c r="GR1174" s="44"/>
      <c r="GS1174" s="44"/>
      <c r="GT1174" s="44"/>
      <c r="GU1174" s="44"/>
      <c r="GV1174" s="44"/>
      <c r="GW1174" s="44"/>
      <c r="GX1174" s="44"/>
      <c r="GY1174" s="44"/>
      <c r="GZ1174" s="44"/>
      <c r="HA1174" s="44"/>
      <c r="HB1174" s="44"/>
      <c r="HC1174" s="44"/>
      <c r="HD1174" s="44"/>
      <c r="HE1174" s="44"/>
      <c r="HF1174" s="44"/>
      <c r="HG1174" s="44"/>
      <c r="HH1174" s="44"/>
      <c r="HI1174" s="44"/>
      <c r="HJ1174" s="44"/>
      <c r="HK1174" s="44"/>
      <c r="HL1174" s="44"/>
      <c r="HM1174" s="44"/>
      <c r="HN1174" s="44"/>
      <c r="HO1174" s="44"/>
      <c r="HP1174" s="44"/>
      <c r="HQ1174" s="44"/>
      <c r="HR1174" s="44"/>
      <c r="HS1174" s="44"/>
      <c r="HT1174" s="44"/>
      <c r="HU1174" s="44"/>
    </row>
    <row r="1175" spans="1:229" s="2" customFormat="1" ht="15">
      <c r="A1175" s="105">
        <v>1124</v>
      </c>
      <c r="B1175" s="113"/>
      <c r="C1175" s="124"/>
      <c r="D1175" s="8" t="s">
        <v>2516</v>
      </c>
      <c r="E1175" s="189" t="s">
        <v>1846</v>
      </c>
      <c r="F1175" s="107"/>
      <c r="G1175" s="107"/>
      <c r="H1175" s="107"/>
      <c r="I1175" s="8" t="s">
        <v>310</v>
      </c>
      <c r="J1175" s="108" t="s">
        <v>373</v>
      </c>
      <c r="K1175" s="57">
        <v>100</v>
      </c>
      <c r="L1175" s="58">
        <v>100</v>
      </c>
      <c r="M1175" s="4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44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  <c r="DK1175" s="44"/>
      <c r="DL1175" s="44"/>
      <c r="DM1175" s="44"/>
      <c r="DN1175" s="44"/>
      <c r="DO1175" s="44"/>
      <c r="DP1175" s="44"/>
      <c r="DQ1175" s="44"/>
      <c r="DR1175" s="44"/>
      <c r="DS1175" s="44"/>
      <c r="DT1175" s="44"/>
      <c r="DU1175" s="44"/>
      <c r="DV1175" s="44"/>
      <c r="DW1175" s="44"/>
      <c r="DX1175" s="44"/>
      <c r="DY1175" s="44"/>
      <c r="DZ1175" s="44"/>
      <c r="EA1175" s="44"/>
      <c r="EB1175" s="44"/>
      <c r="EC1175" s="44"/>
      <c r="ED1175" s="44"/>
      <c r="EE1175" s="44"/>
      <c r="EF1175" s="44"/>
      <c r="EG1175" s="44"/>
      <c r="EH1175" s="44"/>
      <c r="EI1175" s="44"/>
      <c r="EJ1175" s="44"/>
      <c r="EK1175" s="44"/>
      <c r="EL1175" s="44"/>
      <c r="EM1175" s="44"/>
      <c r="EN1175" s="44"/>
      <c r="EO1175" s="44"/>
      <c r="EP1175" s="44"/>
      <c r="EQ1175" s="44"/>
      <c r="ER1175" s="44"/>
      <c r="ES1175" s="44"/>
      <c r="ET1175" s="44"/>
      <c r="EU1175" s="44"/>
      <c r="EV1175" s="44"/>
      <c r="EW1175" s="44"/>
      <c r="EX1175" s="44"/>
      <c r="EY1175" s="44"/>
      <c r="EZ1175" s="44"/>
      <c r="FA1175" s="44"/>
      <c r="FB1175" s="44"/>
      <c r="FC1175" s="44"/>
      <c r="FD1175" s="44"/>
      <c r="FE1175" s="44"/>
      <c r="FF1175" s="44"/>
      <c r="FG1175" s="44"/>
      <c r="FH1175" s="44"/>
      <c r="FI1175" s="44"/>
      <c r="FJ1175" s="44"/>
      <c r="FK1175" s="44"/>
      <c r="FL1175" s="44"/>
      <c r="FM1175" s="44"/>
      <c r="FN1175" s="44"/>
      <c r="FO1175" s="44"/>
      <c r="FP1175" s="44"/>
      <c r="FQ1175" s="44"/>
      <c r="FR1175" s="44"/>
      <c r="FS1175" s="44"/>
      <c r="FT1175" s="44"/>
      <c r="FU1175" s="44"/>
      <c r="FV1175" s="44"/>
      <c r="FW1175" s="44"/>
      <c r="FX1175" s="44"/>
      <c r="FY1175" s="44"/>
      <c r="FZ1175" s="44"/>
      <c r="GA1175" s="44"/>
      <c r="GB1175" s="44"/>
      <c r="GC1175" s="44"/>
      <c r="GD1175" s="44"/>
      <c r="GE1175" s="44"/>
      <c r="GF1175" s="44"/>
      <c r="GG1175" s="44"/>
      <c r="GH1175" s="44"/>
      <c r="GI1175" s="44"/>
      <c r="GJ1175" s="44"/>
      <c r="GK1175" s="44"/>
      <c r="GL1175" s="44"/>
      <c r="GM1175" s="44"/>
      <c r="GN1175" s="44"/>
      <c r="GO1175" s="44"/>
      <c r="GP1175" s="44"/>
      <c r="GQ1175" s="44"/>
      <c r="GR1175" s="44"/>
      <c r="GS1175" s="44"/>
      <c r="GT1175" s="44"/>
      <c r="GU1175" s="44"/>
      <c r="GV1175" s="44"/>
      <c r="GW1175" s="44"/>
      <c r="GX1175" s="44"/>
      <c r="GY1175" s="44"/>
      <c r="GZ1175" s="44"/>
      <c r="HA1175" s="44"/>
      <c r="HB1175" s="44"/>
      <c r="HC1175" s="44"/>
      <c r="HD1175" s="44"/>
      <c r="HE1175" s="44"/>
      <c r="HF1175" s="44"/>
      <c r="HG1175" s="44"/>
      <c r="HH1175" s="44"/>
      <c r="HI1175" s="44"/>
      <c r="HJ1175" s="44"/>
      <c r="HK1175" s="44"/>
      <c r="HL1175" s="44"/>
      <c r="HM1175" s="44"/>
      <c r="HN1175" s="44"/>
      <c r="HO1175" s="44"/>
      <c r="HP1175" s="44"/>
      <c r="HQ1175" s="44"/>
      <c r="HR1175" s="44"/>
      <c r="HS1175" s="44"/>
      <c r="HT1175" s="44"/>
      <c r="HU1175" s="44"/>
    </row>
    <row r="1176" spans="1:229" s="2" customFormat="1" ht="15">
      <c r="A1176" s="105">
        <v>1125</v>
      </c>
      <c r="B1176" s="113"/>
      <c r="C1176" s="124"/>
      <c r="D1176" s="8" t="s">
        <v>2517</v>
      </c>
      <c r="E1176" s="189" t="s">
        <v>2508</v>
      </c>
      <c r="F1176" s="107"/>
      <c r="G1176" s="107"/>
      <c r="H1176" s="107"/>
      <c r="I1176" s="8" t="s">
        <v>310</v>
      </c>
      <c r="J1176" s="108" t="s">
        <v>373</v>
      </c>
      <c r="K1176" s="57">
        <v>100</v>
      </c>
      <c r="L1176" s="58">
        <v>100</v>
      </c>
      <c r="M1176" s="4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44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  <c r="DK1176" s="44"/>
      <c r="DL1176" s="44"/>
      <c r="DM1176" s="44"/>
      <c r="DN1176" s="44"/>
      <c r="DO1176" s="44"/>
      <c r="DP1176" s="44"/>
      <c r="DQ1176" s="44"/>
      <c r="DR1176" s="44"/>
      <c r="DS1176" s="44"/>
      <c r="DT1176" s="44"/>
      <c r="DU1176" s="44"/>
      <c r="DV1176" s="44"/>
      <c r="DW1176" s="44"/>
      <c r="DX1176" s="44"/>
      <c r="DY1176" s="44"/>
      <c r="DZ1176" s="44"/>
      <c r="EA1176" s="44"/>
      <c r="EB1176" s="44"/>
      <c r="EC1176" s="44"/>
      <c r="ED1176" s="44"/>
      <c r="EE1176" s="44"/>
      <c r="EF1176" s="44"/>
      <c r="EG1176" s="44"/>
      <c r="EH1176" s="44"/>
      <c r="EI1176" s="44"/>
      <c r="EJ1176" s="44"/>
      <c r="EK1176" s="44"/>
      <c r="EL1176" s="44"/>
      <c r="EM1176" s="44"/>
      <c r="EN1176" s="44"/>
      <c r="EO1176" s="44"/>
      <c r="EP1176" s="44"/>
      <c r="EQ1176" s="44"/>
      <c r="ER1176" s="44"/>
      <c r="ES1176" s="44"/>
      <c r="ET1176" s="44"/>
      <c r="EU1176" s="44"/>
      <c r="EV1176" s="44"/>
      <c r="EW1176" s="44"/>
      <c r="EX1176" s="44"/>
      <c r="EY1176" s="44"/>
      <c r="EZ1176" s="44"/>
      <c r="FA1176" s="44"/>
      <c r="FB1176" s="44"/>
      <c r="FC1176" s="44"/>
      <c r="FD1176" s="44"/>
      <c r="FE1176" s="44"/>
      <c r="FF1176" s="44"/>
      <c r="FG1176" s="44"/>
      <c r="FH1176" s="44"/>
      <c r="FI1176" s="44"/>
      <c r="FJ1176" s="44"/>
      <c r="FK1176" s="44"/>
      <c r="FL1176" s="44"/>
      <c r="FM1176" s="44"/>
      <c r="FN1176" s="44"/>
      <c r="FO1176" s="44"/>
      <c r="FP1176" s="44"/>
      <c r="FQ1176" s="44"/>
      <c r="FR1176" s="44"/>
      <c r="FS1176" s="44"/>
      <c r="FT1176" s="44"/>
      <c r="FU1176" s="44"/>
      <c r="FV1176" s="44"/>
      <c r="FW1176" s="44"/>
      <c r="FX1176" s="44"/>
      <c r="FY1176" s="44"/>
      <c r="FZ1176" s="44"/>
      <c r="GA1176" s="44"/>
      <c r="GB1176" s="44"/>
      <c r="GC1176" s="44"/>
      <c r="GD1176" s="44"/>
      <c r="GE1176" s="44"/>
      <c r="GF1176" s="44"/>
      <c r="GG1176" s="44"/>
      <c r="GH1176" s="44"/>
      <c r="GI1176" s="44"/>
      <c r="GJ1176" s="44"/>
      <c r="GK1176" s="44"/>
      <c r="GL1176" s="44"/>
      <c r="GM1176" s="44"/>
      <c r="GN1176" s="44"/>
      <c r="GO1176" s="44"/>
      <c r="GP1176" s="44"/>
      <c r="GQ1176" s="44"/>
      <c r="GR1176" s="44"/>
      <c r="GS1176" s="44"/>
      <c r="GT1176" s="44"/>
      <c r="GU1176" s="44"/>
      <c r="GV1176" s="44"/>
      <c r="GW1176" s="44"/>
      <c r="GX1176" s="44"/>
      <c r="GY1176" s="44"/>
      <c r="GZ1176" s="44"/>
      <c r="HA1176" s="44"/>
      <c r="HB1176" s="44"/>
      <c r="HC1176" s="44"/>
      <c r="HD1176" s="44"/>
      <c r="HE1176" s="44"/>
      <c r="HF1176" s="44"/>
      <c r="HG1176" s="44"/>
      <c r="HH1176" s="44"/>
      <c r="HI1176" s="44"/>
      <c r="HJ1176" s="44"/>
      <c r="HK1176" s="44"/>
      <c r="HL1176" s="44"/>
      <c r="HM1176" s="44"/>
      <c r="HN1176" s="44"/>
      <c r="HO1176" s="44"/>
      <c r="HP1176" s="44"/>
      <c r="HQ1176" s="44"/>
      <c r="HR1176" s="44"/>
      <c r="HS1176" s="44"/>
      <c r="HT1176" s="44"/>
      <c r="HU1176" s="44"/>
    </row>
    <row r="1177" spans="1:229" s="2" customFormat="1" ht="15">
      <c r="A1177" s="105">
        <v>1126</v>
      </c>
      <c r="B1177" s="113"/>
      <c r="C1177" s="124"/>
      <c r="D1177" s="8" t="s">
        <v>2518</v>
      </c>
      <c r="E1177" s="189" t="s">
        <v>178</v>
      </c>
      <c r="F1177" s="107"/>
      <c r="G1177" s="107"/>
      <c r="H1177" s="107"/>
      <c r="I1177" s="8" t="s">
        <v>310</v>
      </c>
      <c r="J1177" s="108" t="s">
        <v>373</v>
      </c>
      <c r="K1177" s="57">
        <v>100</v>
      </c>
      <c r="L1177" s="58">
        <v>100</v>
      </c>
      <c r="M1177" s="4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44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  <c r="DK1177" s="44"/>
      <c r="DL1177" s="44"/>
      <c r="DM1177" s="44"/>
      <c r="DN1177" s="44"/>
      <c r="DO1177" s="44"/>
      <c r="DP1177" s="44"/>
      <c r="DQ1177" s="44"/>
      <c r="DR1177" s="44"/>
      <c r="DS1177" s="44"/>
      <c r="DT1177" s="44"/>
      <c r="DU1177" s="44"/>
      <c r="DV1177" s="44"/>
      <c r="DW1177" s="44"/>
      <c r="DX1177" s="44"/>
      <c r="DY1177" s="44"/>
      <c r="DZ1177" s="44"/>
      <c r="EA1177" s="44"/>
      <c r="EB1177" s="44"/>
      <c r="EC1177" s="44"/>
      <c r="ED1177" s="44"/>
      <c r="EE1177" s="44"/>
      <c r="EF1177" s="44"/>
      <c r="EG1177" s="44"/>
      <c r="EH1177" s="44"/>
      <c r="EI1177" s="44"/>
      <c r="EJ1177" s="44"/>
      <c r="EK1177" s="44"/>
      <c r="EL1177" s="44"/>
      <c r="EM1177" s="44"/>
      <c r="EN1177" s="44"/>
      <c r="EO1177" s="44"/>
      <c r="EP1177" s="44"/>
      <c r="EQ1177" s="44"/>
      <c r="ER1177" s="44"/>
      <c r="ES1177" s="44"/>
      <c r="ET1177" s="44"/>
      <c r="EU1177" s="44"/>
      <c r="EV1177" s="44"/>
      <c r="EW1177" s="44"/>
      <c r="EX1177" s="44"/>
      <c r="EY1177" s="44"/>
      <c r="EZ1177" s="44"/>
      <c r="FA1177" s="44"/>
      <c r="FB1177" s="44"/>
      <c r="FC1177" s="44"/>
      <c r="FD1177" s="44"/>
      <c r="FE1177" s="44"/>
      <c r="FF1177" s="44"/>
      <c r="FG1177" s="44"/>
      <c r="FH1177" s="44"/>
      <c r="FI1177" s="44"/>
      <c r="FJ1177" s="44"/>
      <c r="FK1177" s="44"/>
      <c r="FL1177" s="44"/>
      <c r="FM1177" s="44"/>
      <c r="FN1177" s="44"/>
      <c r="FO1177" s="44"/>
      <c r="FP1177" s="44"/>
      <c r="FQ1177" s="44"/>
      <c r="FR1177" s="44"/>
      <c r="FS1177" s="44"/>
      <c r="FT1177" s="44"/>
      <c r="FU1177" s="44"/>
      <c r="FV1177" s="44"/>
      <c r="FW1177" s="44"/>
      <c r="FX1177" s="44"/>
      <c r="FY1177" s="44"/>
      <c r="FZ1177" s="44"/>
      <c r="GA1177" s="44"/>
      <c r="GB1177" s="44"/>
      <c r="GC1177" s="44"/>
      <c r="GD1177" s="44"/>
      <c r="GE1177" s="44"/>
      <c r="GF1177" s="44"/>
      <c r="GG1177" s="44"/>
      <c r="GH1177" s="44"/>
      <c r="GI1177" s="44"/>
      <c r="GJ1177" s="44"/>
      <c r="GK1177" s="44"/>
      <c r="GL1177" s="44"/>
      <c r="GM1177" s="44"/>
      <c r="GN1177" s="44"/>
      <c r="GO1177" s="44"/>
      <c r="GP1177" s="44"/>
      <c r="GQ1177" s="44"/>
      <c r="GR1177" s="44"/>
      <c r="GS1177" s="44"/>
      <c r="GT1177" s="44"/>
      <c r="GU1177" s="44"/>
      <c r="GV1177" s="44"/>
      <c r="GW1177" s="44"/>
      <c r="GX1177" s="44"/>
      <c r="GY1177" s="44"/>
      <c r="GZ1177" s="44"/>
      <c r="HA1177" s="44"/>
      <c r="HB1177" s="44"/>
      <c r="HC1177" s="44"/>
      <c r="HD1177" s="44"/>
      <c r="HE1177" s="44"/>
      <c r="HF1177" s="44"/>
      <c r="HG1177" s="44"/>
      <c r="HH1177" s="44"/>
      <c r="HI1177" s="44"/>
      <c r="HJ1177" s="44"/>
      <c r="HK1177" s="44"/>
      <c r="HL1177" s="44"/>
      <c r="HM1177" s="44"/>
      <c r="HN1177" s="44"/>
      <c r="HO1177" s="44"/>
      <c r="HP1177" s="44"/>
      <c r="HQ1177" s="44"/>
      <c r="HR1177" s="44"/>
      <c r="HS1177" s="44"/>
      <c r="HT1177" s="44"/>
      <c r="HU1177" s="44"/>
    </row>
    <row r="1178" spans="1:229" s="2" customFormat="1" ht="15">
      <c r="A1178" s="105">
        <v>1127</v>
      </c>
      <c r="B1178" s="113"/>
      <c r="C1178" s="124"/>
      <c r="D1178" s="8" t="s">
        <v>2519</v>
      </c>
      <c r="E1178" s="189" t="s">
        <v>179</v>
      </c>
      <c r="F1178" s="107"/>
      <c r="G1178" s="107"/>
      <c r="H1178" s="107"/>
      <c r="I1178" s="8" t="s">
        <v>310</v>
      </c>
      <c r="J1178" s="108" t="s">
        <v>373</v>
      </c>
      <c r="K1178" s="57">
        <v>100</v>
      </c>
      <c r="L1178" s="58">
        <v>100</v>
      </c>
      <c r="M1178" s="4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44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  <c r="DK1178" s="44"/>
      <c r="DL1178" s="44"/>
      <c r="DM1178" s="44"/>
      <c r="DN1178" s="44"/>
      <c r="DO1178" s="44"/>
      <c r="DP1178" s="44"/>
      <c r="DQ1178" s="44"/>
      <c r="DR1178" s="44"/>
      <c r="DS1178" s="44"/>
      <c r="DT1178" s="44"/>
      <c r="DU1178" s="44"/>
      <c r="DV1178" s="44"/>
      <c r="DW1178" s="44"/>
      <c r="DX1178" s="44"/>
      <c r="DY1178" s="44"/>
      <c r="DZ1178" s="44"/>
      <c r="EA1178" s="44"/>
      <c r="EB1178" s="44"/>
      <c r="EC1178" s="44"/>
      <c r="ED1178" s="44"/>
      <c r="EE1178" s="44"/>
      <c r="EF1178" s="44"/>
      <c r="EG1178" s="44"/>
      <c r="EH1178" s="44"/>
      <c r="EI1178" s="44"/>
      <c r="EJ1178" s="44"/>
      <c r="EK1178" s="44"/>
      <c r="EL1178" s="44"/>
      <c r="EM1178" s="44"/>
      <c r="EN1178" s="44"/>
      <c r="EO1178" s="44"/>
      <c r="EP1178" s="44"/>
      <c r="EQ1178" s="44"/>
      <c r="ER1178" s="44"/>
      <c r="ES1178" s="44"/>
      <c r="ET1178" s="44"/>
      <c r="EU1178" s="44"/>
      <c r="EV1178" s="44"/>
      <c r="EW1178" s="44"/>
      <c r="EX1178" s="44"/>
      <c r="EY1178" s="44"/>
      <c r="EZ1178" s="44"/>
      <c r="FA1178" s="44"/>
      <c r="FB1178" s="44"/>
      <c r="FC1178" s="44"/>
      <c r="FD1178" s="44"/>
      <c r="FE1178" s="44"/>
      <c r="FF1178" s="44"/>
      <c r="FG1178" s="44"/>
      <c r="FH1178" s="44"/>
      <c r="FI1178" s="44"/>
      <c r="FJ1178" s="44"/>
      <c r="FK1178" s="44"/>
      <c r="FL1178" s="44"/>
      <c r="FM1178" s="44"/>
      <c r="FN1178" s="44"/>
      <c r="FO1178" s="44"/>
      <c r="FP1178" s="44"/>
      <c r="FQ1178" s="44"/>
      <c r="FR1178" s="44"/>
      <c r="FS1178" s="44"/>
      <c r="FT1178" s="44"/>
      <c r="FU1178" s="44"/>
      <c r="FV1178" s="44"/>
      <c r="FW1178" s="44"/>
      <c r="FX1178" s="44"/>
      <c r="FY1178" s="44"/>
      <c r="FZ1178" s="44"/>
      <c r="GA1178" s="44"/>
      <c r="GB1178" s="44"/>
      <c r="GC1178" s="44"/>
      <c r="GD1178" s="44"/>
      <c r="GE1178" s="44"/>
      <c r="GF1178" s="44"/>
      <c r="GG1178" s="44"/>
      <c r="GH1178" s="44"/>
      <c r="GI1178" s="44"/>
      <c r="GJ1178" s="44"/>
      <c r="GK1178" s="44"/>
      <c r="GL1178" s="44"/>
      <c r="GM1178" s="44"/>
      <c r="GN1178" s="44"/>
      <c r="GO1178" s="44"/>
      <c r="GP1178" s="44"/>
      <c r="GQ1178" s="44"/>
      <c r="GR1178" s="44"/>
      <c r="GS1178" s="44"/>
      <c r="GT1178" s="44"/>
      <c r="GU1178" s="44"/>
      <c r="GV1178" s="44"/>
      <c r="GW1178" s="44"/>
      <c r="GX1178" s="44"/>
      <c r="GY1178" s="44"/>
      <c r="GZ1178" s="44"/>
      <c r="HA1178" s="44"/>
      <c r="HB1178" s="44"/>
      <c r="HC1178" s="44"/>
      <c r="HD1178" s="44"/>
      <c r="HE1178" s="44"/>
      <c r="HF1178" s="44"/>
      <c r="HG1178" s="44"/>
      <c r="HH1178" s="44"/>
      <c r="HI1178" s="44"/>
      <c r="HJ1178" s="44"/>
      <c r="HK1178" s="44"/>
      <c r="HL1178" s="44"/>
      <c r="HM1178" s="44"/>
      <c r="HN1178" s="44"/>
      <c r="HO1178" s="44"/>
      <c r="HP1178" s="44"/>
      <c r="HQ1178" s="44"/>
      <c r="HR1178" s="44"/>
      <c r="HS1178" s="44"/>
      <c r="HT1178" s="44"/>
      <c r="HU1178" s="44"/>
    </row>
    <row r="1179" spans="1:229" s="2" customFormat="1" ht="15">
      <c r="A1179" s="105">
        <v>1128</v>
      </c>
      <c r="B1179" s="113"/>
      <c r="C1179" s="124"/>
      <c r="D1179" s="8" t="s">
        <v>2520</v>
      </c>
      <c r="E1179" s="189" t="s">
        <v>181</v>
      </c>
      <c r="F1179" s="107"/>
      <c r="G1179" s="107"/>
      <c r="H1179" s="107"/>
      <c r="I1179" s="8" t="s">
        <v>310</v>
      </c>
      <c r="J1179" s="108" t="s">
        <v>373</v>
      </c>
      <c r="K1179" s="57">
        <v>100</v>
      </c>
      <c r="L1179" s="58">
        <v>100</v>
      </c>
      <c r="M1179" s="4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44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  <c r="DK1179" s="44"/>
      <c r="DL1179" s="44"/>
      <c r="DM1179" s="44"/>
      <c r="DN1179" s="44"/>
      <c r="DO1179" s="44"/>
      <c r="DP1179" s="44"/>
      <c r="DQ1179" s="44"/>
      <c r="DR1179" s="44"/>
      <c r="DS1179" s="44"/>
      <c r="DT1179" s="44"/>
      <c r="DU1179" s="44"/>
      <c r="DV1179" s="44"/>
      <c r="DW1179" s="44"/>
      <c r="DX1179" s="44"/>
      <c r="DY1179" s="44"/>
      <c r="DZ1179" s="44"/>
      <c r="EA1179" s="44"/>
      <c r="EB1179" s="44"/>
      <c r="EC1179" s="44"/>
      <c r="ED1179" s="44"/>
      <c r="EE1179" s="44"/>
      <c r="EF1179" s="44"/>
      <c r="EG1179" s="44"/>
      <c r="EH1179" s="44"/>
      <c r="EI1179" s="44"/>
      <c r="EJ1179" s="44"/>
      <c r="EK1179" s="44"/>
      <c r="EL1179" s="44"/>
      <c r="EM1179" s="44"/>
      <c r="EN1179" s="44"/>
      <c r="EO1179" s="44"/>
      <c r="EP1179" s="44"/>
      <c r="EQ1179" s="44"/>
      <c r="ER1179" s="44"/>
      <c r="ES1179" s="44"/>
      <c r="ET1179" s="44"/>
      <c r="EU1179" s="44"/>
      <c r="EV1179" s="44"/>
      <c r="EW1179" s="44"/>
      <c r="EX1179" s="44"/>
      <c r="EY1179" s="44"/>
      <c r="EZ1179" s="44"/>
      <c r="FA1179" s="44"/>
      <c r="FB1179" s="44"/>
      <c r="FC1179" s="44"/>
      <c r="FD1179" s="44"/>
      <c r="FE1179" s="44"/>
      <c r="FF1179" s="44"/>
      <c r="FG1179" s="44"/>
      <c r="FH1179" s="44"/>
      <c r="FI1179" s="44"/>
      <c r="FJ1179" s="44"/>
      <c r="FK1179" s="44"/>
      <c r="FL1179" s="44"/>
      <c r="FM1179" s="44"/>
      <c r="FN1179" s="44"/>
      <c r="FO1179" s="44"/>
      <c r="FP1179" s="44"/>
      <c r="FQ1179" s="44"/>
      <c r="FR1179" s="44"/>
      <c r="FS1179" s="44"/>
      <c r="FT1179" s="44"/>
      <c r="FU1179" s="44"/>
      <c r="FV1179" s="44"/>
      <c r="FW1179" s="44"/>
      <c r="FX1179" s="44"/>
      <c r="FY1179" s="44"/>
      <c r="FZ1179" s="44"/>
      <c r="GA1179" s="44"/>
      <c r="GB1179" s="44"/>
      <c r="GC1179" s="44"/>
      <c r="GD1179" s="44"/>
      <c r="GE1179" s="44"/>
      <c r="GF1179" s="44"/>
      <c r="GG1179" s="44"/>
      <c r="GH1179" s="44"/>
      <c r="GI1179" s="44"/>
      <c r="GJ1179" s="44"/>
      <c r="GK1179" s="44"/>
      <c r="GL1179" s="44"/>
      <c r="GM1179" s="44"/>
      <c r="GN1179" s="44"/>
      <c r="GO1179" s="44"/>
      <c r="GP1179" s="44"/>
      <c r="GQ1179" s="44"/>
      <c r="GR1179" s="44"/>
      <c r="GS1179" s="44"/>
      <c r="GT1179" s="44"/>
      <c r="GU1179" s="44"/>
      <c r="GV1179" s="44"/>
      <c r="GW1179" s="44"/>
      <c r="GX1179" s="44"/>
      <c r="GY1179" s="44"/>
      <c r="GZ1179" s="44"/>
      <c r="HA1179" s="44"/>
      <c r="HB1179" s="44"/>
      <c r="HC1179" s="44"/>
      <c r="HD1179" s="44"/>
      <c r="HE1179" s="44"/>
      <c r="HF1179" s="44"/>
      <c r="HG1179" s="44"/>
      <c r="HH1179" s="44"/>
      <c r="HI1179" s="44"/>
      <c r="HJ1179" s="44"/>
      <c r="HK1179" s="44"/>
      <c r="HL1179" s="44"/>
      <c r="HM1179" s="44"/>
      <c r="HN1179" s="44"/>
      <c r="HO1179" s="44"/>
      <c r="HP1179" s="44"/>
      <c r="HQ1179" s="44"/>
      <c r="HR1179" s="44"/>
      <c r="HS1179" s="44"/>
      <c r="HT1179" s="44"/>
      <c r="HU1179" s="44"/>
    </row>
    <row r="1180" spans="1:229" s="2" customFormat="1" ht="15">
      <c r="A1180" s="105">
        <v>1129</v>
      </c>
      <c r="B1180" s="113"/>
      <c r="C1180" s="124"/>
      <c r="D1180" s="8" t="s">
        <v>2521</v>
      </c>
      <c r="E1180" s="189" t="s">
        <v>182</v>
      </c>
      <c r="F1180" s="107"/>
      <c r="G1180" s="107"/>
      <c r="H1180" s="107"/>
      <c r="I1180" s="8" t="s">
        <v>310</v>
      </c>
      <c r="J1180" s="108" t="s">
        <v>373</v>
      </c>
      <c r="K1180" s="57">
        <v>100</v>
      </c>
      <c r="L1180" s="58">
        <v>100</v>
      </c>
      <c r="M1180" s="44"/>
      <c r="N1180" s="44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  <c r="AA1180" s="44"/>
      <c r="AB1180" s="44"/>
      <c r="AC1180" s="44"/>
      <c r="AD1180" s="44"/>
      <c r="AE1180" s="44"/>
      <c r="AF1180" s="44"/>
      <c r="AG1180" s="44"/>
      <c r="AH1180" s="44"/>
      <c r="AI1180" s="44"/>
      <c r="AJ1180" s="44"/>
      <c r="AK1180" s="44"/>
      <c r="AL1180" s="44"/>
      <c r="AM1180" s="44"/>
      <c r="AN1180" s="44"/>
      <c r="AO1180" s="44"/>
      <c r="AP1180" s="44"/>
      <c r="AQ1180" s="44"/>
      <c r="AR1180" s="44"/>
      <c r="AS1180" s="44"/>
      <c r="AT1180" s="44"/>
      <c r="AU1180" s="44"/>
      <c r="AV1180" s="44"/>
      <c r="AW1180" s="44"/>
      <c r="AX1180" s="44"/>
      <c r="AY1180" s="44"/>
      <c r="AZ1180" s="44"/>
      <c r="BA1180" s="44"/>
      <c r="BB1180" s="44"/>
      <c r="BC1180" s="44"/>
      <c r="BD1180" s="44"/>
      <c r="BE1180" s="44"/>
      <c r="BF1180" s="44"/>
      <c r="BG1180" s="44"/>
      <c r="BH1180" s="44"/>
      <c r="BI1180" s="44"/>
      <c r="BJ1180" s="44"/>
      <c r="BK1180" s="44"/>
      <c r="BL1180" s="44"/>
      <c r="BM1180" s="44"/>
      <c r="BN1180" s="44"/>
      <c r="BO1180" s="44"/>
      <c r="BP1180" s="44"/>
      <c r="BQ1180" s="44"/>
      <c r="BR1180" s="44"/>
      <c r="BS1180" s="44"/>
      <c r="BT1180" s="44"/>
      <c r="BU1180" s="44"/>
      <c r="BV1180" s="44"/>
      <c r="BW1180" s="44"/>
      <c r="BX1180" s="44"/>
      <c r="BY1180" s="44"/>
      <c r="BZ1180" s="44"/>
      <c r="CA1180" s="44"/>
      <c r="CB1180" s="44"/>
      <c r="CC1180" s="44"/>
      <c r="CD1180" s="44"/>
      <c r="CE1180" s="44"/>
      <c r="CF1180" s="44"/>
      <c r="CG1180" s="44"/>
      <c r="CH1180" s="44"/>
      <c r="CI1180" s="44"/>
      <c r="CJ1180" s="44"/>
      <c r="CK1180" s="44"/>
      <c r="CL1180" s="44"/>
      <c r="CM1180" s="44"/>
      <c r="CN1180" s="44"/>
      <c r="CO1180" s="44"/>
      <c r="CP1180" s="44"/>
      <c r="CQ1180" s="44"/>
      <c r="CR1180" s="44"/>
      <c r="CS1180" s="44"/>
      <c r="CT1180" s="44"/>
      <c r="CU1180" s="44"/>
      <c r="CV1180" s="44"/>
      <c r="CW1180" s="44"/>
      <c r="CX1180" s="44"/>
      <c r="CY1180" s="44"/>
      <c r="CZ1180" s="44"/>
      <c r="DA1180" s="44"/>
      <c r="DB1180" s="44"/>
      <c r="DC1180" s="44"/>
      <c r="DD1180" s="44"/>
      <c r="DE1180" s="44"/>
      <c r="DF1180" s="44"/>
      <c r="DG1180" s="44"/>
      <c r="DH1180" s="44"/>
      <c r="DI1180" s="44"/>
      <c r="DJ1180" s="44"/>
      <c r="DK1180" s="44"/>
      <c r="DL1180" s="44"/>
      <c r="DM1180" s="44"/>
      <c r="DN1180" s="44"/>
      <c r="DO1180" s="44"/>
      <c r="DP1180" s="44"/>
      <c r="DQ1180" s="44"/>
      <c r="DR1180" s="44"/>
      <c r="DS1180" s="44"/>
      <c r="DT1180" s="44"/>
      <c r="DU1180" s="44"/>
      <c r="DV1180" s="44"/>
      <c r="DW1180" s="44"/>
      <c r="DX1180" s="44"/>
      <c r="DY1180" s="44"/>
      <c r="DZ1180" s="44"/>
      <c r="EA1180" s="44"/>
      <c r="EB1180" s="44"/>
      <c r="EC1180" s="44"/>
      <c r="ED1180" s="44"/>
      <c r="EE1180" s="44"/>
      <c r="EF1180" s="44"/>
      <c r="EG1180" s="44"/>
      <c r="EH1180" s="44"/>
      <c r="EI1180" s="44"/>
      <c r="EJ1180" s="44"/>
      <c r="EK1180" s="44"/>
      <c r="EL1180" s="44"/>
      <c r="EM1180" s="44"/>
      <c r="EN1180" s="44"/>
      <c r="EO1180" s="44"/>
      <c r="EP1180" s="44"/>
      <c r="EQ1180" s="44"/>
      <c r="ER1180" s="44"/>
      <c r="ES1180" s="44"/>
      <c r="ET1180" s="44"/>
      <c r="EU1180" s="44"/>
      <c r="EV1180" s="44"/>
      <c r="EW1180" s="44"/>
      <c r="EX1180" s="44"/>
      <c r="EY1180" s="44"/>
      <c r="EZ1180" s="44"/>
      <c r="FA1180" s="44"/>
      <c r="FB1180" s="44"/>
      <c r="FC1180" s="44"/>
      <c r="FD1180" s="44"/>
      <c r="FE1180" s="44"/>
      <c r="FF1180" s="44"/>
      <c r="FG1180" s="44"/>
      <c r="FH1180" s="44"/>
      <c r="FI1180" s="44"/>
      <c r="FJ1180" s="44"/>
      <c r="FK1180" s="44"/>
      <c r="FL1180" s="44"/>
      <c r="FM1180" s="44"/>
      <c r="FN1180" s="44"/>
      <c r="FO1180" s="44"/>
      <c r="FP1180" s="44"/>
      <c r="FQ1180" s="44"/>
      <c r="FR1180" s="44"/>
      <c r="FS1180" s="44"/>
      <c r="FT1180" s="44"/>
      <c r="FU1180" s="44"/>
      <c r="FV1180" s="44"/>
      <c r="FW1180" s="44"/>
      <c r="FX1180" s="44"/>
      <c r="FY1180" s="44"/>
      <c r="FZ1180" s="44"/>
      <c r="GA1180" s="44"/>
      <c r="GB1180" s="44"/>
      <c r="GC1180" s="44"/>
      <c r="GD1180" s="44"/>
      <c r="GE1180" s="44"/>
      <c r="GF1180" s="44"/>
      <c r="GG1180" s="44"/>
      <c r="GH1180" s="44"/>
      <c r="GI1180" s="44"/>
      <c r="GJ1180" s="44"/>
      <c r="GK1180" s="44"/>
      <c r="GL1180" s="44"/>
      <c r="GM1180" s="44"/>
      <c r="GN1180" s="44"/>
      <c r="GO1180" s="44"/>
      <c r="GP1180" s="44"/>
      <c r="GQ1180" s="44"/>
      <c r="GR1180" s="44"/>
      <c r="GS1180" s="44"/>
      <c r="GT1180" s="44"/>
      <c r="GU1180" s="44"/>
      <c r="GV1180" s="44"/>
      <c r="GW1180" s="44"/>
      <c r="GX1180" s="44"/>
      <c r="GY1180" s="44"/>
      <c r="GZ1180" s="44"/>
      <c r="HA1180" s="44"/>
      <c r="HB1180" s="44"/>
      <c r="HC1180" s="44"/>
      <c r="HD1180" s="44"/>
      <c r="HE1180" s="44"/>
      <c r="HF1180" s="44"/>
      <c r="HG1180" s="44"/>
      <c r="HH1180" s="44"/>
      <c r="HI1180" s="44"/>
      <c r="HJ1180" s="44"/>
      <c r="HK1180" s="44"/>
      <c r="HL1180" s="44"/>
      <c r="HM1180" s="44"/>
      <c r="HN1180" s="44"/>
      <c r="HO1180" s="44"/>
      <c r="HP1180" s="44"/>
      <c r="HQ1180" s="44"/>
      <c r="HR1180" s="44"/>
      <c r="HS1180" s="44"/>
      <c r="HT1180" s="44"/>
      <c r="HU1180" s="44"/>
    </row>
    <row r="1181" spans="1:229" s="2" customFormat="1" ht="15">
      <c r="A1181" s="105">
        <v>1130</v>
      </c>
      <c r="B1181" s="113"/>
      <c r="C1181" s="124"/>
      <c r="D1181" s="8" t="s">
        <v>2522</v>
      </c>
      <c r="E1181" s="189" t="s">
        <v>182</v>
      </c>
      <c r="F1181" s="107"/>
      <c r="G1181" s="107"/>
      <c r="H1181" s="107"/>
      <c r="I1181" s="8" t="s">
        <v>310</v>
      </c>
      <c r="J1181" s="108" t="s">
        <v>373</v>
      </c>
      <c r="K1181" s="57">
        <v>100</v>
      </c>
      <c r="L1181" s="58">
        <v>100</v>
      </c>
      <c r="M1181" s="44"/>
      <c r="N1181" s="44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  <c r="AA1181" s="44"/>
      <c r="AB1181" s="44"/>
      <c r="AC1181" s="44"/>
      <c r="AD1181" s="44"/>
      <c r="AE1181" s="44"/>
      <c r="AF1181" s="44"/>
      <c r="AG1181" s="44"/>
      <c r="AH1181" s="44"/>
      <c r="AI1181" s="44"/>
      <c r="AJ1181" s="44"/>
      <c r="AK1181" s="44"/>
      <c r="AL1181" s="44"/>
      <c r="AM1181" s="44"/>
      <c r="AN1181" s="44"/>
      <c r="AO1181" s="44"/>
      <c r="AP1181" s="44"/>
      <c r="AQ1181" s="44"/>
      <c r="AR1181" s="44"/>
      <c r="AS1181" s="44"/>
      <c r="AT1181" s="44"/>
      <c r="AU1181" s="44"/>
      <c r="AV1181" s="44"/>
      <c r="AW1181" s="44"/>
      <c r="AX1181" s="44"/>
      <c r="AY1181" s="44"/>
      <c r="AZ1181" s="44"/>
      <c r="BA1181" s="44"/>
      <c r="BB1181" s="44"/>
      <c r="BC1181" s="44"/>
      <c r="BD1181" s="44"/>
      <c r="BE1181" s="44"/>
      <c r="BF1181" s="44"/>
      <c r="BG1181" s="44"/>
      <c r="BH1181" s="44"/>
      <c r="BI1181" s="44"/>
      <c r="BJ1181" s="44"/>
      <c r="BK1181" s="44"/>
      <c r="BL1181" s="44"/>
      <c r="BM1181" s="44"/>
      <c r="BN1181" s="44"/>
      <c r="BO1181" s="44"/>
      <c r="BP1181" s="44"/>
      <c r="BQ1181" s="44"/>
      <c r="BR1181" s="44"/>
      <c r="BS1181" s="44"/>
      <c r="BT1181" s="44"/>
      <c r="BU1181" s="44"/>
      <c r="BV1181" s="44"/>
      <c r="BW1181" s="44"/>
      <c r="BX1181" s="44"/>
      <c r="BY1181" s="44"/>
      <c r="BZ1181" s="44"/>
      <c r="CA1181" s="44"/>
      <c r="CB1181" s="44"/>
      <c r="CC1181" s="44"/>
      <c r="CD1181" s="44"/>
      <c r="CE1181" s="44"/>
      <c r="CF1181" s="44"/>
      <c r="CG1181" s="44"/>
      <c r="CH1181" s="44"/>
      <c r="CI1181" s="44"/>
      <c r="CJ1181" s="44"/>
      <c r="CK1181" s="44"/>
      <c r="CL1181" s="44"/>
      <c r="CM1181" s="44"/>
      <c r="CN1181" s="44"/>
      <c r="CO1181" s="44"/>
      <c r="CP1181" s="44"/>
      <c r="CQ1181" s="44"/>
      <c r="CR1181" s="44"/>
      <c r="CS1181" s="44"/>
      <c r="CT1181" s="44"/>
      <c r="CU1181" s="44"/>
      <c r="CV1181" s="44"/>
      <c r="CW1181" s="44"/>
      <c r="CX1181" s="44"/>
      <c r="CY1181" s="44"/>
      <c r="CZ1181" s="44"/>
      <c r="DA1181" s="44"/>
      <c r="DB1181" s="44"/>
      <c r="DC1181" s="44"/>
      <c r="DD1181" s="44"/>
      <c r="DE1181" s="44"/>
      <c r="DF1181" s="44"/>
      <c r="DG1181" s="44"/>
      <c r="DH1181" s="44"/>
      <c r="DI1181" s="44"/>
      <c r="DJ1181" s="44"/>
      <c r="DK1181" s="44"/>
      <c r="DL1181" s="44"/>
      <c r="DM1181" s="44"/>
      <c r="DN1181" s="44"/>
      <c r="DO1181" s="44"/>
      <c r="DP1181" s="44"/>
      <c r="DQ1181" s="44"/>
      <c r="DR1181" s="44"/>
      <c r="DS1181" s="44"/>
      <c r="DT1181" s="44"/>
      <c r="DU1181" s="44"/>
      <c r="DV1181" s="44"/>
      <c r="DW1181" s="44"/>
      <c r="DX1181" s="44"/>
      <c r="DY1181" s="44"/>
      <c r="DZ1181" s="44"/>
      <c r="EA1181" s="44"/>
      <c r="EB1181" s="44"/>
      <c r="EC1181" s="44"/>
      <c r="ED1181" s="44"/>
      <c r="EE1181" s="44"/>
      <c r="EF1181" s="44"/>
      <c r="EG1181" s="44"/>
      <c r="EH1181" s="44"/>
      <c r="EI1181" s="44"/>
      <c r="EJ1181" s="44"/>
      <c r="EK1181" s="44"/>
      <c r="EL1181" s="44"/>
      <c r="EM1181" s="44"/>
      <c r="EN1181" s="44"/>
      <c r="EO1181" s="44"/>
      <c r="EP1181" s="44"/>
      <c r="EQ1181" s="44"/>
      <c r="ER1181" s="44"/>
      <c r="ES1181" s="44"/>
      <c r="ET1181" s="44"/>
      <c r="EU1181" s="44"/>
      <c r="EV1181" s="44"/>
      <c r="EW1181" s="44"/>
      <c r="EX1181" s="44"/>
      <c r="EY1181" s="44"/>
      <c r="EZ1181" s="44"/>
      <c r="FA1181" s="44"/>
      <c r="FB1181" s="44"/>
      <c r="FC1181" s="44"/>
      <c r="FD1181" s="44"/>
      <c r="FE1181" s="44"/>
      <c r="FF1181" s="44"/>
      <c r="FG1181" s="44"/>
      <c r="FH1181" s="44"/>
      <c r="FI1181" s="44"/>
      <c r="FJ1181" s="44"/>
      <c r="FK1181" s="44"/>
      <c r="FL1181" s="44"/>
      <c r="FM1181" s="44"/>
      <c r="FN1181" s="44"/>
      <c r="FO1181" s="44"/>
      <c r="FP1181" s="44"/>
      <c r="FQ1181" s="44"/>
      <c r="FR1181" s="44"/>
      <c r="FS1181" s="44"/>
      <c r="FT1181" s="44"/>
      <c r="FU1181" s="44"/>
      <c r="FV1181" s="44"/>
      <c r="FW1181" s="44"/>
      <c r="FX1181" s="44"/>
      <c r="FY1181" s="44"/>
      <c r="FZ1181" s="44"/>
      <c r="GA1181" s="44"/>
      <c r="GB1181" s="44"/>
      <c r="GC1181" s="44"/>
      <c r="GD1181" s="44"/>
      <c r="GE1181" s="44"/>
      <c r="GF1181" s="44"/>
      <c r="GG1181" s="44"/>
      <c r="GH1181" s="44"/>
      <c r="GI1181" s="44"/>
      <c r="GJ1181" s="44"/>
      <c r="GK1181" s="44"/>
      <c r="GL1181" s="44"/>
      <c r="GM1181" s="44"/>
      <c r="GN1181" s="44"/>
      <c r="GO1181" s="44"/>
      <c r="GP1181" s="44"/>
      <c r="GQ1181" s="44"/>
      <c r="GR1181" s="44"/>
      <c r="GS1181" s="44"/>
      <c r="GT1181" s="44"/>
      <c r="GU1181" s="44"/>
      <c r="GV1181" s="44"/>
      <c r="GW1181" s="44"/>
      <c r="GX1181" s="44"/>
      <c r="GY1181" s="44"/>
      <c r="GZ1181" s="44"/>
      <c r="HA1181" s="44"/>
      <c r="HB1181" s="44"/>
      <c r="HC1181" s="44"/>
      <c r="HD1181" s="44"/>
      <c r="HE1181" s="44"/>
      <c r="HF1181" s="44"/>
      <c r="HG1181" s="44"/>
      <c r="HH1181" s="44"/>
      <c r="HI1181" s="44"/>
      <c r="HJ1181" s="44"/>
      <c r="HK1181" s="44"/>
      <c r="HL1181" s="44"/>
      <c r="HM1181" s="44"/>
      <c r="HN1181" s="44"/>
      <c r="HO1181" s="44"/>
      <c r="HP1181" s="44"/>
      <c r="HQ1181" s="44"/>
      <c r="HR1181" s="44"/>
      <c r="HS1181" s="44"/>
      <c r="HT1181" s="44"/>
      <c r="HU1181" s="44"/>
    </row>
    <row r="1182" spans="1:229" s="2" customFormat="1" ht="15">
      <c r="A1182" s="105">
        <v>1131</v>
      </c>
      <c r="B1182" s="113"/>
      <c r="C1182" s="124"/>
      <c r="D1182" s="8" t="s">
        <v>2523</v>
      </c>
      <c r="E1182" s="189" t="s">
        <v>182</v>
      </c>
      <c r="F1182" s="107"/>
      <c r="G1182" s="107"/>
      <c r="H1182" s="107"/>
      <c r="I1182" s="8" t="s">
        <v>310</v>
      </c>
      <c r="J1182" s="108" t="s">
        <v>373</v>
      </c>
      <c r="K1182" s="57">
        <v>100</v>
      </c>
      <c r="L1182" s="58">
        <v>100</v>
      </c>
      <c r="M1182" s="44"/>
      <c r="N1182" s="44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  <c r="Z1182" s="44"/>
      <c r="AA1182" s="44"/>
      <c r="AB1182" s="44"/>
      <c r="AC1182" s="44"/>
      <c r="AD1182" s="44"/>
      <c r="AE1182" s="44"/>
      <c r="AF1182" s="44"/>
      <c r="AG1182" s="44"/>
      <c r="AH1182" s="44"/>
      <c r="AI1182" s="44"/>
      <c r="AJ1182" s="44"/>
      <c r="AK1182" s="44"/>
      <c r="AL1182" s="44"/>
      <c r="AM1182" s="44"/>
      <c r="AN1182" s="44"/>
      <c r="AO1182" s="44"/>
      <c r="AP1182" s="44"/>
      <c r="AQ1182" s="44"/>
      <c r="AR1182" s="44"/>
      <c r="AS1182" s="44"/>
      <c r="AT1182" s="44"/>
      <c r="AU1182" s="44"/>
      <c r="AV1182" s="44"/>
      <c r="AW1182" s="44"/>
      <c r="AX1182" s="44"/>
      <c r="AY1182" s="44"/>
      <c r="AZ1182" s="44"/>
      <c r="BA1182" s="44"/>
      <c r="BB1182" s="44"/>
      <c r="BC1182" s="44"/>
      <c r="BD1182" s="44"/>
      <c r="BE1182" s="44"/>
      <c r="BF1182" s="44"/>
      <c r="BG1182" s="44"/>
      <c r="BH1182" s="44"/>
      <c r="BI1182" s="44"/>
      <c r="BJ1182" s="44"/>
      <c r="BK1182" s="44"/>
      <c r="BL1182" s="44"/>
      <c r="BM1182" s="44"/>
      <c r="BN1182" s="44"/>
      <c r="BO1182" s="44"/>
      <c r="BP1182" s="44"/>
      <c r="BQ1182" s="44"/>
      <c r="BR1182" s="44"/>
      <c r="BS1182" s="44"/>
      <c r="BT1182" s="44"/>
      <c r="BU1182" s="44"/>
      <c r="BV1182" s="44"/>
      <c r="BW1182" s="44"/>
      <c r="BX1182" s="44"/>
      <c r="BY1182" s="44"/>
      <c r="BZ1182" s="44"/>
      <c r="CA1182" s="44"/>
      <c r="CB1182" s="44"/>
      <c r="CC1182" s="44"/>
      <c r="CD1182" s="44"/>
      <c r="CE1182" s="44"/>
      <c r="CF1182" s="44"/>
      <c r="CG1182" s="44"/>
      <c r="CH1182" s="44"/>
      <c r="CI1182" s="44"/>
      <c r="CJ1182" s="44"/>
      <c r="CK1182" s="44"/>
      <c r="CL1182" s="44"/>
      <c r="CM1182" s="44"/>
      <c r="CN1182" s="44"/>
      <c r="CO1182" s="44"/>
      <c r="CP1182" s="44"/>
      <c r="CQ1182" s="44"/>
      <c r="CR1182" s="44"/>
      <c r="CS1182" s="44"/>
      <c r="CT1182" s="44"/>
      <c r="CU1182" s="44"/>
      <c r="CV1182" s="44"/>
      <c r="CW1182" s="44"/>
      <c r="CX1182" s="44"/>
      <c r="CY1182" s="44"/>
      <c r="CZ1182" s="44"/>
      <c r="DA1182" s="44"/>
      <c r="DB1182" s="44"/>
      <c r="DC1182" s="44"/>
      <c r="DD1182" s="44"/>
      <c r="DE1182" s="44"/>
      <c r="DF1182" s="44"/>
      <c r="DG1182" s="44"/>
      <c r="DH1182" s="44"/>
      <c r="DI1182" s="44"/>
      <c r="DJ1182" s="44"/>
      <c r="DK1182" s="44"/>
      <c r="DL1182" s="44"/>
      <c r="DM1182" s="44"/>
      <c r="DN1182" s="44"/>
      <c r="DO1182" s="44"/>
      <c r="DP1182" s="44"/>
      <c r="DQ1182" s="44"/>
      <c r="DR1182" s="44"/>
      <c r="DS1182" s="44"/>
      <c r="DT1182" s="44"/>
      <c r="DU1182" s="44"/>
      <c r="DV1182" s="44"/>
      <c r="DW1182" s="44"/>
      <c r="DX1182" s="44"/>
      <c r="DY1182" s="44"/>
      <c r="DZ1182" s="44"/>
      <c r="EA1182" s="44"/>
      <c r="EB1182" s="44"/>
      <c r="EC1182" s="44"/>
      <c r="ED1182" s="44"/>
      <c r="EE1182" s="44"/>
      <c r="EF1182" s="44"/>
      <c r="EG1182" s="44"/>
      <c r="EH1182" s="44"/>
      <c r="EI1182" s="44"/>
      <c r="EJ1182" s="44"/>
      <c r="EK1182" s="44"/>
      <c r="EL1182" s="44"/>
      <c r="EM1182" s="44"/>
      <c r="EN1182" s="44"/>
      <c r="EO1182" s="44"/>
      <c r="EP1182" s="44"/>
      <c r="EQ1182" s="44"/>
      <c r="ER1182" s="44"/>
      <c r="ES1182" s="44"/>
      <c r="ET1182" s="44"/>
      <c r="EU1182" s="44"/>
      <c r="EV1182" s="44"/>
      <c r="EW1182" s="44"/>
      <c r="EX1182" s="44"/>
      <c r="EY1182" s="44"/>
      <c r="EZ1182" s="44"/>
      <c r="FA1182" s="44"/>
      <c r="FB1182" s="44"/>
      <c r="FC1182" s="44"/>
      <c r="FD1182" s="44"/>
      <c r="FE1182" s="44"/>
      <c r="FF1182" s="44"/>
      <c r="FG1182" s="44"/>
      <c r="FH1182" s="44"/>
      <c r="FI1182" s="44"/>
      <c r="FJ1182" s="44"/>
      <c r="FK1182" s="44"/>
      <c r="FL1182" s="44"/>
      <c r="FM1182" s="44"/>
      <c r="FN1182" s="44"/>
      <c r="FO1182" s="44"/>
      <c r="FP1182" s="44"/>
      <c r="FQ1182" s="44"/>
      <c r="FR1182" s="44"/>
      <c r="FS1182" s="44"/>
      <c r="FT1182" s="44"/>
      <c r="FU1182" s="44"/>
      <c r="FV1182" s="44"/>
      <c r="FW1182" s="44"/>
      <c r="FX1182" s="44"/>
      <c r="FY1182" s="44"/>
      <c r="FZ1182" s="44"/>
      <c r="GA1182" s="44"/>
      <c r="GB1182" s="44"/>
      <c r="GC1182" s="44"/>
      <c r="GD1182" s="44"/>
      <c r="GE1182" s="44"/>
      <c r="GF1182" s="44"/>
      <c r="GG1182" s="44"/>
      <c r="GH1182" s="44"/>
      <c r="GI1182" s="44"/>
      <c r="GJ1182" s="44"/>
      <c r="GK1182" s="44"/>
      <c r="GL1182" s="44"/>
      <c r="GM1182" s="44"/>
      <c r="GN1182" s="44"/>
      <c r="GO1182" s="44"/>
      <c r="GP1182" s="44"/>
      <c r="GQ1182" s="44"/>
      <c r="GR1182" s="44"/>
      <c r="GS1182" s="44"/>
      <c r="GT1182" s="44"/>
      <c r="GU1182" s="44"/>
      <c r="GV1182" s="44"/>
      <c r="GW1182" s="44"/>
      <c r="GX1182" s="44"/>
      <c r="GY1182" s="44"/>
      <c r="GZ1182" s="44"/>
      <c r="HA1182" s="44"/>
      <c r="HB1182" s="44"/>
      <c r="HC1182" s="44"/>
      <c r="HD1182" s="44"/>
      <c r="HE1182" s="44"/>
      <c r="HF1182" s="44"/>
      <c r="HG1182" s="44"/>
      <c r="HH1182" s="44"/>
      <c r="HI1182" s="44"/>
      <c r="HJ1182" s="44"/>
      <c r="HK1182" s="44"/>
      <c r="HL1182" s="44"/>
      <c r="HM1182" s="44"/>
      <c r="HN1182" s="44"/>
      <c r="HO1182" s="44"/>
      <c r="HP1182" s="44"/>
      <c r="HQ1182" s="44"/>
      <c r="HR1182" s="44"/>
      <c r="HS1182" s="44"/>
      <c r="HT1182" s="44"/>
      <c r="HU1182" s="44"/>
    </row>
    <row r="1183" spans="1:229" s="2" customFormat="1" ht="15">
      <c r="A1183" s="105">
        <v>1132</v>
      </c>
      <c r="B1183" s="113"/>
      <c r="C1183" s="124"/>
      <c r="D1183" s="8" t="s">
        <v>2524</v>
      </c>
      <c r="E1183" s="189" t="s">
        <v>184</v>
      </c>
      <c r="F1183" s="107"/>
      <c r="G1183" s="107"/>
      <c r="H1183" s="107"/>
      <c r="I1183" s="8" t="s">
        <v>310</v>
      </c>
      <c r="J1183" s="108" t="s">
        <v>373</v>
      </c>
      <c r="K1183" s="57">
        <v>100</v>
      </c>
      <c r="L1183" s="58">
        <v>100</v>
      </c>
      <c r="M1183" s="44"/>
      <c r="N1183" s="44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  <c r="AB1183" s="44"/>
      <c r="AC1183" s="44"/>
      <c r="AD1183" s="44"/>
      <c r="AE1183" s="44"/>
      <c r="AF1183" s="44"/>
      <c r="AG1183" s="44"/>
      <c r="AH1183" s="44"/>
      <c r="AI1183" s="44"/>
      <c r="AJ1183" s="44"/>
      <c r="AK1183" s="44"/>
      <c r="AL1183" s="44"/>
      <c r="AM1183" s="44"/>
      <c r="AN1183" s="44"/>
      <c r="AO1183" s="44"/>
      <c r="AP1183" s="44"/>
      <c r="AQ1183" s="44"/>
      <c r="AR1183" s="44"/>
      <c r="AS1183" s="44"/>
      <c r="AT1183" s="44"/>
      <c r="AU1183" s="44"/>
      <c r="AV1183" s="44"/>
      <c r="AW1183" s="44"/>
      <c r="AX1183" s="44"/>
      <c r="AY1183" s="44"/>
      <c r="AZ1183" s="44"/>
      <c r="BA1183" s="44"/>
      <c r="BB1183" s="44"/>
      <c r="BC1183" s="44"/>
      <c r="BD1183" s="44"/>
      <c r="BE1183" s="44"/>
      <c r="BF1183" s="44"/>
      <c r="BG1183" s="44"/>
      <c r="BH1183" s="44"/>
      <c r="BI1183" s="44"/>
      <c r="BJ1183" s="44"/>
      <c r="BK1183" s="44"/>
      <c r="BL1183" s="44"/>
      <c r="BM1183" s="44"/>
      <c r="BN1183" s="44"/>
      <c r="BO1183" s="44"/>
      <c r="BP1183" s="44"/>
      <c r="BQ1183" s="44"/>
      <c r="BR1183" s="44"/>
      <c r="BS1183" s="44"/>
      <c r="BT1183" s="44"/>
      <c r="BU1183" s="44"/>
      <c r="BV1183" s="44"/>
      <c r="BW1183" s="44"/>
      <c r="BX1183" s="44"/>
      <c r="BY1183" s="44"/>
      <c r="BZ1183" s="44"/>
      <c r="CA1183" s="44"/>
      <c r="CB1183" s="44"/>
      <c r="CC1183" s="44"/>
      <c r="CD1183" s="44"/>
      <c r="CE1183" s="44"/>
      <c r="CF1183" s="44"/>
      <c r="CG1183" s="44"/>
      <c r="CH1183" s="44"/>
      <c r="CI1183" s="44"/>
      <c r="CJ1183" s="44"/>
      <c r="CK1183" s="44"/>
      <c r="CL1183" s="44"/>
      <c r="CM1183" s="44"/>
      <c r="CN1183" s="44"/>
      <c r="CO1183" s="44"/>
      <c r="CP1183" s="44"/>
      <c r="CQ1183" s="44"/>
      <c r="CR1183" s="44"/>
      <c r="CS1183" s="44"/>
      <c r="CT1183" s="44"/>
      <c r="CU1183" s="44"/>
      <c r="CV1183" s="44"/>
      <c r="CW1183" s="44"/>
      <c r="CX1183" s="44"/>
      <c r="CY1183" s="44"/>
      <c r="CZ1183" s="44"/>
      <c r="DA1183" s="44"/>
      <c r="DB1183" s="44"/>
      <c r="DC1183" s="44"/>
      <c r="DD1183" s="44"/>
      <c r="DE1183" s="44"/>
      <c r="DF1183" s="44"/>
      <c r="DG1183" s="44"/>
      <c r="DH1183" s="44"/>
      <c r="DI1183" s="44"/>
      <c r="DJ1183" s="44"/>
      <c r="DK1183" s="44"/>
      <c r="DL1183" s="44"/>
      <c r="DM1183" s="44"/>
      <c r="DN1183" s="44"/>
      <c r="DO1183" s="44"/>
      <c r="DP1183" s="44"/>
      <c r="DQ1183" s="44"/>
      <c r="DR1183" s="44"/>
      <c r="DS1183" s="44"/>
      <c r="DT1183" s="44"/>
      <c r="DU1183" s="44"/>
      <c r="DV1183" s="44"/>
      <c r="DW1183" s="44"/>
      <c r="DX1183" s="44"/>
      <c r="DY1183" s="44"/>
      <c r="DZ1183" s="44"/>
      <c r="EA1183" s="44"/>
      <c r="EB1183" s="44"/>
      <c r="EC1183" s="44"/>
      <c r="ED1183" s="44"/>
      <c r="EE1183" s="44"/>
      <c r="EF1183" s="44"/>
      <c r="EG1183" s="44"/>
      <c r="EH1183" s="44"/>
      <c r="EI1183" s="44"/>
      <c r="EJ1183" s="44"/>
      <c r="EK1183" s="44"/>
      <c r="EL1183" s="44"/>
      <c r="EM1183" s="44"/>
      <c r="EN1183" s="44"/>
      <c r="EO1183" s="44"/>
      <c r="EP1183" s="44"/>
      <c r="EQ1183" s="44"/>
      <c r="ER1183" s="44"/>
      <c r="ES1183" s="44"/>
      <c r="ET1183" s="44"/>
      <c r="EU1183" s="44"/>
      <c r="EV1183" s="44"/>
      <c r="EW1183" s="44"/>
      <c r="EX1183" s="44"/>
      <c r="EY1183" s="44"/>
      <c r="EZ1183" s="44"/>
      <c r="FA1183" s="44"/>
      <c r="FB1183" s="44"/>
      <c r="FC1183" s="44"/>
      <c r="FD1183" s="44"/>
      <c r="FE1183" s="44"/>
      <c r="FF1183" s="44"/>
      <c r="FG1183" s="44"/>
      <c r="FH1183" s="44"/>
      <c r="FI1183" s="44"/>
      <c r="FJ1183" s="44"/>
      <c r="FK1183" s="44"/>
      <c r="FL1183" s="44"/>
      <c r="FM1183" s="44"/>
      <c r="FN1183" s="44"/>
      <c r="FO1183" s="44"/>
      <c r="FP1183" s="44"/>
      <c r="FQ1183" s="44"/>
      <c r="FR1183" s="44"/>
      <c r="FS1183" s="44"/>
      <c r="FT1183" s="44"/>
      <c r="FU1183" s="44"/>
      <c r="FV1183" s="44"/>
      <c r="FW1183" s="44"/>
      <c r="FX1183" s="44"/>
      <c r="FY1183" s="44"/>
      <c r="FZ1183" s="44"/>
      <c r="GA1183" s="44"/>
      <c r="GB1183" s="44"/>
      <c r="GC1183" s="44"/>
      <c r="GD1183" s="44"/>
      <c r="GE1183" s="44"/>
      <c r="GF1183" s="44"/>
      <c r="GG1183" s="44"/>
      <c r="GH1183" s="44"/>
      <c r="GI1183" s="44"/>
      <c r="GJ1183" s="44"/>
      <c r="GK1183" s="44"/>
      <c r="GL1183" s="44"/>
      <c r="GM1183" s="44"/>
      <c r="GN1183" s="44"/>
      <c r="GO1183" s="44"/>
      <c r="GP1183" s="44"/>
      <c r="GQ1183" s="44"/>
      <c r="GR1183" s="44"/>
      <c r="GS1183" s="44"/>
      <c r="GT1183" s="44"/>
      <c r="GU1183" s="44"/>
      <c r="GV1183" s="44"/>
      <c r="GW1183" s="44"/>
      <c r="GX1183" s="44"/>
      <c r="GY1183" s="44"/>
      <c r="GZ1183" s="44"/>
      <c r="HA1183" s="44"/>
      <c r="HB1183" s="44"/>
      <c r="HC1183" s="44"/>
      <c r="HD1183" s="44"/>
      <c r="HE1183" s="44"/>
      <c r="HF1183" s="44"/>
      <c r="HG1183" s="44"/>
      <c r="HH1183" s="44"/>
      <c r="HI1183" s="44"/>
      <c r="HJ1183" s="44"/>
      <c r="HK1183" s="44"/>
      <c r="HL1183" s="44"/>
      <c r="HM1183" s="44"/>
      <c r="HN1183" s="44"/>
      <c r="HO1183" s="44"/>
      <c r="HP1183" s="44"/>
      <c r="HQ1183" s="44"/>
      <c r="HR1183" s="44"/>
      <c r="HS1183" s="44"/>
      <c r="HT1183" s="44"/>
      <c r="HU1183" s="44"/>
    </row>
    <row r="1184" spans="1:229" s="2" customFormat="1" ht="15">
      <c r="A1184" s="105">
        <v>1133</v>
      </c>
      <c r="B1184" s="113"/>
      <c r="C1184" s="124"/>
      <c r="D1184" s="8" t="s">
        <v>2525</v>
      </c>
      <c r="E1184" s="189" t="s">
        <v>185</v>
      </c>
      <c r="F1184" s="107"/>
      <c r="G1184" s="107"/>
      <c r="H1184" s="107"/>
      <c r="I1184" s="8" t="s">
        <v>310</v>
      </c>
      <c r="J1184" s="108" t="s">
        <v>373</v>
      </c>
      <c r="K1184" s="57">
        <v>100</v>
      </c>
      <c r="L1184" s="58">
        <v>100</v>
      </c>
      <c r="M1184" s="44"/>
      <c r="N1184" s="44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4"/>
      <c r="AA1184" s="44"/>
      <c r="AB1184" s="44"/>
      <c r="AC1184" s="44"/>
      <c r="AD1184" s="44"/>
      <c r="AE1184" s="44"/>
      <c r="AF1184" s="44"/>
      <c r="AG1184" s="44"/>
      <c r="AH1184" s="44"/>
      <c r="AI1184" s="44"/>
      <c r="AJ1184" s="44"/>
      <c r="AK1184" s="44"/>
      <c r="AL1184" s="44"/>
      <c r="AM1184" s="44"/>
      <c r="AN1184" s="44"/>
      <c r="AO1184" s="44"/>
      <c r="AP1184" s="44"/>
      <c r="AQ1184" s="44"/>
      <c r="AR1184" s="44"/>
      <c r="AS1184" s="44"/>
      <c r="AT1184" s="44"/>
      <c r="AU1184" s="44"/>
      <c r="AV1184" s="44"/>
      <c r="AW1184" s="44"/>
      <c r="AX1184" s="44"/>
      <c r="AY1184" s="44"/>
      <c r="AZ1184" s="44"/>
      <c r="BA1184" s="44"/>
      <c r="BB1184" s="44"/>
      <c r="BC1184" s="44"/>
      <c r="BD1184" s="44"/>
      <c r="BE1184" s="44"/>
      <c r="BF1184" s="44"/>
      <c r="BG1184" s="44"/>
      <c r="BH1184" s="44"/>
      <c r="BI1184" s="44"/>
      <c r="BJ1184" s="44"/>
      <c r="BK1184" s="44"/>
      <c r="BL1184" s="44"/>
      <c r="BM1184" s="44"/>
      <c r="BN1184" s="44"/>
      <c r="BO1184" s="44"/>
      <c r="BP1184" s="44"/>
      <c r="BQ1184" s="44"/>
      <c r="BR1184" s="44"/>
      <c r="BS1184" s="44"/>
      <c r="BT1184" s="44"/>
      <c r="BU1184" s="44"/>
      <c r="BV1184" s="44"/>
      <c r="BW1184" s="44"/>
      <c r="BX1184" s="44"/>
      <c r="BY1184" s="44"/>
      <c r="BZ1184" s="44"/>
      <c r="CA1184" s="44"/>
      <c r="CB1184" s="44"/>
      <c r="CC1184" s="44"/>
      <c r="CD1184" s="44"/>
      <c r="CE1184" s="44"/>
      <c r="CF1184" s="44"/>
      <c r="CG1184" s="44"/>
      <c r="CH1184" s="44"/>
      <c r="CI1184" s="44"/>
      <c r="CJ1184" s="44"/>
      <c r="CK1184" s="44"/>
      <c r="CL1184" s="44"/>
      <c r="CM1184" s="44"/>
      <c r="CN1184" s="44"/>
      <c r="CO1184" s="44"/>
      <c r="CP1184" s="44"/>
      <c r="CQ1184" s="44"/>
      <c r="CR1184" s="44"/>
      <c r="CS1184" s="44"/>
      <c r="CT1184" s="44"/>
      <c r="CU1184" s="44"/>
      <c r="CV1184" s="44"/>
      <c r="CW1184" s="44"/>
      <c r="CX1184" s="44"/>
      <c r="CY1184" s="44"/>
      <c r="CZ1184" s="44"/>
      <c r="DA1184" s="44"/>
      <c r="DB1184" s="44"/>
      <c r="DC1184" s="44"/>
      <c r="DD1184" s="44"/>
      <c r="DE1184" s="44"/>
      <c r="DF1184" s="44"/>
      <c r="DG1184" s="44"/>
      <c r="DH1184" s="44"/>
      <c r="DI1184" s="44"/>
      <c r="DJ1184" s="44"/>
      <c r="DK1184" s="44"/>
      <c r="DL1184" s="44"/>
      <c r="DM1184" s="44"/>
      <c r="DN1184" s="44"/>
      <c r="DO1184" s="44"/>
      <c r="DP1184" s="44"/>
      <c r="DQ1184" s="44"/>
      <c r="DR1184" s="44"/>
      <c r="DS1184" s="44"/>
      <c r="DT1184" s="44"/>
      <c r="DU1184" s="44"/>
      <c r="DV1184" s="44"/>
      <c r="DW1184" s="44"/>
      <c r="DX1184" s="44"/>
      <c r="DY1184" s="44"/>
      <c r="DZ1184" s="44"/>
      <c r="EA1184" s="44"/>
      <c r="EB1184" s="44"/>
      <c r="EC1184" s="44"/>
      <c r="ED1184" s="44"/>
      <c r="EE1184" s="44"/>
      <c r="EF1184" s="44"/>
      <c r="EG1184" s="44"/>
      <c r="EH1184" s="44"/>
      <c r="EI1184" s="44"/>
      <c r="EJ1184" s="44"/>
      <c r="EK1184" s="44"/>
      <c r="EL1184" s="44"/>
      <c r="EM1184" s="44"/>
      <c r="EN1184" s="44"/>
      <c r="EO1184" s="44"/>
      <c r="EP1184" s="44"/>
      <c r="EQ1184" s="44"/>
      <c r="ER1184" s="44"/>
      <c r="ES1184" s="44"/>
      <c r="ET1184" s="44"/>
      <c r="EU1184" s="44"/>
      <c r="EV1184" s="44"/>
      <c r="EW1184" s="44"/>
      <c r="EX1184" s="44"/>
      <c r="EY1184" s="44"/>
      <c r="EZ1184" s="44"/>
      <c r="FA1184" s="44"/>
      <c r="FB1184" s="44"/>
      <c r="FC1184" s="44"/>
      <c r="FD1184" s="44"/>
      <c r="FE1184" s="44"/>
      <c r="FF1184" s="44"/>
      <c r="FG1184" s="44"/>
      <c r="FH1184" s="44"/>
      <c r="FI1184" s="44"/>
      <c r="FJ1184" s="44"/>
      <c r="FK1184" s="44"/>
      <c r="FL1184" s="44"/>
      <c r="FM1184" s="44"/>
      <c r="FN1184" s="44"/>
      <c r="FO1184" s="44"/>
      <c r="FP1184" s="44"/>
      <c r="FQ1184" s="44"/>
      <c r="FR1184" s="44"/>
      <c r="FS1184" s="44"/>
      <c r="FT1184" s="44"/>
      <c r="FU1184" s="44"/>
      <c r="FV1184" s="44"/>
      <c r="FW1184" s="44"/>
      <c r="FX1184" s="44"/>
      <c r="FY1184" s="44"/>
      <c r="FZ1184" s="44"/>
      <c r="GA1184" s="44"/>
      <c r="GB1184" s="44"/>
      <c r="GC1184" s="44"/>
      <c r="GD1184" s="44"/>
      <c r="GE1184" s="44"/>
      <c r="GF1184" s="44"/>
      <c r="GG1184" s="44"/>
      <c r="GH1184" s="44"/>
      <c r="GI1184" s="44"/>
      <c r="GJ1184" s="44"/>
      <c r="GK1184" s="44"/>
      <c r="GL1184" s="44"/>
      <c r="GM1184" s="44"/>
      <c r="GN1184" s="44"/>
      <c r="GO1184" s="44"/>
      <c r="GP1184" s="44"/>
      <c r="GQ1184" s="44"/>
      <c r="GR1184" s="44"/>
      <c r="GS1184" s="44"/>
      <c r="GT1184" s="44"/>
      <c r="GU1184" s="44"/>
      <c r="GV1184" s="44"/>
      <c r="GW1184" s="44"/>
      <c r="GX1184" s="44"/>
      <c r="GY1184" s="44"/>
      <c r="GZ1184" s="44"/>
      <c r="HA1184" s="44"/>
      <c r="HB1184" s="44"/>
      <c r="HC1184" s="44"/>
      <c r="HD1184" s="44"/>
      <c r="HE1184" s="44"/>
      <c r="HF1184" s="44"/>
      <c r="HG1184" s="44"/>
      <c r="HH1184" s="44"/>
      <c r="HI1184" s="44"/>
      <c r="HJ1184" s="44"/>
      <c r="HK1184" s="44"/>
      <c r="HL1184" s="44"/>
      <c r="HM1184" s="44"/>
      <c r="HN1184" s="44"/>
      <c r="HO1184" s="44"/>
      <c r="HP1184" s="44"/>
      <c r="HQ1184" s="44"/>
      <c r="HR1184" s="44"/>
      <c r="HS1184" s="44"/>
      <c r="HT1184" s="44"/>
      <c r="HU1184" s="44"/>
    </row>
    <row r="1185" spans="1:229" s="2" customFormat="1" ht="15">
      <c r="A1185" s="105">
        <v>1134</v>
      </c>
      <c r="B1185" s="113"/>
      <c r="C1185" s="124"/>
      <c r="D1185" s="8" t="s">
        <v>2526</v>
      </c>
      <c r="E1185" s="189" t="s">
        <v>186</v>
      </c>
      <c r="F1185" s="107"/>
      <c r="G1185" s="107"/>
      <c r="H1185" s="107"/>
      <c r="I1185" s="8" t="s">
        <v>310</v>
      </c>
      <c r="J1185" s="108" t="s">
        <v>373</v>
      </c>
      <c r="K1185" s="57">
        <v>100</v>
      </c>
      <c r="L1185" s="58">
        <v>100</v>
      </c>
      <c r="M1185" s="44"/>
      <c r="N1185" s="44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  <c r="AA1185" s="44"/>
      <c r="AB1185" s="44"/>
      <c r="AC1185" s="44"/>
      <c r="AD1185" s="44"/>
      <c r="AE1185" s="44"/>
      <c r="AF1185" s="44"/>
      <c r="AG1185" s="44"/>
      <c r="AH1185" s="44"/>
      <c r="AI1185" s="44"/>
      <c r="AJ1185" s="44"/>
      <c r="AK1185" s="44"/>
      <c r="AL1185" s="44"/>
      <c r="AM1185" s="44"/>
      <c r="AN1185" s="44"/>
      <c r="AO1185" s="44"/>
      <c r="AP1185" s="44"/>
      <c r="AQ1185" s="44"/>
      <c r="AR1185" s="44"/>
      <c r="AS1185" s="44"/>
      <c r="AT1185" s="44"/>
      <c r="AU1185" s="44"/>
      <c r="AV1185" s="44"/>
      <c r="AW1185" s="44"/>
      <c r="AX1185" s="44"/>
      <c r="AY1185" s="44"/>
      <c r="AZ1185" s="44"/>
      <c r="BA1185" s="44"/>
      <c r="BB1185" s="44"/>
      <c r="BC1185" s="44"/>
      <c r="BD1185" s="44"/>
      <c r="BE1185" s="44"/>
      <c r="BF1185" s="44"/>
      <c r="BG1185" s="44"/>
      <c r="BH1185" s="44"/>
      <c r="BI1185" s="44"/>
      <c r="BJ1185" s="44"/>
      <c r="BK1185" s="44"/>
      <c r="BL1185" s="44"/>
      <c r="BM1185" s="44"/>
      <c r="BN1185" s="44"/>
      <c r="BO1185" s="44"/>
      <c r="BP1185" s="44"/>
      <c r="BQ1185" s="44"/>
      <c r="BR1185" s="44"/>
      <c r="BS1185" s="44"/>
      <c r="BT1185" s="44"/>
      <c r="BU1185" s="44"/>
      <c r="BV1185" s="44"/>
      <c r="BW1185" s="44"/>
      <c r="BX1185" s="44"/>
      <c r="BY1185" s="44"/>
      <c r="BZ1185" s="44"/>
      <c r="CA1185" s="44"/>
      <c r="CB1185" s="44"/>
      <c r="CC1185" s="44"/>
      <c r="CD1185" s="44"/>
      <c r="CE1185" s="44"/>
      <c r="CF1185" s="44"/>
      <c r="CG1185" s="44"/>
      <c r="CH1185" s="44"/>
      <c r="CI1185" s="44"/>
      <c r="CJ1185" s="44"/>
      <c r="CK1185" s="44"/>
      <c r="CL1185" s="44"/>
      <c r="CM1185" s="44"/>
      <c r="CN1185" s="44"/>
      <c r="CO1185" s="44"/>
      <c r="CP1185" s="44"/>
      <c r="CQ1185" s="44"/>
      <c r="CR1185" s="44"/>
      <c r="CS1185" s="44"/>
      <c r="CT1185" s="44"/>
      <c r="CU1185" s="44"/>
      <c r="CV1185" s="44"/>
      <c r="CW1185" s="44"/>
      <c r="CX1185" s="44"/>
      <c r="CY1185" s="44"/>
      <c r="CZ1185" s="44"/>
      <c r="DA1185" s="44"/>
      <c r="DB1185" s="44"/>
      <c r="DC1185" s="44"/>
      <c r="DD1185" s="44"/>
      <c r="DE1185" s="44"/>
      <c r="DF1185" s="44"/>
      <c r="DG1185" s="44"/>
      <c r="DH1185" s="44"/>
      <c r="DI1185" s="44"/>
      <c r="DJ1185" s="44"/>
      <c r="DK1185" s="44"/>
      <c r="DL1185" s="44"/>
      <c r="DM1185" s="44"/>
      <c r="DN1185" s="44"/>
      <c r="DO1185" s="44"/>
      <c r="DP1185" s="44"/>
      <c r="DQ1185" s="44"/>
      <c r="DR1185" s="44"/>
      <c r="DS1185" s="44"/>
      <c r="DT1185" s="44"/>
      <c r="DU1185" s="44"/>
      <c r="DV1185" s="44"/>
      <c r="DW1185" s="44"/>
      <c r="DX1185" s="44"/>
      <c r="DY1185" s="44"/>
      <c r="DZ1185" s="44"/>
      <c r="EA1185" s="44"/>
      <c r="EB1185" s="44"/>
      <c r="EC1185" s="44"/>
      <c r="ED1185" s="44"/>
      <c r="EE1185" s="44"/>
      <c r="EF1185" s="44"/>
      <c r="EG1185" s="44"/>
      <c r="EH1185" s="44"/>
      <c r="EI1185" s="44"/>
      <c r="EJ1185" s="44"/>
      <c r="EK1185" s="44"/>
      <c r="EL1185" s="44"/>
      <c r="EM1185" s="44"/>
      <c r="EN1185" s="44"/>
      <c r="EO1185" s="44"/>
      <c r="EP1185" s="44"/>
      <c r="EQ1185" s="44"/>
      <c r="ER1185" s="44"/>
      <c r="ES1185" s="44"/>
      <c r="ET1185" s="44"/>
      <c r="EU1185" s="44"/>
      <c r="EV1185" s="44"/>
      <c r="EW1185" s="44"/>
      <c r="EX1185" s="44"/>
      <c r="EY1185" s="44"/>
      <c r="EZ1185" s="44"/>
      <c r="FA1185" s="44"/>
      <c r="FB1185" s="44"/>
      <c r="FC1185" s="44"/>
      <c r="FD1185" s="44"/>
      <c r="FE1185" s="44"/>
      <c r="FF1185" s="44"/>
      <c r="FG1185" s="44"/>
      <c r="FH1185" s="44"/>
      <c r="FI1185" s="44"/>
      <c r="FJ1185" s="44"/>
      <c r="FK1185" s="44"/>
      <c r="FL1185" s="44"/>
      <c r="FM1185" s="44"/>
      <c r="FN1185" s="44"/>
      <c r="FO1185" s="44"/>
      <c r="FP1185" s="44"/>
      <c r="FQ1185" s="44"/>
      <c r="FR1185" s="44"/>
      <c r="FS1185" s="44"/>
      <c r="FT1185" s="44"/>
      <c r="FU1185" s="44"/>
      <c r="FV1185" s="44"/>
      <c r="FW1185" s="44"/>
      <c r="FX1185" s="44"/>
      <c r="FY1185" s="44"/>
      <c r="FZ1185" s="44"/>
      <c r="GA1185" s="44"/>
      <c r="GB1185" s="44"/>
      <c r="GC1185" s="44"/>
      <c r="GD1185" s="44"/>
      <c r="GE1185" s="44"/>
      <c r="GF1185" s="44"/>
      <c r="GG1185" s="44"/>
      <c r="GH1185" s="44"/>
      <c r="GI1185" s="44"/>
      <c r="GJ1185" s="44"/>
      <c r="GK1185" s="44"/>
      <c r="GL1185" s="44"/>
      <c r="GM1185" s="44"/>
      <c r="GN1185" s="44"/>
      <c r="GO1185" s="44"/>
      <c r="GP1185" s="44"/>
      <c r="GQ1185" s="44"/>
      <c r="GR1185" s="44"/>
      <c r="GS1185" s="44"/>
      <c r="GT1185" s="44"/>
      <c r="GU1185" s="44"/>
      <c r="GV1185" s="44"/>
      <c r="GW1185" s="44"/>
      <c r="GX1185" s="44"/>
      <c r="GY1185" s="44"/>
      <c r="GZ1185" s="44"/>
      <c r="HA1185" s="44"/>
      <c r="HB1185" s="44"/>
      <c r="HC1185" s="44"/>
      <c r="HD1185" s="44"/>
      <c r="HE1185" s="44"/>
      <c r="HF1185" s="44"/>
      <c r="HG1185" s="44"/>
      <c r="HH1185" s="44"/>
      <c r="HI1185" s="44"/>
      <c r="HJ1185" s="44"/>
      <c r="HK1185" s="44"/>
      <c r="HL1185" s="44"/>
      <c r="HM1185" s="44"/>
      <c r="HN1185" s="44"/>
      <c r="HO1185" s="44"/>
      <c r="HP1185" s="44"/>
      <c r="HQ1185" s="44"/>
      <c r="HR1185" s="44"/>
      <c r="HS1185" s="44"/>
      <c r="HT1185" s="44"/>
      <c r="HU1185" s="44"/>
    </row>
    <row r="1186" spans="1:229" s="2" customFormat="1" ht="15">
      <c r="A1186" s="105">
        <v>1135</v>
      </c>
      <c r="B1186" s="113"/>
      <c r="C1186" s="124"/>
      <c r="D1186" s="8" t="s">
        <v>2527</v>
      </c>
      <c r="E1186" s="189" t="s">
        <v>187</v>
      </c>
      <c r="F1186" s="107"/>
      <c r="G1186" s="107"/>
      <c r="H1186" s="107"/>
      <c r="I1186" s="8" t="s">
        <v>310</v>
      </c>
      <c r="J1186" s="108" t="s">
        <v>373</v>
      </c>
      <c r="K1186" s="57">
        <v>100</v>
      </c>
      <c r="L1186" s="58">
        <v>100</v>
      </c>
      <c r="M1186" s="44"/>
      <c r="N1186" s="44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4"/>
      <c r="AA1186" s="44"/>
      <c r="AB1186" s="44"/>
      <c r="AC1186" s="44"/>
      <c r="AD1186" s="44"/>
      <c r="AE1186" s="44"/>
      <c r="AF1186" s="44"/>
      <c r="AG1186" s="44"/>
      <c r="AH1186" s="44"/>
      <c r="AI1186" s="44"/>
      <c r="AJ1186" s="44"/>
      <c r="AK1186" s="44"/>
      <c r="AL1186" s="44"/>
      <c r="AM1186" s="44"/>
      <c r="AN1186" s="44"/>
      <c r="AO1186" s="44"/>
      <c r="AP1186" s="44"/>
      <c r="AQ1186" s="44"/>
      <c r="AR1186" s="44"/>
      <c r="AS1186" s="44"/>
      <c r="AT1186" s="44"/>
      <c r="AU1186" s="44"/>
      <c r="AV1186" s="44"/>
      <c r="AW1186" s="44"/>
      <c r="AX1186" s="44"/>
      <c r="AY1186" s="44"/>
      <c r="AZ1186" s="44"/>
      <c r="BA1186" s="44"/>
      <c r="BB1186" s="44"/>
      <c r="BC1186" s="44"/>
      <c r="BD1186" s="44"/>
      <c r="BE1186" s="44"/>
      <c r="BF1186" s="44"/>
      <c r="BG1186" s="44"/>
      <c r="BH1186" s="44"/>
      <c r="BI1186" s="44"/>
      <c r="BJ1186" s="44"/>
      <c r="BK1186" s="44"/>
      <c r="BL1186" s="44"/>
      <c r="BM1186" s="44"/>
      <c r="BN1186" s="44"/>
      <c r="BO1186" s="44"/>
      <c r="BP1186" s="44"/>
      <c r="BQ1186" s="44"/>
      <c r="BR1186" s="44"/>
      <c r="BS1186" s="44"/>
      <c r="BT1186" s="44"/>
      <c r="BU1186" s="44"/>
      <c r="BV1186" s="44"/>
      <c r="BW1186" s="44"/>
      <c r="BX1186" s="44"/>
      <c r="BY1186" s="44"/>
      <c r="BZ1186" s="44"/>
      <c r="CA1186" s="44"/>
      <c r="CB1186" s="44"/>
      <c r="CC1186" s="44"/>
      <c r="CD1186" s="44"/>
      <c r="CE1186" s="44"/>
      <c r="CF1186" s="44"/>
      <c r="CG1186" s="44"/>
      <c r="CH1186" s="44"/>
      <c r="CI1186" s="44"/>
      <c r="CJ1186" s="44"/>
      <c r="CK1186" s="44"/>
      <c r="CL1186" s="44"/>
      <c r="CM1186" s="44"/>
      <c r="CN1186" s="44"/>
      <c r="CO1186" s="44"/>
      <c r="CP1186" s="44"/>
      <c r="CQ1186" s="44"/>
      <c r="CR1186" s="44"/>
      <c r="CS1186" s="44"/>
      <c r="CT1186" s="44"/>
      <c r="CU1186" s="44"/>
      <c r="CV1186" s="44"/>
      <c r="CW1186" s="44"/>
      <c r="CX1186" s="44"/>
      <c r="CY1186" s="44"/>
      <c r="CZ1186" s="44"/>
      <c r="DA1186" s="44"/>
      <c r="DB1186" s="44"/>
      <c r="DC1186" s="44"/>
      <c r="DD1186" s="44"/>
      <c r="DE1186" s="44"/>
      <c r="DF1186" s="44"/>
      <c r="DG1186" s="44"/>
      <c r="DH1186" s="44"/>
      <c r="DI1186" s="44"/>
      <c r="DJ1186" s="44"/>
      <c r="DK1186" s="44"/>
      <c r="DL1186" s="44"/>
      <c r="DM1186" s="44"/>
      <c r="DN1186" s="44"/>
      <c r="DO1186" s="44"/>
      <c r="DP1186" s="44"/>
      <c r="DQ1186" s="44"/>
      <c r="DR1186" s="44"/>
      <c r="DS1186" s="44"/>
      <c r="DT1186" s="44"/>
      <c r="DU1186" s="44"/>
      <c r="DV1186" s="44"/>
      <c r="DW1186" s="44"/>
      <c r="DX1186" s="44"/>
      <c r="DY1186" s="44"/>
      <c r="DZ1186" s="44"/>
      <c r="EA1186" s="44"/>
      <c r="EB1186" s="44"/>
      <c r="EC1186" s="44"/>
      <c r="ED1186" s="44"/>
      <c r="EE1186" s="44"/>
      <c r="EF1186" s="44"/>
      <c r="EG1186" s="44"/>
      <c r="EH1186" s="44"/>
      <c r="EI1186" s="44"/>
      <c r="EJ1186" s="44"/>
      <c r="EK1186" s="44"/>
      <c r="EL1186" s="44"/>
      <c r="EM1186" s="44"/>
      <c r="EN1186" s="44"/>
      <c r="EO1186" s="44"/>
      <c r="EP1186" s="44"/>
      <c r="EQ1186" s="44"/>
      <c r="ER1186" s="44"/>
      <c r="ES1186" s="44"/>
      <c r="ET1186" s="44"/>
      <c r="EU1186" s="44"/>
      <c r="EV1186" s="44"/>
      <c r="EW1186" s="44"/>
      <c r="EX1186" s="44"/>
      <c r="EY1186" s="44"/>
      <c r="EZ1186" s="44"/>
      <c r="FA1186" s="44"/>
      <c r="FB1186" s="44"/>
      <c r="FC1186" s="44"/>
      <c r="FD1186" s="44"/>
      <c r="FE1186" s="44"/>
      <c r="FF1186" s="44"/>
      <c r="FG1186" s="44"/>
      <c r="FH1186" s="44"/>
      <c r="FI1186" s="44"/>
      <c r="FJ1186" s="44"/>
      <c r="FK1186" s="44"/>
      <c r="FL1186" s="44"/>
      <c r="FM1186" s="44"/>
      <c r="FN1186" s="44"/>
      <c r="FO1186" s="44"/>
      <c r="FP1186" s="44"/>
      <c r="FQ1186" s="44"/>
      <c r="FR1186" s="44"/>
      <c r="FS1186" s="44"/>
      <c r="FT1186" s="44"/>
      <c r="FU1186" s="44"/>
      <c r="FV1186" s="44"/>
      <c r="FW1186" s="44"/>
      <c r="FX1186" s="44"/>
      <c r="FY1186" s="44"/>
      <c r="FZ1186" s="44"/>
      <c r="GA1186" s="44"/>
      <c r="GB1186" s="44"/>
      <c r="GC1186" s="44"/>
      <c r="GD1186" s="44"/>
      <c r="GE1186" s="44"/>
      <c r="GF1186" s="44"/>
      <c r="GG1186" s="44"/>
      <c r="GH1186" s="44"/>
      <c r="GI1186" s="44"/>
      <c r="GJ1186" s="44"/>
      <c r="GK1186" s="44"/>
      <c r="GL1186" s="44"/>
      <c r="GM1186" s="44"/>
      <c r="GN1186" s="44"/>
      <c r="GO1186" s="44"/>
      <c r="GP1186" s="44"/>
      <c r="GQ1186" s="44"/>
      <c r="GR1186" s="44"/>
      <c r="GS1186" s="44"/>
      <c r="GT1186" s="44"/>
      <c r="GU1186" s="44"/>
      <c r="GV1186" s="44"/>
      <c r="GW1186" s="44"/>
      <c r="GX1186" s="44"/>
      <c r="GY1186" s="44"/>
      <c r="GZ1186" s="44"/>
      <c r="HA1186" s="44"/>
      <c r="HB1186" s="44"/>
      <c r="HC1186" s="44"/>
      <c r="HD1186" s="44"/>
      <c r="HE1186" s="44"/>
      <c r="HF1186" s="44"/>
      <c r="HG1186" s="44"/>
      <c r="HH1186" s="44"/>
      <c r="HI1186" s="44"/>
      <c r="HJ1186" s="44"/>
      <c r="HK1186" s="44"/>
      <c r="HL1186" s="44"/>
      <c r="HM1186" s="44"/>
      <c r="HN1186" s="44"/>
      <c r="HO1186" s="44"/>
      <c r="HP1186" s="44"/>
      <c r="HQ1186" s="44"/>
      <c r="HR1186" s="44"/>
      <c r="HS1186" s="44"/>
      <c r="HT1186" s="44"/>
      <c r="HU1186" s="44"/>
    </row>
    <row r="1187" spans="1:229" s="2" customFormat="1" ht="15">
      <c r="A1187" s="105">
        <v>1136</v>
      </c>
      <c r="B1187" s="113"/>
      <c r="C1187" s="124"/>
      <c r="D1187" s="8" t="str">
        <f>"4755009070"</f>
        <v>4755009070</v>
      </c>
      <c r="E1187" s="189" t="s">
        <v>168</v>
      </c>
      <c r="F1187" s="107"/>
      <c r="G1187" s="107"/>
      <c r="H1187" s="107"/>
      <c r="I1187" s="8" t="s">
        <v>310</v>
      </c>
      <c r="J1187" s="108" t="s">
        <v>373</v>
      </c>
      <c r="K1187" s="57">
        <v>100</v>
      </c>
      <c r="L1187" s="58">
        <v>100</v>
      </c>
      <c r="M1187" s="44"/>
      <c r="N1187" s="44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  <c r="AA1187" s="44"/>
      <c r="AB1187" s="44"/>
      <c r="AC1187" s="44"/>
      <c r="AD1187" s="44"/>
      <c r="AE1187" s="44"/>
      <c r="AF1187" s="44"/>
      <c r="AG1187" s="44"/>
      <c r="AH1187" s="44"/>
      <c r="AI1187" s="44"/>
      <c r="AJ1187" s="44"/>
      <c r="AK1187" s="44"/>
      <c r="AL1187" s="44"/>
      <c r="AM1187" s="44"/>
      <c r="AN1187" s="44"/>
      <c r="AO1187" s="44"/>
      <c r="AP1187" s="44"/>
      <c r="AQ1187" s="44"/>
      <c r="AR1187" s="44"/>
      <c r="AS1187" s="44"/>
      <c r="AT1187" s="44"/>
      <c r="AU1187" s="44"/>
      <c r="AV1187" s="44"/>
      <c r="AW1187" s="44"/>
      <c r="AX1187" s="44"/>
      <c r="AY1187" s="44"/>
      <c r="AZ1187" s="44"/>
      <c r="BA1187" s="44"/>
      <c r="BB1187" s="44"/>
      <c r="BC1187" s="44"/>
      <c r="BD1187" s="44"/>
      <c r="BE1187" s="44"/>
      <c r="BF1187" s="44"/>
      <c r="BG1187" s="44"/>
      <c r="BH1187" s="44"/>
      <c r="BI1187" s="44"/>
      <c r="BJ1187" s="44"/>
      <c r="BK1187" s="44"/>
      <c r="BL1187" s="44"/>
      <c r="BM1187" s="44"/>
      <c r="BN1187" s="44"/>
      <c r="BO1187" s="44"/>
      <c r="BP1187" s="44"/>
      <c r="BQ1187" s="44"/>
      <c r="BR1187" s="44"/>
      <c r="BS1187" s="44"/>
      <c r="BT1187" s="44"/>
      <c r="BU1187" s="44"/>
      <c r="BV1187" s="44"/>
      <c r="BW1187" s="44"/>
      <c r="BX1187" s="44"/>
      <c r="BY1187" s="44"/>
      <c r="BZ1187" s="44"/>
      <c r="CA1187" s="44"/>
      <c r="CB1187" s="44"/>
      <c r="CC1187" s="44"/>
      <c r="CD1187" s="44"/>
      <c r="CE1187" s="44"/>
      <c r="CF1187" s="44"/>
      <c r="CG1187" s="44"/>
      <c r="CH1187" s="44"/>
      <c r="CI1187" s="44"/>
      <c r="CJ1187" s="44"/>
      <c r="CK1187" s="44"/>
      <c r="CL1187" s="44"/>
      <c r="CM1187" s="44"/>
      <c r="CN1187" s="44"/>
      <c r="CO1187" s="44"/>
      <c r="CP1187" s="44"/>
      <c r="CQ1187" s="44"/>
      <c r="CR1187" s="44"/>
      <c r="CS1187" s="44"/>
      <c r="CT1187" s="44"/>
      <c r="CU1187" s="44"/>
      <c r="CV1187" s="44"/>
      <c r="CW1187" s="44"/>
      <c r="CX1187" s="44"/>
      <c r="CY1187" s="44"/>
      <c r="CZ1187" s="44"/>
      <c r="DA1187" s="44"/>
      <c r="DB1187" s="44"/>
      <c r="DC1187" s="44"/>
      <c r="DD1187" s="44"/>
      <c r="DE1187" s="44"/>
      <c r="DF1187" s="44"/>
      <c r="DG1187" s="44"/>
      <c r="DH1187" s="44"/>
      <c r="DI1187" s="44"/>
      <c r="DJ1187" s="44"/>
      <c r="DK1187" s="44"/>
      <c r="DL1187" s="44"/>
      <c r="DM1187" s="44"/>
      <c r="DN1187" s="44"/>
      <c r="DO1187" s="44"/>
      <c r="DP1187" s="44"/>
      <c r="DQ1187" s="44"/>
      <c r="DR1187" s="44"/>
      <c r="DS1187" s="44"/>
      <c r="DT1187" s="44"/>
      <c r="DU1187" s="44"/>
      <c r="DV1187" s="44"/>
      <c r="DW1187" s="44"/>
      <c r="DX1187" s="44"/>
      <c r="DY1187" s="44"/>
      <c r="DZ1187" s="44"/>
      <c r="EA1187" s="44"/>
      <c r="EB1187" s="44"/>
      <c r="EC1187" s="44"/>
      <c r="ED1187" s="44"/>
      <c r="EE1187" s="44"/>
      <c r="EF1187" s="44"/>
      <c r="EG1187" s="44"/>
      <c r="EH1187" s="44"/>
      <c r="EI1187" s="44"/>
      <c r="EJ1187" s="44"/>
      <c r="EK1187" s="44"/>
      <c r="EL1187" s="44"/>
      <c r="EM1187" s="44"/>
      <c r="EN1187" s="44"/>
      <c r="EO1187" s="44"/>
      <c r="EP1187" s="44"/>
      <c r="EQ1187" s="44"/>
      <c r="ER1187" s="44"/>
      <c r="ES1187" s="44"/>
      <c r="ET1187" s="44"/>
      <c r="EU1187" s="44"/>
      <c r="EV1187" s="44"/>
      <c r="EW1187" s="44"/>
      <c r="EX1187" s="44"/>
      <c r="EY1187" s="44"/>
      <c r="EZ1187" s="44"/>
      <c r="FA1187" s="44"/>
      <c r="FB1187" s="44"/>
      <c r="FC1187" s="44"/>
      <c r="FD1187" s="44"/>
      <c r="FE1187" s="44"/>
      <c r="FF1187" s="44"/>
      <c r="FG1187" s="44"/>
      <c r="FH1187" s="44"/>
      <c r="FI1187" s="44"/>
      <c r="FJ1187" s="44"/>
      <c r="FK1187" s="44"/>
      <c r="FL1187" s="44"/>
      <c r="FM1187" s="44"/>
      <c r="FN1187" s="44"/>
      <c r="FO1187" s="44"/>
      <c r="FP1187" s="44"/>
      <c r="FQ1187" s="44"/>
      <c r="FR1187" s="44"/>
      <c r="FS1187" s="44"/>
      <c r="FT1187" s="44"/>
      <c r="FU1187" s="44"/>
      <c r="FV1187" s="44"/>
      <c r="FW1187" s="44"/>
      <c r="FX1187" s="44"/>
      <c r="FY1187" s="44"/>
      <c r="FZ1187" s="44"/>
      <c r="GA1187" s="44"/>
      <c r="GB1187" s="44"/>
      <c r="GC1187" s="44"/>
      <c r="GD1187" s="44"/>
      <c r="GE1187" s="44"/>
      <c r="GF1187" s="44"/>
      <c r="GG1187" s="44"/>
      <c r="GH1187" s="44"/>
      <c r="GI1187" s="44"/>
      <c r="GJ1187" s="44"/>
      <c r="GK1187" s="44"/>
      <c r="GL1187" s="44"/>
      <c r="GM1187" s="44"/>
      <c r="GN1187" s="44"/>
      <c r="GO1187" s="44"/>
      <c r="GP1187" s="44"/>
      <c r="GQ1187" s="44"/>
      <c r="GR1187" s="44"/>
      <c r="GS1187" s="44"/>
      <c r="GT1187" s="44"/>
      <c r="GU1187" s="44"/>
      <c r="GV1187" s="44"/>
      <c r="GW1187" s="44"/>
      <c r="GX1187" s="44"/>
      <c r="GY1187" s="44"/>
      <c r="GZ1187" s="44"/>
      <c r="HA1187" s="44"/>
      <c r="HB1187" s="44"/>
      <c r="HC1187" s="44"/>
      <c r="HD1187" s="44"/>
      <c r="HE1187" s="44"/>
      <c r="HF1187" s="44"/>
      <c r="HG1187" s="44"/>
      <c r="HH1187" s="44"/>
      <c r="HI1187" s="44"/>
      <c r="HJ1187" s="44"/>
      <c r="HK1187" s="44"/>
      <c r="HL1187" s="44"/>
      <c r="HM1187" s="44"/>
      <c r="HN1187" s="44"/>
      <c r="HO1187" s="44"/>
      <c r="HP1187" s="44"/>
      <c r="HQ1187" s="44"/>
      <c r="HR1187" s="44"/>
      <c r="HS1187" s="44"/>
      <c r="HT1187" s="44"/>
      <c r="HU1187" s="44"/>
    </row>
    <row r="1188" spans="1:229" s="9" customFormat="1" ht="15">
      <c r="A1188" s="105">
        <v>1137</v>
      </c>
      <c r="B1188" s="106"/>
      <c r="C1188" s="106"/>
      <c r="D1188" s="8" t="str">
        <f>"477500K010"</f>
        <v>477500K010</v>
      </c>
      <c r="E1188" s="189" t="s">
        <v>778</v>
      </c>
      <c r="F1188" s="106"/>
      <c r="G1188" s="107" t="s">
        <v>2528</v>
      </c>
      <c r="H1188" s="107"/>
      <c r="I1188" s="8" t="s">
        <v>310</v>
      </c>
      <c r="J1188" s="108" t="s">
        <v>373</v>
      </c>
      <c r="K1188" s="57">
        <v>100</v>
      </c>
      <c r="L1188" s="58">
        <v>100</v>
      </c>
    </row>
    <row r="1189" spans="1:229" ht="15">
      <c r="A1189" s="105">
        <v>1138</v>
      </c>
      <c r="B1189" s="106"/>
      <c r="C1189" s="106"/>
      <c r="D1189" s="8" t="s">
        <v>2168</v>
      </c>
      <c r="E1189" s="189" t="s">
        <v>2822</v>
      </c>
      <c r="F1189" s="106"/>
      <c r="G1189" s="107" t="s">
        <v>2168</v>
      </c>
      <c r="H1189" s="107"/>
      <c r="I1189" s="8" t="s">
        <v>310</v>
      </c>
      <c r="J1189" s="41" t="s">
        <v>2632</v>
      </c>
      <c r="K1189" s="57">
        <v>30</v>
      </c>
      <c r="L1189" s="58">
        <v>30</v>
      </c>
    </row>
    <row r="1190" spans="1:229" ht="15">
      <c r="A1190" s="105">
        <v>1139</v>
      </c>
      <c r="B1190" s="106"/>
      <c r="C1190" s="106"/>
      <c r="D1190" s="7" t="s">
        <v>2530</v>
      </c>
      <c r="E1190" s="192" t="s">
        <v>681</v>
      </c>
      <c r="F1190" s="106"/>
      <c r="G1190" s="113" t="s">
        <v>2530</v>
      </c>
      <c r="H1190" s="107"/>
      <c r="I1190" s="8" t="s">
        <v>267</v>
      </c>
      <c r="J1190" s="108" t="s">
        <v>1110</v>
      </c>
      <c r="K1190" s="57">
        <v>30</v>
      </c>
      <c r="L1190" s="58">
        <v>30</v>
      </c>
    </row>
    <row r="1191" spans="1:229" s="9" customFormat="1" ht="17.25" customHeight="1">
      <c r="A1191" s="105">
        <v>1140</v>
      </c>
      <c r="B1191" s="113" t="s">
        <v>1897</v>
      </c>
      <c r="C1191" s="124">
        <v>2376</v>
      </c>
      <c r="D1191" s="7" t="s">
        <v>2536</v>
      </c>
      <c r="E1191" s="192" t="s">
        <v>2532</v>
      </c>
      <c r="F1191" s="113"/>
      <c r="G1191" s="113" t="s">
        <v>2541</v>
      </c>
      <c r="H1191" s="107">
        <v>5110</v>
      </c>
      <c r="I1191" s="8" t="s">
        <v>267</v>
      </c>
      <c r="J1191" s="108" t="s">
        <v>1492</v>
      </c>
      <c r="K1191" s="57">
        <v>30</v>
      </c>
      <c r="L1191" s="58">
        <v>30</v>
      </c>
    </row>
    <row r="1192" spans="1:229" s="9" customFormat="1" ht="17.25" customHeight="1">
      <c r="A1192" s="105">
        <v>1141</v>
      </c>
      <c r="B1192" s="113" t="s">
        <v>1897</v>
      </c>
      <c r="C1192" s="124">
        <v>2376</v>
      </c>
      <c r="D1192" s="7" t="s">
        <v>2537</v>
      </c>
      <c r="E1192" s="192" t="s">
        <v>2532</v>
      </c>
      <c r="F1192" s="113"/>
      <c r="G1192" s="113" t="s">
        <v>2542</v>
      </c>
      <c r="H1192" s="107">
        <v>5110</v>
      </c>
      <c r="I1192" s="8" t="s">
        <v>267</v>
      </c>
      <c r="J1192" s="108" t="s">
        <v>1492</v>
      </c>
      <c r="K1192" s="57">
        <v>30</v>
      </c>
      <c r="L1192" s="58">
        <v>30</v>
      </c>
    </row>
    <row r="1193" spans="1:229" s="9" customFormat="1" ht="17.25" customHeight="1">
      <c r="A1193" s="105">
        <v>1142</v>
      </c>
      <c r="B1193" s="113" t="s">
        <v>1897</v>
      </c>
      <c r="C1193" s="124">
        <v>2376</v>
      </c>
      <c r="D1193" s="7" t="s">
        <v>2538</v>
      </c>
      <c r="E1193" s="192" t="s">
        <v>2534</v>
      </c>
      <c r="F1193" s="113"/>
      <c r="G1193" s="113" t="s">
        <v>2543</v>
      </c>
      <c r="H1193" s="107">
        <v>5110</v>
      </c>
      <c r="I1193" s="8" t="s">
        <v>267</v>
      </c>
      <c r="J1193" s="108" t="s">
        <v>1492</v>
      </c>
      <c r="K1193" s="57">
        <v>30</v>
      </c>
      <c r="L1193" s="58">
        <v>30</v>
      </c>
    </row>
    <row r="1194" spans="1:229" s="9" customFormat="1" ht="17.25" customHeight="1">
      <c r="A1194" s="105">
        <v>1143</v>
      </c>
      <c r="B1194" s="113" t="s">
        <v>1897</v>
      </c>
      <c r="C1194" s="124">
        <v>2376</v>
      </c>
      <c r="D1194" s="7" t="s">
        <v>2539</v>
      </c>
      <c r="E1194" s="192" t="s">
        <v>2534</v>
      </c>
      <c r="F1194" s="113"/>
      <c r="G1194" s="113" t="s">
        <v>2544</v>
      </c>
      <c r="H1194" s="107">
        <v>5110</v>
      </c>
      <c r="I1194" s="8" t="s">
        <v>267</v>
      </c>
      <c r="J1194" s="108" t="s">
        <v>1492</v>
      </c>
      <c r="K1194" s="57">
        <v>30</v>
      </c>
      <c r="L1194" s="58">
        <v>30</v>
      </c>
    </row>
    <row r="1195" spans="1:229" s="9" customFormat="1" ht="17.25" customHeight="1">
      <c r="A1195" s="105">
        <v>1144</v>
      </c>
      <c r="B1195" s="113" t="s">
        <v>1897</v>
      </c>
      <c r="C1195" s="124">
        <v>2376</v>
      </c>
      <c r="D1195" s="7" t="s">
        <v>2540</v>
      </c>
      <c r="E1195" s="192" t="s">
        <v>2535</v>
      </c>
      <c r="F1195" s="113"/>
      <c r="G1195" s="113" t="s">
        <v>2545</v>
      </c>
      <c r="H1195" s="107">
        <v>5110</v>
      </c>
      <c r="I1195" s="8" t="s">
        <v>267</v>
      </c>
      <c r="J1195" s="108" t="s">
        <v>1492</v>
      </c>
      <c r="K1195" s="57">
        <v>30</v>
      </c>
      <c r="L1195" s="58">
        <v>30</v>
      </c>
    </row>
    <row r="1196" spans="1:229" s="11" customFormat="1" ht="15.75">
      <c r="A1196" s="105">
        <v>1145</v>
      </c>
      <c r="B1196" s="125"/>
      <c r="C1196" s="125"/>
      <c r="D1196" s="41" t="s">
        <v>2533</v>
      </c>
      <c r="E1196" s="192" t="s">
        <v>2532</v>
      </c>
      <c r="F1196" s="112"/>
      <c r="G1196" s="112"/>
      <c r="H1196" s="112"/>
      <c r="I1196" s="8" t="s">
        <v>267</v>
      </c>
      <c r="J1196" s="108" t="s">
        <v>1492</v>
      </c>
      <c r="K1196" s="57">
        <v>30</v>
      </c>
      <c r="L1196" s="58">
        <v>30</v>
      </c>
    </row>
    <row r="1197" spans="1:229" ht="15.75">
      <c r="A1197" s="105">
        <v>1146</v>
      </c>
      <c r="B1197" s="125"/>
      <c r="C1197" s="125"/>
      <c r="D1197" s="126" t="s">
        <v>2546</v>
      </c>
      <c r="E1197" s="193" t="s">
        <v>830</v>
      </c>
      <c r="F1197" s="112"/>
      <c r="G1197" s="112"/>
      <c r="H1197" s="112"/>
      <c r="I1197" s="8" t="s">
        <v>226</v>
      </c>
      <c r="J1197" s="108" t="s">
        <v>1110</v>
      </c>
      <c r="K1197" s="57">
        <v>30</v>
      </c>
      <c r="L1197" s="58">
        <v>30</v>
      </c>
    </row>
    <row r="1198" spans="1:229" ht="15.75">
      <c r="A1198" s="105">
        <v>1147</v>
      </c>
      <c r="B1198" s="125"/>
      <c r="C1198" s="125"/>
      <c r="D1198" s="225" t="s">
        <v>2588</v>
      </c>
      <c r="E1198" s="189" t="s">
        <v>2676</v>
      </c>
      <c r="F1198" s="112"/>
      <c r="G1198" s="112"/>
      <c r="H1198" s="112"/>
      <c r="I1198" s="8" t="s">
        <v>260</v>
      </c>
      <c r="J1198" s="8" t="s">
        <v>1690</v>
      </c>
      <c r="K1198" s="57">
        <v>30</v>
      </c>
      <c r="L1198" s="58">
        <v>30</v>
      </c>
    </row>
    <row r="1199" spans="1:229" ht="15.75">
      <c r="A1199" s="105">
        <v>1148</v>
      </c>
      <c r="B1199" s="125"/>
      <c r="C1199" s="125"/>
      <c r="D1199" s="225" t="s">
        <v>4596</v>
      </c>
      <c r="E1199" s="194" t="s">
        <v>2621</v>
      </c>
      <c r="F1199" s="112"/>
      <c r="G1199" s="112"/>
      <c r="H1199" s="112"/>
      <c r="I1199" s="41" t="s">
        <v>317</v>
      </c>
      <c r="J1199" s="41" t="s">
        <v>1690</v>
      </c>
      <c r="K1199" s="57">
        <v>30</v>
      </c>
      <c r="L1199" s="58">
        <v>30</v>
      </c>
    </row>
    <row r="1200" spans="1:229" ht="15.75">
      <c r="A1200" s="105">
        <v>1149</v>
      </c>
      <c r="B1200" s="125"/>
      <c r="C1200" s="125"/>
      <c r="D1200" s="225" t="s">
        <v>4597</v>
      </c>
      <c r="E1200" s="189" t="s">
        <v>4369</v>
      </c>
      <c r="F1200" s="106"/>
      <c r="G1200" s="106" t="s">
        <v>1312</v>
      </c>
      <c r="H1200" s="107">
        <v>4100</v>
      </c>
      <c r="I1200" s="8" t="s">
        <v>317</v>
      </c>
      <c r="J1200" s="108" t="s">
        <v>2633</v>
      </c>
      <c r="K1200" s="57">
        <v>0</v>
      </c>
      <c r="L1200" s="58">
        <v>0</v>
      </c>
    </row>
    <row r="1201" spans="1:12" ht="15.75">
      <c r="A1201" s="105">
        <v>1150</v>
      </c>
      <c r="B1201" s="125"/>
      <c r="C1201" s="125"/>
      <c r="D1201" s="225" t="s">
        <v>2623</v>
      </c>
      <c r="E1201" s="194" t="s">
        <v>2647</v>
      </c>
      <c r="F1201" s="112"/>
      <c r="G1201" s="112"/>
      <c r="H1201" s="112"/>
      <c r="I1201" s="41" t="s">
        <v>310</v>
      </c>
      <c r="J1201" s="8" t="s">
        <v>1690</v>
      </c>
      <c r="K1201" s="57">
        <v>30</v>
      </c>
      <c r="L1201" s="58">
        <v>30</v>
      </c>
    </row>
    <row r="1202" spans="1:12" ht="15.75">
      <c r="A1202" s="105">
        <v>1151</v>
      </c>
      <c r="B1202" s="125"/>
      <c r="C1202" s="125"/>
      <c r="D1202" s="225" t="s">
        <v>2624</v>
      </c>
      <c r="E1202" s="194" t="s">
        <v>2647</v>
      </c>
      <c r="F1202" s="112"/>
      <c r="G1202" s="112"/>
      <c r="H1202" s="112"/>
      <c r="I1202" s="41" t="s">
        <v>310</v>
      </c>
      <c r="J1202" s="8" t="s">
        <v>1690</v>
      </c>
      <c r="K1202" s="57">
        <v>30</v>
      </c>
      <c r="L1202" s="58">
        <v>30</v>
      </c>
    </row>
    <row r="1203" spans="1:12" ht="15.75">
      <c r="A1203" s="105">
        <v>1152</v>
      </c>
      <c r="B1203" s="125"/>
      <c r="C1203" s="125"/>
      <c r="D1203" s="225" t="s">
        <v>2625</v>
      </c>
      <c r="E1203" s="189" t="s">
        <v>1755</v>
      </c>
      <c r="F1203" s="112"/>
      <c r="G1203" s="112"/>
      <c r="H1203" s="112"/>
      <c r="I1203" s="8" t="s">
        <v>2626</v>
      </c>
      <c r="J1203" s="41" t="s">
        <v>1864</v>
      </c>
      <c r="K1203" s="57">
        <v>30</v>
      </c>
      <c r="L1203" s="58">
        <v>30</v>
      </c>
    </row>
    <row r="1204" spans="1:12" ht="15.75">
      <c r="A1204" s="105">
        <v>1153</v>
      </c>
      <c r="B1204" s="125"/>
      <c r="C1204" s="125"/>
      <c r="D1204" s="118" t="s">
        <v>2627</v>
      </c>
      <c r="E1204" s="189" t="s">
        <v>2647</v>
      </c>
      <c r="F1204" s="112"/>
      <c r="G1204" s="112"/>
      <c r="H1204" s="112"/>
      <c r="I1204" s="8" t="s">
        <v>310</v>
      </c>
      <c r="J1204" s="8" t="s">
        <v>1110</v>
      </c>
      <c r="K1204" s="57">
        <v>30</v>
      </c>
      <c r="L1204" s="58">
        <v>30</v>
      </c>
    </row>
    <row r="1205" spans="1:12" ht="15.75">
      <c r="A1205" s="105">
        <v>1154</v>
      </c>
      <c r="B1205" s="125"/>
      <c r="C1205" s="125"/>
      <c r="D1205" s="225" t="s">
        <v>2634</v>
      </c>
      <c r="E1205" s="189" t="s">
        <v>4538</v>
      </c>
      <c r="F1205" s="107"/>
      <c r="G1205" s="107"/>
      <c r="H1205" s="107"/>
      <c r="I1205" s="8" t="s">
        <v>317</v>
      </c>
      <c r="J1205" s="108" t="s">
        <v>2633</v>
      </c>
      <c r="K1205" s="57">
        <v>0</v>
      </c>
      <c r="L1205" s="58">
        <v>0</v>
      </c>
    </row>
    <row r="1206" spans="1:12" ht="15.75">
      <c r="A1206" s="105">
        <v>1155</v>
      </c>
      <c r="B1206" s="125"/>
      <c r="C1206" s="125"/>
      <c r="D1206" s="225" t="s">
        <v>4598</v>
      </c>
      <c r="E1206" s="192" t="s">
        <v>591</v>
      </c>
      <c r="F1206" s="112"/>
      <c r="G1206" s="112"/>
      <c r="H1206" s="112"/>
      <c r="I1206" s="8" t="s">
        <v>260</v>
      </c>
      <c r="J1206" s="41" t="s">
        <v>237</v>
      </c>
      <c r="K1206" s="57">
        <v>30</v>
      </c>
      <c r="L1206" s="58">
        <v>30</v>
      </c>
    </row>
    <row r="1207" spans="1:12" ht="15.75">
      <c r="A1207" s="105">
        <v>1156</v>
      </c>
      <c r="B1207" s="125"/>
      <c r="C1207" s="125"/>
      <c r="D1207" s="41" t="s">
        <v>2635</v>
      </c>
      <c r="E1207" s="189" t="s">
        <v>4537</v>
      </c>
      <c r="F1207" s="107"/>
      <c r="G1207" s="107"/>
      <c r="H1207" s="107"/>
      <c r="I1207" s="8" t="s">
        <v>317</v>
      </c>
      <c r="J1207" s="108" t="s">
        <v>2633</v>
      </c>
      <c r="K1207" s="57">
        <v>0</v>
      </c>
      <c r="L1207" s="58">
        <v>0</v>
      </c>
    </row>
    <row r="1208" spans="1:12" ht="15.75">
      <c r="A1208" s="105">
        <v>1157</v>
      </c>
      <c r="B1208" s="125"/>
      <c r="C1208" s="125"/>
      <c r="D1208" s="8" t="s">
        <v>2636</v>
      </c>
      <c r="E1208" s="189" t="s">
        <v>681</v>
      </c>
      <c r="F1208" s="112"/>
      <c r="G1208" s="112"/>
      <c r="H1208" s="112"/>
      <c r="I1208" s="41" t="s">
        <v>267</v>
      </c>
      <c r="J1208" s="41" t="s">
        <v>1110</v>
      </c>
      <c r="K1208" s="57">
        <v>30</v>
      </c>
      <c r="L1208" s="58">
        <v>30</v>
      </c>
    </row>
    <row r="1209" spans="1:12" ht="15.75">
      <c r="A1209" s="105">
        <v>1158</v>
      </c>
      <c r="B1209" s="125"/>
      <c r="C1209" s="125"/>
      <c r="D1209" s="114" t="s">
        <v>2638</v>
      </c>
      <c r="E1209" s="189" t="s">
        <v>830</v>
      </c>
      <c r="F1209" s="112"/>
      <c r="G1209" s="112"/>
      <c r="H1209" s="112"/>
      <c r="I1209" s="8" t="s">
        <v>260</v>
      </c>
      <c r="J1209" s="41" t="s">
        <v>1110</v>
      </c>
      <c r="K1209" s="57">
        <v>30</v>
      </c>
      <c r="L1209" s="58">
        <v>30</v>
      </c>
    </row>
    <row r="1210" spans="1:12" ht="15.75">
      <c r="A1210" s="105">
        <v>1159</v>
      </c>
      <c r="B1210" s="125"/>
      <c r="C1210" s="125"/>
      <c r="D1210" s="114" t="s">
        <v>2637</v>
      </c>
      <c r="E1210" s="189" t="s">
        <v>830</v>
      </c>
      <c r="F1210" s="112"/>
      <c r="G1210" s="112"/>
      <c r="H1210" s="112"/>
      <c r="I1210" s="8" t="s">
        <v>260</v>
      </c>
      <c r="J1210" s="41" t="s">
        <v>1110</v>
      </c>
      <c r="K1210" s="57">
        <v>30</v>
      </c>
      <c r="L1210" s="58">
        <v>30</v>
      </c>
    </row>
    <row r="1211" spans="1:12" ht="15.75">
      <c r="A1211" s="105">
        <v>1160</v>
      </c>
      <c r="B1211" s="125"/>
      <c r="C1211" s="125"/>
      <c r="D1211" s="114" t="s">
        <v>2639</v>
      </c>
      <c r="E1211" s="189" t="s">
        <v>830</v>
      </c>
      <c r="F1211" s="112"/>
      <c r="G1211" s="112"/>
      <c r="H1211" s="112"/>
      <c r="I1211" s="8" t="s">
        <v>260</v>
      </c>
      <c r="J1211" s="41" t="s">
        <v>1110</v>
      </c>
      <c r="K1211" s="57">
        <v>30</v>
      </c>
      <c r="L1211" s="58">
        <v>30</v>
      </c>
    </row>
    <row r="1212" spans="1:12" ht="15.75">
      <c r="A1212" s="105">
        <v>1161</v>
      </c>
      <c r="B1212" s="125"/>
      <c r="C1212" s="125"/>
      <c r="D1212" s="114" t="s">
        <v>2640</v>
      </c>
      <c r="E1212" s="189" t="s">
        <v>830</v>
      </c>
      <c r="F1212" s="112"/>
      <c r="G1212" s="112"/>
      <c r="H1212" s="112"/>
      <c r="I1212" s="8" t="s">
        <v>260</v>
      </c>
      <c r="J1212" s="41" t="s">
        <v>1110</v>
      </c>
      <c r="K1212" s="57">
        <v>30</v>
      </c>
      <c r="L1212" s="58">
        <v>30</v>
      </c>
    </row>
    <row r="1213" spans="1:12" ht="15.75">
      <c r="A1213" s="105">
        <v>1162</v>
      </c>
      <c r="B1213" s="125"/>
      <c r="C1213" s="125"/>
      <c r="D1213" s="8" t="s">
        <v>2642</v>
      </c>
      <c r="E1213" s="192" t="s">
        <v>4576</v>
      </c>
      <c r="F1213" s="112"/>
      <c r="G1213" s="112"/>
      <c r="H1213" s="112"/>
      <c r="I1213" s="8" t="s">
        <v>260</v>
      </c>
      <c r="J1213" s="41" t="s">
        <v>2633</v>
      </c>
      <c r="K1213" s="57">
        <v>0</v>
      </c>
      <c r="L1213" s="58">
        <v>0</v>
      </c>
    </row>
    <row r="1214" spans="1:12" ht="15.75">
      <c r="A1214" s="105">
        <v>1163</v>
      </c>
      <c r="B1214" s="125"/>
      <c r="C1214" s="125"/>
      <c r="D1214" s="8">
        <v>4103971020</v>
      </c>
      <c r="E1214" s="189" t="s">
        <v>2641</v>
      </c>
      <c r="F1214" s="112"/>
      <c r="G1214" s="112"/>
      <c r="H1214" s="112"/>
      <c r="I1214" s="8" t="s">
        <v>260</v>
      </c>
      <c r="J1214" s="8" t="s">
        <v>1690</v>
      </c>
      <c r="K1214" s="57">
        <v>30</v>
      </c>
      <c r="L1214" s="58">
        <v>30</v>
      </c>
    </row>
    <row r="1215" spans="1:12" ht="15.75">
      <c r="A1215" s="105">
        <v>1164</v>
      </c>
      <c r="B1215" s="125"/>
      <c r="C1215" s="125"/>
      <c r="D1215" s="8" t="s">
        <v>2643</v>
      </c>
      <c r="E1215" s="189" t="s">
        <v>2622</v>
      </c>
      <c r="F1215" s="112"/>
      <c r="G1215" s="112"/>
      <c r="H1215" s="112"/>
      <c r="I1215" s="8" t="s">
        <v>310</v>
      </c>
      <c r="J1215" s="8" t="s">
        <v>1110</v>
      </c>
      <c r="K1215" s="57">
        <v>30</v>
      </c>
      <c r="L1215" s="58">
        <v>30</v>
      </c>
    </row>
    <row r="1216" spans="1:12" ht="15.75">
      <c r="A1216" s="105">
        <v>1165</v>
      </c>
      <c r="B1216" s="125"/>
      <c r="C1216" s="125"/>
      <c r="D1216" s="114" t="s">
        <v>2644</v>
      </c>
      <c r="E1216" s="189" t="s">
        <v>830</v>
      </c>
      <c r="F1216" s="112"/>
      <c r="G1216" s="112"/>
      <c r="H1216" s="112"/>
      <c r="I1216" s="8" t="s">
        <v>260</v>
      </c>
      <c r="J1216" s="41" t="s">
        <v>1110</v>
      </c>
      <c r="K1216" s="57">
        <v>30</v>
      </c>
      <c r="L1216" s="58">
        <v>30</v>
      </c>
    </row>
    <row r="1217" spans="1:12" ht="15.75">
      <c r="A1217" s="105">
        <v>1166</v>
      </c>
      <c r="B1217" s="125"/>
      <c r="C1217" s="125"/>
      <c r="D1217" s="114" t="s">
        <v>2645</v>
      </c>
      <c r="E1217" s="189" t="s">
        <v>830</v>
      </c>
      <c r="F1217" s="112"/>
      <c r="G1217" s="112"/>
      <c r="H1217" s="112"/>
      <c r="I1217" s="114" t="s">
        <v>260</v>
      </c>
      <c r="J1217" s="41" t="s">
        <v>1110</v>
      </c>
      <c r="K1217" s="57">
        <v>30</v>
      </c>
      <c r="L1217" s="58">
        <v>30</v>
      </c>
    </row>
    <row r="1218" spans="1:12" ht="15.75">
      <c r="A1218" s="105">
        <v>1167</v>
      </c>
      <c r="B1218" s="125"/>
      <c r="C1218" s="125"/>
      <c r="D1218" s="114" t="s">
        <v>2638</v>
      </c>
      <c r="E1218" s="189" t="s">
        <v>830</v>
      </c>
      <c r="F1218" s="123"/>
      <c r="G1218" s="123"/>
      <c r="H1218" s="123"/>
      <c r="I1218" s="114" t="s">
        <v>260</v>
      </c>
      <c r="J1218" s="41" t="s">
        <v>1110</v>
      </c>
      <c r="K1218" s="57">
        <v>30</v>
      </c>
      <c r="L1218" s="58">
        <v>30</v>
      </c>
    </row>
    <row r="1219" spans="1:12" ht="15.75">
      <c r="A1219" s="105">
        <v>1168</v>
      </c>
      <c r="B1219" s="125"/>
      <c r="C1219" s="125"/>
      <c r="D1219" s="114" t="s">
        <v>2646</v>
      </c>
      <c r="E1219" s="189" t="s">
        <v>830</v>
      </c>
      <c r="F1219" s="112"/>
      <c r="G1219" s="112"/>
      <c r="H1219" s="112"/>
      <c r="I1219" s="114" t="s">
        <v>260</v>
      </c>
      <c r="J1219" s="41" t="s">
        <v>1110</v>
      </c>
      <c r="K1219" s="57">
        <v>30</v>
      </c>
      <c r="L1219" s="58">
        <v>30</v>
      </c>
    </row>
    <row r="1220" spans="1:12" ht="15.75">
      <c r="A1220" s="105">
        <v>1169</v>
      </c>
      <c r="B1220" s="125"/>
      <c r="C1220" s="125"/>
      <c r="D1220" s="118" t="s">
        <v>2648</v>
      </c>
      <c r="E1220" s="189" t="s">
        <v>2647</v>
      </c>
      <c r="F1220" s="112"/>
      <c r="G1220" s="112"/>
      <c r="H1220" s="112"/>
      <c r="I1220" s="8" t="s">
        <v>310</v>
      </c>
      <c r="J1220" s="8" t="s">
        <v>1690</v>
      </c>
      <c r="K1220" s="57">
        <v>30</v>
      </c>
      <c r="L1220" s="58">
        <v>30</v>
      </c>
    </row>
    <row r="1221" spans="1:12" ht="15.75">
      <c r="A1221" s="105">
        <v>1151</v>
      </c>
      <c r="B1221" s="125"/>
      <c r="C1221" s="125"/>
      <c r="D1221" s="225" t="s">
        <v>4661</v>
      </c>
      <c r="E1221" s="194" t="s">
        <v>2647</v>
      </c>
      <c r="F1221" s="112"/>
      <c r="G1221" s="112"/>
      <c r="H1221" s="112"/>
      <c r="I1221" s="41" t="s">
        <v>310</v>
      </c>
      <c r="J1221" s="8" t="s">
        <v>1690</v>
      </c>
      <c r="K1221" s="57">
        <v>30</v>
      </c>
      <c r="L1221" s="58">
        <v>30</v>
      </c>
    </row>
    <row r="1222" spans="1:12" ht="15.75">
      <c r="A1222" s="105">
        <v>1170</v>
      </c>
      <c r="B1222" s="125"/>
      <c r="C1222" s="125"/>
      <c r="D1222" s="118" t="s">
        <v>2649</v>
      </c>
      <c r="E1222" s="195" t="s">
        <v>2687</v>
      </c>
      <c r="F1222" s="112"/>
      <c r="G1222" s="112"/>
      <c r="H1222" s="112"/>
      <c r="I1222" s="8" t="s">
        <v>226</v>
      </c>
      <c r="J1222" s="114" t="s">
        <v>2650</v>
      </c>
      <c r="K1222" s="57">
        <v>60</v>
      </c>
      <c r="L1222" s="58">
        <v>60</v>
      </c>
    </row>
    <row r="1223" spans="1:12" ht="15.75">
      <c r="A1223" s="105">
        <v>1171</v>
      </c>
      <c r="B1223" s="125"/>
      <c r="C1223" s="125"/>
      <c r="D1223" s="114" t="s">
        <v>2599</v>
      </c>
      <c r="E1223" s="189" t="s">
        <v>2676</v>
      </c>
      <c r="F1223" s="112"/>
      <c r="G1223" s="112"/>
      <c r="H1223" s="112"/>
      <c r="I1223" s="8" t="s">
        <v>226</v>
      </c>
      <c r="J1223" s="41" t="s">
        <v>1690</v>
      </c>
      <c r="K1223" s="57">
        <v>30</v>
      </c>
      <c r="L1223" s="58">
        <v>30</v>
      </c>
    </row>
    <row r="1224" spans="1:12" ht="15.75">
      <c r="A1224" s="105">
        <v>1172</v>
      </c>
      <c r="B1224" s="125"/>
      <c r="C1224" s="125"/>
      <c r="D1224" s="226" t="s">
        <v>4599</v>
      </c>
      <c r="E1224" s="196" t="s">
        <v>834</v>
      </c>
      <c r="F1224" s="112"/>
      <c r="G1224" s="112"/>
      <c r="H1224" s="112"/>
      <c r="I1224" s="8" t="s">
        <v>310</v>
      </c>
      <c r="J1224" s="108" t="s">
        <v>1110</v>
      </c>
      <c r="K1224" s="57">
        <v>30</v>
      </c>
      <c r="L1224" s="58">
        <v>30</v>
      </c>
    </row>
    <row r="1225" spans="1:12" ht="15.75">
      <c r="A1225" s="105">
        <v>1173</v>
      </c>
      <c r="B1225" s="125"/>
      <c r="C1225" s="125"/>
      <c r="D1225" s="114" t="s">
        <v>2599</v>
      </c>
      <c r="E1225" s="189" t="s">
        <v>2676</v>
      </c>
      <c r="F1225" s="112"/>
      <c r="G1225" s="112"/>
      <c r="H1225" s="112"/>
      <c r="I1225" s="8" t="s">
        <v>226</v>
      </c>
      <c r="J1225" s="8" t="s">
        <v>1690</v>
      </c>
      <c r="K1225" s="57">
        <v>30</v>
      </c>
      <c r="L1225" s="58">
        <v>30</v>
      </c>
    </row>
    <row r="1226" spans="1:12" ht="15.75">
      <c r="A1226" s="105">
        <v>1174</v>
      </c>
      <c r="B1226" s="125"/>
      <c r="C1226" s="125"/>
      <c r="D1226" s="224" t="s">
        <v>4595</v>
      </c>
      <c r="E1226" s="197" t="s">
        <v>2641</v>
      </c>
      <c r="F1226" s="112"/>
      <c r="G1226" s="112"/>
      <c r="H1226" s="112"/>
      <c r="I1226" s="8" t="s">
        <v>317</v>
      </c>
      <c r="J1226" s="8" t="s">
        <v>1690</v>
      </c>
      <c r="K1226" s="57">
        <v>30</v>
      </c>
      <c r="L1226" s="58">
        <v>30</v>
      </c>
    </row>
    <row r="1227" spans="1:12" ht="15.75">
      <c r="A1227" s="105">
        <v>1174</v>
      </c>
      <c r="B1227" s="125"/>
      <c r="C1227" s="125"/>
      <c r="D1227" s="224" t="s">
        <v>4609</v>
      </c>
      <c r="E1227" s="197" t="s">
        <v>2641</v>
      </c>
      <c r="F1227" s="112"/>
      <c r="G1227" s="112"/>
      <c r="H1227" s="112"/>
      <c r="I1227" s="8" t="s">
        <v>317</v>
      </c>
      <c r="J1227" s="8" t="s">
        <v>1690</v>
      </c>
      <c r="K1227" s="57">
        <v>30</v>
      </c>
      <c r="L1227" s="58">
        <v>30</v>
      </c>
    </row>
    <row r="1228" spans="1:12" ht="15.75">
      <c r="A1228" s="105">
        <v>1175</v>
      </c>
      <c r="B1228" s="125"/>
      <c r="C1228" s="125"/>
      <c r="D1228" s="225" t="s">
        <v>2715</v>
      </c>
      <c r="E1228" s="189" t="s">
        <v>830</v>
      </c>
      <c r="F1228" s="112"/>
      <c r="G1228" s="112"/>
      <c r="H1228" s="112"/>
      <c r="I1228" s="114" t="s">
        <v>260</v>
      </c>
      <c r="J1228" s="41" t="s">
        <v>1110</v>
      </c>
      <c r="K1228" s="57">
        <v>30</v>
      </c>
      <c r="L1228" s="58">
        <v>30</v>
      </c>
    </row>
    <row r="1229" spans="1:12" ht="15.75">
      <c r="A1229" s="105">
        <v>1176</v>
      </c>
      <c r="B1229" s="125"/>
      <c r="C1229" s="125"/>
      <c r="D1229" s="130" t="s">
        <v>2651</v>
      </c>
      <c r="E1229" s="198" t="s">
        <v>4592</v>
      </c>
      <c r="F1229" s="112"/>
      <c r="G1229" s="112"/>
      <c r="H1229" s="112"/>
      <c r="I1229" s="8" t="s">
        <v>197</v>
      </c>
      <c r="J1229" s="41" t="s">
        <v>1110</v>
      </c>
      <c r="K1229" s="57">
        <v>30</v>
      </c>
      <c r="L1229" s="58">
        <v>30</v>
      </c>
    </row>
    <row r="1230" spans="1:12" ht="15.75">
      <c r="A1230" s="105">
        <v>1176</v>
      </c>
      <c r="B1230" s="125"/>
      <c r="C1230" s="125"/>
      <c r="D1230" s="130" t="s">
        <v>4593</v>
      </c>
      <c r="E1230" s="198" t="s">
        <v>4592</v>
      </c>
      <c r="F1230" s="112"/>
      <c r="G1230" s="112"/>
      <c r="H1230" s="112"/>
      <c r="I1230" s="8" t="s">
        <v>197</v>
      </c>
      <c r="J1230" s="41" t="s">
        <v>1110</v>
      </c>
      <c r="K1230" s="57">
        <v>30</v>
      </c>
      <c r="L1230" s="58">
        <v>30</v>
      </c>
    </row>
    <row r="1231" spans="1:12" ht="15.75">
      <c r="A1231" s="105">
        <v>1176</v>
      </c>
      <c r="B1231" s="125"/>
      <c r="C1231" s="125"/>
      <c r="D1231" s="130" t="s">
        <v>4594</v>
      </c>
      <c r="E1231" s="198" t="s">
        <v>4592</v>
      </c>
      <c r="F1231" s="112"/>
      <c r="G1231" s="112"/>
      <c r="H1231" s="112"/>
      <c r="I1231" s="8" t="s">
        <v>197</v>
      </c>
      <c r="J1231" s="41" t="s">
        <v>1110</v>
      </c>
      <c r="K1231" s="57">
        <v>30</v>
      </c>
      <c r="L1231" s="58">
        <v>30</v>
      </c>
    </row>
    <row r="1232" spans="1:12" ht="15.75">
      <c r="A1232" s="105">
        <v>1177</v>
      </c>
      <c r="B1232" s="125"/>
      <c r="C1232" s="125"/>
      <c r="D1232" s="114" t="s">
        <v>2638</v>
      </c>
      <c r="E1232" s="189" t="s">
        <v>830</v>
      </c>
      <c r="F1232" s="112"/>
      <c r="G1232" s="112"/>
      <c r="H1232" s="112"/>
      <c r="I1232" s="114" t="s">
        <v>260</v>
      </c>
      <c r="J1232" s="41" t="s">
        <v>1110</v>
      </c>
      <c r="K1232" s="57">
        <v>30</v>
      </c>
      <c r="L1232" s="58">
        <v>30</v>
      </c>
    </row>
    <row r="1233" spans="1:12" ht="15.75">
      <c r="A1233" s="105">
        <v>1178</v>
      </c>
      <c r="B1233" s="125"/>
      <c r="C1233" s="125"/>
      <c r="D1233" s="114" t="s">
        <v>2652</v>
      </c>
      <c r="E1233" s="189" t="s">
        <v>830</v>
      </c>
      <c r="F1233" s="112"/>
      <c r="G1233" s="112"/>
      <c r="H1233" s="112"/>
      <c r="I1233" s="114" t="s">
        <v>260</v>
      </c>
      <c r="J1233" s="41" t="s">
        <v>1110</v>
      </c>
      <c r="K1233" s="57">
        <v>30</v>
      </c>
      <c r="L1233" s="58">
        <v>30</v>
      </c>
    </row>
    <row r="1234" spans="1:12" ht="15.75">
      <c r="A1234" s="105">
        <v>1179</v>
      </c>
      <c r="B1234" s="125"/>
      <c r="C1234" s="125"/>
      <c r="D1234" s="131" t="s">
        <v>2653</v>
      </c>
      <c r="E1234" s="199" t="s">
        <v>830</v>
      </c>
      <c r="F1234" s="112"/>
      <c r="G1234" s="112"/>
      <c r="H1234" s="112"/>
      <c r="I1234" s="114" t="s">
        <v>260</v>
      </c>
      <c r="J1234" s="41" t="s">
        <v>1110</v>
      </c>
      <c r="K1234" s="57">
        <v>30</v>
      </c>
      <c r="L1234" s="58">
        <v>30</v>
      </c>
    </row>
    <row r="1235" spans="1:12" ht="15.75">
      <c r="A1235" s="105">
        <v>1180</v>
      </c>
      <c r="B1235" s="125"/>
      <c r="C1235" s="125"/>
      <c r="D1235" s="114" t="s">
        <v>2654</v>
      </c>
      <c r="E1235" s="189" t="s">
        <v>830</v>
      </c>
      <c r="F1235" s="112"/>
      <c r="G1235" s="112"/>
      <c r="H1235" s="112"/>
      <c r="I1235" s="114" t="s">
        <v>260</v>
      </c>
      <c r="J1235" s="41" t="s">
        <v>1110</v>
      </c>
      <c r="K1235" s="57">
        <v>30</v>
      </c>
      <c r="L1235" s="58">
        <v>30</v>
      </c>
    </row>
    <row r="1236" spans="1:12" ht="15.75">
      <c r="A1236" s="105">
        <v>1181</v>
      </c>
      <c r="B1236" s="125"/>
      <c r="C1236" s="125"/>
      <c r="D1236" s="131" t="s">
        <v>2653</v>
      </c>
      <c r="E1236" s="199" t="s">
        <v>830</v>
      </c>
      <c r="F1236" s="112"/>
      <c r="G1236" s="112"/>
      <c r="H1236" s="112"/>
      <c r="I1236" s="114" t="s">
        <v>260</v>
      </c>
      <c r="J1236" s="41" t="s">
        <v>1110</v>
      </c>
      <c r="K1236" s="57">
        <v>30</v>
      </c>
      <c r="L1236" s="58">
        <v>30</v>
      </c>
    </row>
    <row r="1237" spans="1:12" ht="15.75">
      <c r="A1237" s="105">
        <v>1182</v>
      </c>
      <c r="B1237" s="125"/>
      <c r="C1237" s="125"/>
      <c r="D1237" s="41" t="s">
        <v>2692</v>
      </c>
      <c r="E1237" s="189" t="s">
        <v>830</v>
      </c>
      <c r="F1237" s="112"/>
      <c r="G1237" s="112"/>
      <c r="H1237" s="112"/>
      <c r="I1237" s="114" t="s">
        <v>260</v>
      </c>
      <c r="J1237" s="41" t="s">
        <v>1110</v>
      </c>
      <c r="K1237" s="57">
        <v>30</v>
      </c>
      <c r="L1237" s="58">
        <v>30</v>
      </c>
    </row>
    <row r="1238" spans="1:12" ht="15.75">
      <c r="A1238" s="105">
        <v>1183</v>
      </c>
      <c r="B1238" s="125"/>
      <c r="C1238" s="125"/>
      <c r="D1238" s="41">
        <v>4103934090</v>
      </c>
      <c r="E1238" s="194" t="s">
        <v>374</v>
      </c>
      <c r="F1238" s="112"/>
      <c r="G1238" s="112"/>
      <c r="H1238" s="112"/>
      <c r="I1238" s="8" t="s">
        <v>226</v>
      </c>
      <c r="J1238" s="8" t="s">
        <v>1690</v>
      </c>
      <c r="K1238" s="57">
        <v>30</v>
      </c>
      <c r="L1238" s="58">
        <v>30</v>
      </c>
    </row>
    <row r="1239" spans="1:12" ht="15.75">
      <c r="A1239" s="105">
        <v>1184</v>
      </c>
      <c r="B1239" s="125"/>
      <c r="C1239" s="125"/>
      <c r="D1239" s="41">
        <v>5210535180</v>
      </c>
      <c r="E1239" s="192" t="s">
        <v>74</v>
      </c>
      <c r="F1239" s="112"/>
      <c r="G1239" s="112"/>
      <c r="H1239" s="112"/>
      <c r="I1239" s="8" t="s">
        <v>255</v>
      </c>
      <c r="J1239" s="8" t="s">
        <v>1110</v>
      </c>
      <c r="K1239" s="57">
        <v>30</v>
      </c>
      <c r="L1239" s="58">
        <v>30</v>
      </c>
    </row>
    <row r="1240" spans="1:12" ht="15.75">
      <c r="A1240" s="105">
        <v>1185</v>
      </c>
      <c r="B1240" s="125"/>
      <c r="C1240" s="125"/>
      <c r="D1240" s="41" t="s">
        <v>2655</v>
      </c>
      <c r="E1240" s="189" t="s">
        <v>830</v>
      </c>
      <c r="F1240" s="112"/>
      <c r="G1240" s="112"/>
      <c r="H1240" s="112"/>
      <c r="I1240" s="8" t="s">
        <v>317</v>
      </c>
      <c r="J1240" s="41" t="s">
        <v>1110</v>
      </c>
      <c r="K1240" s="57">
        <v>30</v>
      </c>
      <c r="L1240" s="58">
        <v>30</v>
      </c>
    </row>
    <row r="1241" spans="1:12" ht="15.75">
      <c r="A1241" s="105">
        <v>1186</v>
      </c>
      <c r="B1241" s="125"/>
      <c r="C1241" s="125"/>
      <c r="D1241" s="114" t="s">
        <v>2656</v>
      </c>
      <c r="E1241" s="189" t="s">
        <v>830</v>
      </c>
      <c r="F1241" s="112"/>
      <c r="G1241" s="112"/>
      <c r="H1241" s="112"/>
      <c r="I1241" s="8" t="s">
        <v>317</v>
      </c>
      <c r="J1241" s="41" t="s">
        <v>1110</v>
      </c>
      <c r="K1241" s="57">
        <v>30</v>
      </c>
      <c r="L1241" s="58">
        <v>30</v>
      </c>
    </row>
    <row r="1242" spans="1:12" ht="15.75">
      <c r="A1242" s="105">
        <v>1187</v>
      </c>
      <c r="B1242" s="125"/>
      <c r="C1242" s="125"/>
      <c r="D1242" s="114" t="s">
        <v>2657</v>
      </c>
      <c r="E1242" s="189" t="s">
        <v>830</v>
      </c>
      <c r="F1242" s="112"/>
      <c r="G1242" s="112"/>
      <c r="H1242" s="112"/>
      <c r="I1242" s="8" t="s">
        <v>317</v>
      </c>
      <c r="J1242" s="41" t="s">
        <v>1110</v>
      </c>
      <c r="K1242" s="57">
        <v>30</v>
      </c>
      <c r="L1242" s="58">
        <v>30</v>
      </c>
    </row>
    <row r="1243" spans="1:12" ht="15.75">
      <c r="A1243" s="105">
        <v>1188</v>
      </c>
      <c r="B1243" s="125"/>
      <c r="C1243" s="125"/>
      <c r="D1243" s="8" t="s">
        <v>2659</v>
      </c>
      <c r="E1243" s="189" t="s">
        <v>2658</v>
      </c>
      <c r="F1243" s="112"/>
      <c r="G1243" s="112"/>
      <c r="H1243" s="112"/>
      <c r="I1243" s="8" t="s">
        <v>310</v>
      </c>
      <c r="J1243" s="8" t="s">
        <v>1110</v>
      </c>
      <c r="K1243" s="57">
        <v>30</v>
      </c>
      <c r="L1243" s="58">
        <v>30</v>
      </c>
    </row>
    <row r="1244" spans="1:12" ht="15.75">
      <c r="A1244" s="105">
        <v>1189</v>
      </c>
      <c r="B1244" s="125"/>
      <c r="C1244" s="125"/>
      <c r="D1244" s="8" t="s">
        <v>2660</v>
      </c>
      <c r="E1244" s="189" t="s">
        <v>2658</v>
      </c>
      <c r="F1244" s="112"/>
      <c r="G1244" s="112"/>
      <c r="H1244" s="112"/>
      <c r="I1244" s="8" t="s">
        <v>310</v>
      </c>
      <c r="J1244" s="8" t="s">
        <v>1110</v>
      </c>
      <c r="K1244" s="57">
        <v>30</v>
      </c>
      <c r="L1244" s="58">
        <v>30</v>
      </c>
    </row>
    <row r="1245" spans="1:12" ht="15.75">
      <c r="A1245" s="105">
        <v>1190</v>
      </c>
      <c r="B1245" s="125"/>
      <c r="C1245" s="125"/>
      <c r="D1245" s="8" t="s">
        <v>2098</v>
      </c>
      <c r="E1245" s="195" t="s">
        <v>2687</v>
      </c>
      <c r="F1245" s="112"/>
      <c r="G1245" s="112"/>
      <c r="H1245" s="112"/>
      <c r="I1245" s="8" t="s">
        <v>260</v>
      </c>
      <c r="J1245" s="108" t="s">
        <v>2650</v>
      </c>
      <c r="K1245" s="57">
        <v>60</v>
      </c>
      <c r="L1245" s="58">
        <v>60</v>
      </c>
    </row>
    <row r="1246" spans="1:12" ht="15.75">
      <c r="A1246" s="105">
        <v>1191</v>
      </c>
      <c r="B1246" s="125"/>
      <c r="C1246" s="125"/>
      <c r="D1246" s="8" t="s">
        <v>2099</v>
      </c>
      <c r="E1246" s="195" t="s">
        <v>2687</v>
      </c>
      <c r="F1246" s="112"/>
      <c r="G1246" s="112"/>
      <c r="H1246" s="112"/>
      <c r="I1246" s="8" t="s">
        <v>226</v>
      </c>
      <c r="J1246" s="108" t="s">
        <v>2650</v>
      </c>
      <c r="K1246" s="57">
        <v>60</v>
      </c>
      <c r="L1246" s="58">
        <v>60</v>
      </c>
    </row>
    <row r="1247" spans="1:12" ht="15.75">
      <c r="A1247" s="105">
        <v>1192</v>
      </c>
      <c r="B1247" s="125"/>
      <c r="C1247" s="125"/>
      <c r="D1247" s="41" t="s">
        <v>2661</v>
      </c>
      <c r="E1247" s="194" t="s">
        <v>681</v>
      </c>
      <c r="F1247" s="112"/>
      <c r="G1247" s="112"/>
      <c r="H1247" s="112"/>
      <c r="I1247" s="41" t="s">
        <v>267</v>
      </c>
      <c r="J1247" s="41" t="s">
        <v>1110</v>
      </c>
      <c r="K1247" s="57">
        <v>30</v>
      </c>
      <c r="L1247" s="58">
        <v>30</v>
      </c>
    </row>
    <row r="1248" spans="1:12" ht="15.75">
      <c r="A1248" s="105">
        <v>1193</v>
      </c>
      <c r="B1248" s="125"/>
      <c r="C1248" s="125"/>
      <c r="D1248" s="41" t="s">
        <v>2662</v>
      </c>
      <c r="E1248" s="194" t="s">
        <v>2676</v>
      </c>
      <c r="F1248" s="112"/>
      <c r="G1248" s="112"/>
      <c r="H1248" s="112"/>
      <c r="I1248" s="7" t="s">
        <v>2764</v>
      </c>
      <c r="J1248" s="8" t="s">
        <v>1690</v>
      </c>
      <c r="K1248" s="57">
        <v>30</v>
      </c>
      <c r="L1248" s="58">
        <v>30</v>
      </c>
    </row>
    <row r="1249" spans="1:12" ht="15.75">
      <c r="A1249" s="105">
        <v>1194</v>
      </c>
      <c r="B1249" s="125"/>
      <c r="C1249" s="125"/>
      <c r="D1249" s="41" t="s">
        <v>2663</v>
      </c>
      <c r="E1249" s="194" t="s">
        <v>2676</v>
      </c>
      <c r="F1249" s="112"/>
      <c r="G1249" s="112"/>
      <c r="H1249" s="112"/>
      <c r="I1249" s="7" t="s">
        <v>2764</v>
      </c>
      <c r="J1249" s="8" t="s">
        <v>1690</v>
      </c>
      <c r="K1249" s="57">
        <v>30</v>
      </c>
      <c r="L1249" s="58">
        <v>30</v>
      </c>
    </row>
    <row r="1250" spans="1:12" ht="15.75">
      <c r="A1250" s="105">
        <v>1195</v>
      </c>
      <c r="B1250" s="125"/>
      <c r="C1250" s="125"/>
      <c r="D1250" s="41" t="s">
        <v>2664</v>
      </c>
      <c r="E1250" s="194" t="s">
        <v>2676</v>
      </c>
      <c r="F1250" s="112"/>
      <c r="G1250" s="112"/>
      <c r="H1250" s="112"/>
      <c r="I1250" s="7" t="s">
        <v>2764</v>
      </c>
      <c r="J1250" s="8" t="s">
        <v>1690</v>
      </c>
      <c r="K1250" s="57">
        <v>30</v>
      </c>
      <c r="L1250" s="58">
        <v>30</v>
      </c>
    </row>
    <row r="1251" spans="1:12" ht="15.75">
      <c r="A1251" s="105">
        <v>1196</v>
      </c>
      <c r="B1251" s="125"/>
      <c r="C1251" s="125"/>
      <c r="D1251" s="41" t="s">
        <v>2665</v>
      </c>
      <c r="E1251" s="194" t="s">
        <v>2676</v>
      </c>
      <c r="F1251" s="112"/>
      <c r="G1251" s="112"/>
      <c r="H1251" s="112"/>
      <c r="I1251" s="114" t="s">
        <v>2677</v>
      </c>
      <c r="J1251" s="8" t="s">
        <v>1690</v>
      </c>
      <c r="K1251" s="57">
        <v>30</v>
      </c>
      <c r="L1251" s="58">
        <v>30</v>
      </c>
    </row>
    <row r="1252" spans="1:12" ht="15.75">
      <c r="A1252" s="105">
        <v>1197</v>
      </c>
      <c r="B1252" s="125"/>
      <c r="C1252" s="125"/>
      <c r="D1252" s="41" t="s">
        <v>2666</v>
      </c>
      <c r="E1252" s="194" t="s">
        <v>2676</v>
      </c>
      <c r="F1252" s="112"/>
      <c r="G1252" s="112"/>
      <c r="H1252" s="112"/>
      <c r="I1252" s="114" t="s">
        <v>2677</v>
      </c>
      <c r="J1252" s="8" t="s">
        <v>1690</v>
      </c>
      <c r="K1252" s="57">
        <v>30</v>
      </c>
      <c r="L1252" s="58">
        <v>30</v>
      </c>
    </row>
    <row r="1253" spans="1:12" ht="15.75">
      <c r="A1253" s="105">
        <v>1198</v>
      </c>
      <c r="B1253" s="125"/>
      <c r="C1253" s="125"/>
      <c r="D1253" s="41" t="s">
        <v>2667</v>
      </c>
      <c r="E1253" s="194" t="s">
        <v>2676</v>
      </c>
      <c r="F1253" s="112"/>
      <c r="G1253" s="112"/>
      <c r="H1253" s="112"/>
      <c r="I1253" s="114" t="s">
        <v>2677</v>
      </c>
      <c r="J1253" s="8" t="s">
        <v>1690</v>
      </c>
      <c r="K1253" s="57">
        <v>30</v>
      </c>
      <c r="L1253" s="58">
        <v>30</v>
      </c>
    </row>
    <row r="1254" spans="1:12" ht="15.75">
      <c r="A1254" s="105">
        <v>1199</v>
      </c>
      <c r="B1254" s="125"/>
      <c r="C1254" s="125"/>
      <c r="D1254" s="41" t="s">
        <v>2668</v>
      </c>
      <c r="E1254" s="194" t="s">
        <v>2676</v>
      </c>
      <c r="F1254" s="112"/>
      <c r="G1254" s="112"/>
      <c r="H1254" s="112"/>
      <c r="I1254" s="114" t="s">
        <v>2677</v>
      </c>
      <c r="J1254" s="8" t="s">
        <v>1690</v>
      </c>
      <c r="K1254" s="57">
        <v>30</v>
      </c>
      <c r="L1254" s="58">
        <v>30</v>
      </c>
    </row>
    <row r="1255" spans="1:12" ht="15.75">
      <c r="A1255" s="105">
        <v>1200</v>
      </c>
      <c r="B1255" s="125"/>
      <c r="C1255" s="125"/>
      <c r="D1255" s="41" t="s">
        <v>2669</v>
      </c>
      <c r="E1255" s="194" t="s">
        <v>2676</v>
      </c>
      <c r="F1255" s="112"/>
      <c r="G1255" s="112"/>
      <c r="H1255" s="112"/>
      <c r="I1255" s="114" t="s">
        <v>2677</v>
      </c>
      <c r="J1255" s="8" t="s">
        <v>1690</v>
      </c>
      <c r="K1255" s="57">
        <v>30</v>
      </c>
      <c r="L1255" s="58">
        <v>30</v>
      </c>
    </row>
    <row r="1256" spans="1:12" ht="15.75">
      <c r="A1256" s="105">
        <v>1201</v>
      </c>
      <c r="B1256" s="125"/>
      <c r="C1256" s="125"/>
      <c r="D1256" s="41" t="s">
        <v>2670</v>
      </c>
      <c r="E1256" s="194" t="s">
        <v>2676</v>
      </c>
      <c r="F1256" s="112"/>
      <c r="G1256" s="112"/>
      <c r="H1256" s="112"/>
      <c r="I1256" s="7" t="s">
        <v>2763</v>
      </c>
      <c r="J1256" s="8" t="s">
        <v>1690</v>
      </c>
      <c r="K1256" s="57">
        <v>30</v>
      </c>
      <c r="L1256" s="58">
        <v>30</v>
      </c>
    </row>
    <row r="1257" spans="1:12" ht="15.75">
      <c r="A1257" s="105">
        <v>1202</v>
      </c>
      <c r="B1257" s="125"/>
      <c r="C1257" s="125"/>
      <c r="D1257" s="41" t="s">
        <v>2671</v>
      </c>
      <c r="E1257" s="194" t="s">
        <v>2676</v>
      </c>
      <c r="F1257" s="112"/>
      <c r="G1257" s="112"/>
      <c r="H1257" s="112"/>
      <c r="I1257" s="7" t="s">
        <v>2763</v>
      </c>
      <c r="J1257" s="8" t="s">
        <v>1690</v>
      </c>
      <c r="K1257" s="57">
        <v>30</v>
      </c>
      <c r="L1257" s="58">
        <v>30</v>
      </c>
    </row>
    <row r="1258" spans="1:12" ht="15.75">
      <c r="A1258" s="105">
        <v>1203</v>
      </c>
      <c r="B1258" s="125"/>
      <c r="C1258" s="125"/>
      <c r="D1258" s="41" t="s">
        <v>2672</v>
      </c>
      <c r="E1258" s="194" t="s">
        <v>2676</v>
      </c>
      <c r="F1258" s="112"/>
      <c r="G1258" s="112"/>
      <c r="H1258" s="112"/>
      <c r="I1258" s="7" t="s">
        <v>2763</v>
      </c>
      <c r="J1258" s="8" t="s">
        <v>1690</v>
      </c>
      <c r="K1258" s="57">
        <v>30</v>
      </c>
      <c r="L1258" s="58">
        <v>30</v>
      </c>
    </row>
    <row r="1259" spans="1:12" ht="15.75">
      <c r="A1259" s="105">
        <v>1204</v>
      </c>
      <c r="B1259" s="125"/>
      <c r="C1259" s="125"/>
      <c r="D1259" s="41" t="s">
        <v>2673</v>
      </c>
      <c r="E1259" s="194" t="s">
        <v>2676</v>
      </c>
      <c r="F1259" s="112"/>
      <c r="G1259" s="112"/>
      <c r="H1259" s="112"/>
      <c r="I1259" s="7" t="s">
        <v>2763</v>
      </c>
      <c r="J1259" s="8" t="s">
        <v>1690</v>
      </c>
      <c r="K1259" s="57">
        <v>30</v>
      </c>
      <c r="L1259" s="58">
        <v>30</v>
      </c>
    </row>
    <row r="1260" spans="1:12" ht="15.75">
      <c r="A1260" s="105">
        <v>1205</v>
      </c>
      <c r="B1260" s="125"/>
      <c r="C1260" s="125"/>
      <c r="D1260" s="41" t="s">
        <v>2674</v>
      </c>
      <c r="E1260" s="194" t="s">
        <v>2676</v>
      </c>
      <c r="F1260" s="112"/>
      <c r="G1260" s="112"/>
      <c r="H1260" s="112"/>
      <c r="I1260" s="7" t="s">
        <v>2763</v>
      </c>
      <c r="J1260" s="8" t="s">
        <v>1690</v>
      </c>
      <c r="K1260" s="57">
        <v>30</v>
      </c>
      <c r="L1260" s="58">
        <v>30</v>
      </c>
    </row>
    <row r="1261" spans="1:12" ht="15.75">
      <c r="A1261" s="105">
        <v>1206</v>
      </c>
      <c r="B1261" s="125"/>
      <c r="C1261" s="125"/>
      <c r="D1261" s="41" t="s">
        <v>2675</v>
      </c>
      <c r="E1261" s="194" t="s">
        <v>2676</v>
      </c>
      <c r="F1261" s="112"/>
      <c r="G1261" s="112"/>
      <c r="H1261" s="112"/>
      <c r="I1261" s="7" t="s">
        <v>2764</v>
      </c>
      <c r="J1261" s="8" t="s">
        <v>1690</v>
      </c>
      <c r="K1261" s="57">
        <v>30</v>
      </c>
      <c r="L1261" s="58">
        <v>30</v>
      </c>
    </row>
    <row r="1262" spans="1:12" ht="15.75">
      <c r="A1262" s="105">
        <v>1207</v>
      </c>
      <c r="B1262" s="125"/>
      <c r="C1262" s="125"/>
      <c r="D1262" s="129" t="str">
        <f>"90311T0083"</f>
        <v>90311T0083</v>
      </c>
      <c r="E1262" s="189" t="s">
        <v>4539</v>
      </c>
      <c r="F1262" s="112"/>
      <c r="G1262" s="112"/>
      <c r="H1262" s="112"/>
      <c r="I1262" s="8" t="s">
        <v>317</v>
      </c>
      <c r="J1262" s="41" t="s">
        <v>2633</v>
      </c>
      <c r="K1262" s="57">
        <v>0</v>
      </c>
      <c r="L1262" s="58">
        <v>0</v>
      </c>
    </row>
    <row r="1263" spans="1:12" ht="15.75">
      <c r="A1263" s="105">
        <v>1208</v>
      </c>
      <c r="B1263" s="125"/>
      <c r="C1263" s="125"/>
      <c r="D1263" s="129" t="str">
        <f>"9031147036"</f>
        <v>9031147036</v>
      </c>
      <c r="E1263" s="189" t="s">
        <v>4368</v>
      </c>
      <c r="F1263" s="112"/>
      <c r="G1263" s="112"/>
      <c r="H1263" s="112"/>
      <c r="I1263" s="8" t="s">
        <v>317</v>
      </c>
      <c r="J1263" s="41" t="s">
        <v>2633</v>
      </c>
      <c r="K1263" s="57">
        <v>0</v>
      </c>
      <c r="L1263" s="58">
        <v>0</v>
      </c>
    </row>
    <row r="1264" spans="1:12" ht="15.75">
      <c r="A1264" s="105">
        <v>1209</v>
      </c>
      <c r="B1264" s="125"/>
      <c r="C1264" s="125"/>
      <c r="D1264" s="114" t="s">
        <v>2678</v>
      </c>
      <c r="E1264" s="189" t="s">
        <v>830</v>
      </c>
      <c r="F1264" s="112"/>
      <c r="G1264" s="112"/>
      <c r="H1264" s="112"/>
      <c r="I1264" s="114" t="s">
        <v>260</v>
      </c>
      <c r="J1264" s="41" t="s">
        <v>1110</v>
      </c>
      <c r="K1264" s="57">
        <v>30</v>
      </c>
      <c r="L1264" s="58">
        <v>30</v>
      </c>
    </row>
    <row r="1265" spans="1:12" ht="15.75">
      <c r="A1265" s="105">
        <v>1210</v>
      </c>
      <c r="B1265" s="125"/>
      <c r="C1265" s="125"/>
      <c r="D1265" s="8" t="s">
        <v>2679</v>
      </c>
      <c r="E1265" s="189" t="s">
        <v>1866</v>
      </c>
      <c r="F1265" s="112"/>
      <c r="G1265" s="112"/>
      <c r="H1265" s="112"/>
      <c r="I1265" s="8" t="s">
        <v>362</v>
      </c>
      <c r="J1265" s="108" t="s">
        <v>1110</v>
      </c>
      <c r="K1265" s="57">
        <v>30</v>
      </c>
      <c r="L1265" s="58">
        <v>30</v>
      </c>
    </row>
    <row r="1266" spans="1:12" ht="15.75">
      <c r="A1266" s="105">
        <v>1211</v>
      </c>
      <c r="B1266" s="125"/>
      <c r="C1266" s="125"/>
      <c r="D1266" s="8" t="s">
        <v>2680</v>
      </c>
      <c r="E1266" s="189" t="s">
        <v>2676</v>
      </c>
      <c r="F1266" s="112"/>
      <c r="G1266" s="112"/>
      <c r="H1266" s="112"/>
      <c r="I1266" s="114" t="s">
        <v>260</v>
      </c>
      <c r="J1266" s="108" t="s">
        <v>1110</v>
      </c>
      <c r="K1266" s="57">
        <v>30</v>
      </c>
      <c r="L1266" s="58">
        <v>30</v>
      </c>
    </row>
    <row r="1267" spans="1:12" ht="15.75">
      <c r="A1267" s="105">
        <v>1212</v>
      </c>
      <c r="B1267" s="125"/>
      <c r="C1267" s="125"/>
      <c r="D1267" s="8">
        <v>4120109311</v>
      </c>
      <c r="E1267" s="189" t="s">
        <v>2676</v>
      </c>
      <c r="F1267" s="112"/>
      <c r="G1267" s="112"/>
      <c r="H1267" s="112"/>
      <c r="I1267" s="114" t="s">
        <v>226</v>
      </c>
      <c r="J1267" s="108" t="s">
        <v>1110</v>
      </c>
      <c r="K1267" s="57">
        <v>30</v>
      </c>
      <c r="L1267" s="58">
        <v>30</v>
      </c>
    </row>
    <row r="1268" spans="1:12" ht="15.75">
      <c r="A1268" s="105">
        <v>1213</v>
      </c>
      <c r="B1268" s="125"/>
      <c r="C1268" s="125"/>
      <c r="D1268" s="129" t="s">
        <v>2681</v>
      </c>
      <c r="E1268" s="200" t="s">
        <v>2770</v>
      </c>
      <c r="F1268" s="112"/>
      <c r="G1268" s="112"/>
      <c r="H1268" s="112"/>
      <c r="I1268" s="41" t="s">
        <v>4602</v>
      </c>
      <c r="J1268" s="108" t="s">
        <v>1110</v>
      </c>
      <c r="K1268" s="57">
        <v>30</v>
      </c>
      <c r="L1268" s="58">
        <v>30</v>
      </c>
    </row>
    <row r="1269" spans="1:12" ht="15.75">
      <c r="A1269" s="105">
        <v>1214</v>
      </c>
      <c r="B1269" s="125"/>
      <c r="C1269" s="125"/>
      <c r="D1269" s="129" t="s">
        <v>2683</v>
      </c>
      <c r="E1269" s="200" t="s">
        <v>2682</v>
      </c>
      <c r="F1269" s="112"/>
      <c r="G1269" s="112"/>
      <c r="H1269" s="112"/>
      <c r="I1269" s="41" t="s">
        <v>4602</v>
      </c>
      <c r="J1269" s="108" t="s">
        <v>1110</v>
      </c>
      <c r="K1269" s="57">
        <v>30</v>
      </c>
      <c r="L1269" s="58">
        <v>30</v>
      </c>
    </row>
    <row r="1270" spans="1:12" ht="15.75">
      <c r="A1270" s="105">
        <v>1215</v>
      </c>
      <c r="B1270" s="125"/>
      <c r="C1270" s="125"/>
      <c r="D1270" s="129" t="s">
        <v>2684</v>
      </c>
      <c r="E1270" s="200" t="s">
        <v>2682</v>
      </c>
      <c r="F1270" s="112"/>
      <c r="G1270" s="112"/>
      <c r="H1270" s="112"/>
      <c r="I1270" s="41" t="s">
        <v>4602</v>
      </c>
      <c r="J1270" s="108" t="s">
        <v>1110</v>
      </c>
      <c r="K1270" s="57">
        <v>30</v>
      </c>
      <c r="L1270" s="58">
        <v>30</v>
      </c>
    </row>
    <row r="1271" spans="1:12" ht="15.75">
      <c r="A1271" s="105">
        <v>1216</v>
      </c>
      <c r="B1271" s="125"/>
      <c r="C1271" s="125"/>
      <c r="D1271" s="114" t="s">
        <v>2685</v>
      </c>
      <c r="E1271" s="189" t="s">
        <v>830</v>
      </c>
      <c r="F1271" s="112"/>
      <c r="G1271" s="112"/>
      <c r="H1271" s="112"/>
      <c r="I1271" s="114" t="s">
        <v>260</v>
      </c>
      <c r="J1271" s="108" t="s">
        <v>1110</v>
      </c>
      <c r="K1271" s="57">
        <v>30</v>
      </c>
      <c r="L1271" s="58">
        <v>30</v>
      </c>
    </row>
    <row r="1272" spans="1:12" ht="15.75">
      <c r="A1272" s="105">
        <v>1217</v>
      </c>
      <c r="B1272" s="125"/>
      <c r="C1272" s="125"/>
      <c r="D1272" s="8" t="s">
        <v>2686</v>
      </c>
      <c r="E1272" s="189" t="s">
        <v>2676</v>
      </c>
      <c r="F1272" s="112"/>
      <c r="G1272" s="112"/>
      <c r="H1272" s="112"/>
      <c r="I1272" s="114" t="s">
        <v>260</v>
      </c>
      <c r="J1272" s="108" t="s">
        <v>1110</v>
      </c>
      <c r="K1272" s="57">
        <v>30</v>
      </c>
      <c r="L1272" s="58">
        <v>30</v>
      </c>
    </row>
    <row r="1273" spans="1:12" ht="15.75">
      <c r="A1273" s="105">
        <v>1218</v>
      </c>
      <c r="B1273" s="125"/>
      <c r="C1273" s="125"/>
      <c r="D1273" s="7" t="s">
        <v>2100</v>
      </c>
      <c r="E1273" s="195" t="s">
        <v>2687</v>
      </c>
      <c r="F1273" s="112"/>
      <c r="G1273" s="112"/>
      <c r="H1273" s="112"/>
      <c r="I1273" s="8" t="s">
        <v>317</v>
      </c>
      <c r="J1273" s="108" t="s">
        <v>2650</v>
      </c>
      <c r="K1273" s="57">
        <v>60</v>
      </c>
      <c r="L1273" s="58">
        <v>60</v>
      </c>
    </row>
    <row r="1274" spans="1:12" ht="15.75">
      <c r="A1274" s="105">
        <v>1219</v>
      </c>
      <c r="B1274" s="125"/>
      <c r="C1274" s="125"/>
      <c r="D1274" s="7" t="s">
        <v>2060</v>
      </c>
      <c r="E1274" s="195" t="s">
        <v>2687</v>
      </c>
      <c r="F1274" s="112"/>
      <c r="G1274" s="112"/>
      <c r="H1274" s="112"/>
      <c r="I1274" s="8" t="s">
        <v>260</v>
      </c>
      <c r="J1274" s="114" t="s">
        <v>2650</v>
      </c>
      <c r="K1274" s="57">
        <v>60</v>
      </c>
      <c r="L1274" s="58">
        <v>60</v>
      </c>
    </row>
    <row r="1275" spans="1:12" ht="15.75">
      <c r="A1275" s="105">
        <v>1220</v>
      </c>
      <c r="B1275" s="125"/>
      <c r="C1275" s="125"/>
      <c r="D1275" s="8" t="s">
        <v>2649</v>
      </c>
      <c r="E1275" s="195" t="s">
        <v>2687</v>
      </c>
      <c r="F1275" s="112"/>
      <c r="G1275" s="112"/>
      <c r="H1275" s="112"/>
      <c r="I1275" s="8" t="s">
        <v>226</v>
      </c>
      <c r="J1275" s="114" t="s">
        <v>2650</v>
      </c>
      <c r="K1275" s="57">
        <v>60</v>
      </c>
      <c r="L1275" s="58">
        <v>60</v>
      </c>
    </row>
    <row r="1276" spans="1:12" ht="15.75">
      <c r="A1276" s="105">
        <v>1221</v>
      </c>
      <c r="B1276" s="125"/>
      <c r="C1276" s="125"/>
      <c r="D1276" s="114" t="s">
        <v>2688</v>
      </c>
      <c r="E1276" s="195" t="s">
        <v>2687</v>
      </c>
      <c r="F1276" s="112"/>
      <c r="G1276" s="112"/>
      <c r="H1276" s="112"/>
      <c r="I1276" s="8" t="s">
        <v>260</v>
      </c>
      <c r="J1276" s="114" t="s">
        <v>2650</v>
      </c>
      <c r="K1276" s="57">
        <v>60</v>
      </c>
      <c r="L1276" s="58">
        <v>60</v>
      </c>
    </row>
    <row r="1277" spans="1:12" ht="15.75">
      <c r="A1277" s="105">
        <v>1222</v>
      </c>
      <c r="B1277" s="125"/>
      <c r="C1277" s="125"/>
      <c r="D1277" s="114" t="s">
        <v>2689</v>
      </c>
      <c r="E1277" s="195" t="s">
        <v>2687</v>
      </c>
      <c r="F1277" s="112"/>
      <c r="G1277" s="112"/>
      <c r="H1277" s="112"/>
      <c r="I1277" s="8" t="s">
        <v>317</v>
      </c>
      <c r="J1277" s="114" t="s">
        <v>2650</v>
      </c>
      <c r="K1277" s="57">
        <v>60</v>
      </c>
      <c r="L1277" s="58">
        <v>60</v>
      </c>
    </row>
    <row r="1278" spans="1:12" ht="15.75">
      <c r="A1278" s="105">
        <v>1223</v>
      </c>
      <c r="B1278" s="125"/>
      <c r="C1278" s="125"/>
      <c r="D1278" s="7" t="s">
        <v>2181</v>
      </c>
      <c r="E1278" s="192" t="s">
        <v>1942</v>
      </c>
      <c r="F1278" s="113"/>
      <c r="G1278" s="113"/>
      <c r="H1278" s="113"/>
      <c r="I1278" s="8" t="s">
        <v>4603</v>
      </c>
      <c r="J1278" s="7" t="s">
        <v>1110</v>
      </c>
      <c r="K1278" s="57">
        <v>30</v>
      </c>
      <c r="L1278" s="58">
        <v>30</v>
      </c>
    </row>
    <row r="1279" spans="1:12" ht="15.75">
      <c r="A1279" s="105">
        <v>1224</v>
      </c>
      <c r="B1279" s="125"/>
      <c r="C1279" s="125"/>
      <c r="D1279" s="7" t="s">
        <v>2182</v>
      </c>
      <c r="E1279" s="192" t="s">
        <v>1939</v>
      </c>
      <c r="F1279" s="113"/>
      <c r="G1279" s="113"/>
      <c r="H1279" s="113"/>
      <c r="I1279" s="8" t="s">
        <v>4603</v>
      </c>
      <c r="J1279" s="7" t="s">
        <v>1110</v>
      </c>
      <c r="K1279" s="57">
        <v>30</v>
      </c>
      <c r="L1279" s="58">
        <v>30</v>
      </c>
    </row>
    <row r="1280" spans="1:12" ht="15.75">
      <c r="A1280" s="105">
        <v>1225</v>
      </c>
      <c r="B1280" s="125"/>
      <c r="C1280" s="125"/>
      <c r="D1280" s="7" t="s">
        <v>2691</v>
      </c>
      <c r="E1280" s="192" t="s">
        <v>2690</v>
      </c>
      <c r="F1280" s="113"/>
      <c r="G1280" s="113"/>
      <c r="H1280" s="113"/>
      <c r="I1280" s="8" t="s">
        <v>4603</v>
      </c>
      <c r="J1280" s="7" t="s">
        <v>1110</v>
      </c>
      <c r="K1280" s="57">
        <v>30</v>
      </c>
      <c r="L1280" s="58">
        <v>30</v>
      </c>
    </row>
    <row r="1281" spans="1:12" ht="15.75">
      <c r="A1281" s="105">
        <v>1226</v>
      </c>
      <c r="B1281" s="125"/>
      <c r="C1281" s="125"/>
      <c r="D1281" s="7" t="s">
        <v>2640</v>
      </c>
      <c r="E1281" s="189" t="s">
        <v>830</v>
      </c>
      <c r="F1281" s="113"/>
      <c r="G1281" s="113"/>
      <c r="H1281" s="113"/>
      <c r="I1281" s="7" t="s">
        <v>317</v>
      </c>
      <c r="J1281" s="7" t="s">
        <v>1110</v>
      </c>
      <c r="K1281" s="57">
        <v>30</v>
      </c>
      <c r="L1281" s="58">
        <v>30</v>
      </c>
    </row>
    <row r="1282" spans="1:12" ht="15.75">
      <c r="A1282" s="105">
        <v>1227</v>
      </c>
      <c r="B1282" s="125"/>
      <c r="C1282" s="125"/>
      <c r="D1282" s="7" t="s">
        <v>2685</v>
      </c>
      <c r="E1282" s="189" t="s">
        <v>830</v>
      </c>
      <c r="F1282" s="113"/>
      <c r="G1282" s="113"/>
      <c r="H1282" s="113"/>
      <c r="I1282" s="7" t="s">
        <v>260</v>
      </c>
      <c r="J1282" s="7" t="s">
        <v>1110</v>
      </c>
      <c r="K1282" s="57">
        <v>30</v>
      </c>
      <c r="L1282" s="58">
        <v>30</v>
      </c>
    </row>
    <row r="1283" spans="1:12" ht="15.75">
      <c r="A1283" s="105">
        <v>1228</v>
      </c>
      <c r="B1283" s="125"/>
      <c r="C1283" s="125"/>
      <c r="D1283" s="7" t="s">
        <v>2052</v>
      </c>
      <c r="E1283" s="189" t="s">
        <v>830</v>
      </c>
      <c r="F1283" s="113"/>
      <c r="G1283" s="113"/>
      <c r="H1283" s="113"/>
      <c r="I1283" s="7" t="s">
        <v>260</v>
      </c>
      <c r="J1283" s="7" t="s">
        <v>1110</v>
      </c>
      <c r="K1283" s="57">
        <v>30</v>
      </c>
      <c r="L1283" s="58">
        <v>30</v>
      </c>
    </row>
    <row r="1284" spans="1:12" ht="15.75">
      <c r="A1284" s="105">
        <v>1229</v>
      </c>
      <c r="B1284" s="125"/>
      <c r="C1284" s="125"/>
      <c r="D1284" s="7" t="s">
        <v>2080</v>
      </c>
      <c r="E1284" s="189" t="s">
        <v>830</v>
      </c>
      <c r="F1284" s="113"/>
      <c r="G1284" s="113"/>
      <c r="H1284" s="113"/>
      <c r="I1284" s="7" t="s">
        <v>260</v>
      </c>
      <c r="J1284" s="7" t="s">
        <v>1110</v>
      </c>
      <c r="K1284" s="57">
        <v>30</v>
      </c>
      <c r="L1284" s="58">
        <v>30</v>
      </c>
    </row>
    <row r="1285" spans="1:12" ht="15.75">
      <c r="A1285" s="105">
        <v>1230</v>
      </c>
      <c r="B1285" s="125"/>
      <c r="C1285" s="125"/>
      <c r="D1285" s="7" t="s">
        <v>2693</v>
      </c>
      <c r="E1285" s="192" t="s">
        <v>834</v>
      </c>
      <c r="F1285" s="113"/>
      <c r="G1285" s="113"/>
      <c r="H1285" s="113"/>
      <c r="I1285" s="7" t="s">
        <v>310</v>
      </c>
      <c r="J1285" s="7" t="s">
        <v>1110</v>
      </c>
      <c r="K1285" s="57">
        <v>30</v>
      </c>
      <c r="L1285" s="58">
        <v>30</v>
      </c>
    </row>
    <row r="1286" spans="1:12" ht="15.75">
      <c r="A1286" s="105">
        <v>1231</v>
      </c>
      <c r="B1286" s="125"/>
      <c r="C1286" s="125"/>
      <c r="D1286" s="7" t="str">
        <f>"90311T0084"</f>
        <v>90311T0084</v>
      </c>
      <c r="E1286" s="192" t="s">
        <v>4538</v>
      </c>
      <c r="F1286" s="113"/>
      <c r="G1286" s="113"/>
      <c r="H1286" s="113"/>
      <c r="I1286" s="7" t="s">
        <v>317</v>
      </c>
      <c r="J1286" s="7" t="s">
        <v>2633</v>
      </c>
      <c r="K1286" s="57">
        <v>0</v>
      </c>
      <c r="L1286" s="58">
        <v>0</v>
      </c>
    </row>
    <row r="1287" spans="1:12" ht="15.75">
      <c r="A1287" s="105">
        <v>1232</v>
      </c>
      <c r="B1287" s="125"/>
      <c r="C1287" s="125"/>
      <c r="D1287" s="7" t="str">
        <f>"9031147037"</f>
        <v>9031147037</v>
      </c>
      <c r="E1287" s="192" t="s">
        <v>4369</v>
      </c>
      <c r="F1287" s="113"/>
      <c r="G1287" s="113"/>
      <c r="H1287" s="113"/>
      <c r="I1287" s="7" t="s">
        <v>317</v>
      </c>
      <c r="J1287" s="7" t="s">
        <v>2633</v>
      </c>
      <c r="K1287" s="57">
        <v>0</v>
      </c>
      <c r="L1287" s="58">
        <v>0</v>
      </c>
    </row>
    <row r="1288" spans="1:12" ht="15.75">
      <c r="A1288" s="105">
        <v>1233</v>
      </c>
      <c r="B1288" s="125"/>
      <c r="C1288" s="125"/>
      <c r="D1288" s="7">
        <v>4103934070</v>
      </c>
      <c r="E1288" s="192" t="s">
        <v>374</v>
      </c>
      <c r="F1288" s="113"/>
      <c r="G1288" s="113"/>
      <c r="H1288" s="113"/>
      <c r="I1288" s="7" t="s">
        <v>260</v>
      </c>
      <c r="J1288" s="8" t="s">
        <v>1690</v>
      </c>
      <c r="K1288" s="57">
        <v>30</v>
      </c>
      <c r="L1288" s="58">
        <v>30</v>
      </c>
    </row>
    <row r="1289" spans="1:12" ht="15.75">
      <c r="A1289" s="105">
        <v>1234</v>
      </c>
      <c r="B1289" s="125"/>
      <c r="C1289" s="125"/>
      <c r="D1289" s="132" t="s">
        <v>2694</v>
      </c>
      <c r="E1289" s="200" t="s">
        <v>2658</v>
      </c>
      <c r="F1289" s="112"/>
      <c r="G1289" s="112"/>
      <c r="H1289" s="112"/>
      <c r="I1289" s="8" t="s">
        <v>310</v>
      </c>
      <c r="J1289" s="41" t="s">
        <v>1110</v>
      </c>
      <c r="K1289" s="57">
        <v>30</v>
      </c>
      <c r="L1289" s="58">
        <v>30</v>
      </c>
    </row>
    <row r="1290" spans="1:12" ht="15.75">
      <c r="A1290" s="105">
        <v>1234</v>
      </c>
      <c r="B1290" s="125"/>
      <c r="C1290" s="125"/>
      <c r="D1290" s="132" t="s">
        <v>5291</v>
      </c>
      <c r="E1290" s="200" t="s">
        <v>2658</v>
      </c>
      <c r="F1290" s="112"/>
      <c r="G1290" s="112"/>
      <c r="H1290" s="112"/>
      <c r="I1290" s="8" t="s">
        <v>310</v>
      </c>
      <c r="J1290" s="41" t="s">
        <v>1110</v>
      </c>
      <c r="K1290" s="57">
        <v>30</v>
      </c>
      <c r="L1290" s="58">
        <v>30</v>
      </c>
    </row>
    <row r="1291" spans="1:12" ht="15.75">
      <c r="A1291" s="105">
        <v>1235</v>
      </c>
      <c r="B1291" s="125"/>
      <c r="C1291" s="125"/>
      <c r="D1291" s="132" t="s">
        <v>2695</v>
      </c>
      <c r="E1291" s="200" t="s">
        <v>2658</v>
      </c>
      <c r="F1291" s="112"/>
      <c r="G1291" s="112"/>
      <c r="H1291" s="112"/>
      <c r="I1291" s="8" t="s">
        <v>310</v>
      </c>
      <c r="J1291" s="41" t="s">
        <v>1110</v>
      </c>
      <c r="K1291" s="57">
        <v>30</v>
      </c>
      <c r="L1291" s="58">
        <v>30</v>
      </c>
    </row>
    <row r="1292" spans="1:12" ht="15.75">
      <c r="A1292" s="105">
        <v>1235</v>
      </c>
      <c r="B1292" s="125"/>
      <c r="C1292" s="125"/>
      <c r="D1292" s="132" t="s">
        <v>5292</v>
      </c>
      <c r="E1292" s="200" t="s">
        <v>2658</v>
      </c>
      <c r="F1292" s="112"/>
      <c r="G1292" s="112"/>
      <c r="H1292" s="112"/>
      <c r="I1292" s="8" t="s">
        <v>310</v>
      </c>
      <c r="J1292" s="41" t="s">
        <v>1110</v>
      </c>
      <c r="K1292" s="57">
        <v>30</v>
      </c>
      <c r="L1292" s="58">
        <v>30</v>
      </c>
    </row>
    <row r="1293" spans="1:12" ht="15.75">
      <c r="A1293" s="105">
        <v>1236</v>
      </c>
      <c r="B1293" s="125"/>
      <c r="C1293" s="125"/>
      <c r="D1293" s="132" t="str">
        <f>"42110KK051"</f>
        <v>42110KK051</v>
      </c>
      <c r="E1293" s="200" t="s">
        <v>2658</v>
      </c>
      <c r="F1293" s="112"/>
      <c r="G1293" s="112"/>
      <c r="H1293" s="112"/>
      <c r="I1293" s="8" t="s">
        <v>310</v>
      </c>
      <c r="J1293" s="41" t="s">
        <v>1110</v>
      </c>
      <c r="K1293" s="57">
        <v>30</v>
      </c>
      <c r="L1293" s="58">
        <v>30</v>
      </c>
    </row>
    <row r="1294" spans="1:12" ht="15.75">
      <c r="A1294" s="105">
        <v>1236</v>
      </c>
      <c r="B1294" s="125"/>
      <c r="C1294" s="125"/>
      <c r="D1294" s="132" t="s">
        <v>4678</v>
      </c>
      <c r="E1294" s="200" t="s">
        <v>2658</v>
      </c>
      <c r="F1294" s="112"/>
      <c r="G1294" s="112"/>
      <c r="H1294" s="112"/>
      <c r="I1294" s="8" t="s">
        <v>310</v>
      </c>
      <c r="J1294" s="41" t="s">
        <v>1110</v>
      </c>
      <c r="K1294" s="57">
        <v>30</v>
      </c>
      <c r="L1294" s="58">
        <v>30</v>
      </c>
    </row>
    <row r="1295" spans="1:12" ht="15.75">
      <c r="A1295" s="105">
        <v>1236</v>
      </c>
      <c r="B1295" s="125"/>
      <c r="C1295" s="125"/>
      <c r="D1295" s="132" t="s">
        <v>2696</v>
      </c>
      <c r="E1295" s="200" t="s">
        <v>2658</v>
      </c>
      <c r="F1295" s="112"/>
      <c r="G1295" s="112"/>
      <c r="H1295" s="112"/>
      <c r="I1295" s="8" t="s">
        <v>310</v>
      </c>
      <c r="J1295" s="41" t="s">
        <v>1110</v>
      </c>
      <c r="K1295" s="57">
        <v>30</v>
      </c>
      <c r="L1295" s="58">
        <v>30</v>
      </c>
    </row>
    <row r="1296" spans="1:12" ht="15.75">
      <c r="A1296" s="105">
        <v>1236</v>
      </c>
      <c r="B1296" s="125"/>
      <c r="C1296" s="125"/>
      <c r="D1296" s="132" t="s">
        <v>5293</v>
      </c>
      <c r="E1296" s="200" t="s">
        <v>2658</v>
      </c>
      <c r="F1296" s="112"/>
      <c r="G1296" s="112"/>
      <c r="H1296" s="112"/>
      <c r="I1296" s="8" t="s">
        <v>310</v>
      </c>
      <c r="J1296" s="41" t="s">
        <v>1110</v>
      </c>
      <c r="K1296" s="57">
        <v>30</v>
      </c>
      <c r="L1296" s="58">
        <v>30</v>
      </c>
    </row>
    <row r="1297" spans="1:12" ht="15.75">
      <c r="A1297" s="105">
        <v>1237</v>
      </c>
      <c r="B1297" s="125"/>
      <c r="C1297" s="125"/>
      <c r="D1297" s="132" t="s">
        <v>2697</v>
      </c>
      <c r="E1297" s="200" t="s">
        <v>2658</v>
      </c>
      <c r="F1297" s="112"/>
      <c r="G1297" s="112"/>
      <c r="H1297" s="112"/>
      <c r="I1297" s="8" t="s">
        <v>310</v>
      </c>
      <c r="J1297" s="41" t="s">
        <v>1110</v>
      </c>
      <c r="K1297" s="57">
        <v>30</v>
      </c>
      <c r="L1297" s="58">
        <v>30</v>
      </c>
    </row>
    <row r="1298" spans="1:12" ht="15.75">
      <c r="A1298" s="105">
        <v>1237</v>
      </c>
      <c r="B1298" s="125"/>
      <c r="C1298" s="125"/>
      <c r="D1298" s="132" t="s">
        <v>5294</v>
      </c>
      <c r="E1298" s="200" t="s">
        <v>2658</v>
      </c>
      <c r="F1298" s="112"/>
      <c r="G1298" s="112"/>
      <c r="H1298" s="112"/>
      <c r="I1298" s="8" t="s">
        <v>310</v>
      </c>
      <c r="J1298" s="41" t="s">
        <v>1110</v>
      </c>
      <c r="K1298" s="57">
        <v>30</v>
      </c>
      <c r="L1298" s="58">
        <v>30</v>
      </c>
    </row>
    <row r="1299" spans="1:12" ht="15.75">
      <c r="A1299" s="105">
        <v>1238</v>
      </c>
      <c r="B1299" s="125"/>
      <c r="C1299" s="125"/>
      <c r="D1299" s="132" t="s">
        <v>2698</v>
      </c>
      <c r="E1299" s="200" t="s">
        <v>2658</v>
      </c>
      <c r="F1299" s="112"/>
      <c r="G1299" s="112"/>
      <c r="H1299" s="112"/>
      <c r="I1299" s="8" t="s">
        <v>310</v>
      </c>
      <c r="J1299" s="41" t="s">
        <v>1110</v>
      </c>
      <c r="K1299" s="57">
        <v>30</v>
      </c>
      <c r="L1299" s="58">
        <v>30</v>
      </c>
    </row>
    <row r="1300" spans="1:12" ht="15.75">
      <c r="A1300" s="105">
        <v>1239</v>
      </c>
      <c r="B1300" s="125"/>
      <c r="C1300" s="125"/>
      <c r="D1300" s="132" t="s">
        <v>2699</v>
      </c>
      <c r="E1300" s="200" t="s">
        <v>2658</v>
      </c>
      <c r="F1300" s="112"/>
      <c r="G1300" s="112"/>
      <c r="H1300" s="112"/>
      <c r="I1300" s="8" t="s">
        <v>310</v>
      </c>
      <c r="J1300" s="41" t="s">
        <v>1110</v>
      </c>
      <c r="K1300" s="57">
        <v>30</v>
      </c>
      <c r="L1300" s="58">
        <v>30</v>
      </c>
    </row>
    <row r="1301" spans="1:12" ht="15.75">
      <c r="A1301" s="105">
        <v>1240</v>
      </c>
      <c r="B1301" s="125"/>
      <c r="C1301" s="125"/>
      <c r="D1301" s="132" t="s">
        <v>2700</v>
      </c>
      <c r="E1301" s="200" t="s">
        <v>2658</v>
      </c>
      <c r="F1301" s="112"/>
      <c r="G1301" s="112"/>
      <c r="H1301" s="112"/>
      <c r="I1301" s="8" t="s">
        <v>310</v>
      </c>
      <c r="J1301" s="41" t="s">
        <v>1110</v>
      </c>
      <c r="K1301" s="57">
        <v>30</v>
      </c>
      <c r="L1301" s="58">
        <v>30</v>
      </c>
    </row>
    <row r="1302" spans="1:12" ht="15.75">
      <c r="A1302" s="105">
        <v>1241</v>
      </c>
      <c r="B1302" s="125"/>
      <c r="C1302" s="125"/>
      <c r="D1302" s="132" t="s">
        <v>2701</v>
      </c>
      <c r="E1302" s="200" t="s">
        <v>2658</v>
      </c>
      <c r="F1302" s="112"/>
      <c r="G1302" s="112"/>
      <c r="H1302" s="112"/>
      <c r="I1302" s="8" t="s">
        <v>310</v>
      </c>
      <c r="J1302" s="41" t="s">
        <v>1110</v>
      </c>
      <c r="K1302" s="57">
        <v>30</v>
      </c>
      <c r="L1302" s="58">
        <v>30</v>
      </c>
    </row>
    <row r="1303" spans="1:12" ht="15.75">
      <c r="A1303" s="105">
        <v>1242</v>
      </c>
      <c r="B1303" s="125"/>
      <c r="C1303" s="125"/>
      <c r="D1303" s="132" t="s">
        <v>2702</v>
      </c>
      <c r="E1303" s="200" t="s">
        <v>2658</v>
      </c>
      <c r="F1303" s="112"/>
      <c r="G1303" s="112"/>
      <c r="H1303" s="112"/>
      <c r="I1303" s="8" t="s">
        <v>310</v>
      </c>
      <c r="J1303" s="41" t="s">
        <v>1110</v>
      </c>
      <c r="K1303" s="57">
        <v>30</v>
      </c>
      <c r="L1303" s="58">
        <v>30</v>
      </c>
    </row>
    <row r="1304" spans="1:12" ht="15.75">
      <c r="A1304" s="105">
        <v>1243</v>
      </c>
      <c r="B1304" s="125"/>
      <c r="C1304" s="125"/>
      <c r="D1304" s="132" t="s">
        <v>2703</v>
      </c>
      <c r="E1304" s="200" t="s">
        <v>2658</v>
      </c>
      <c r="F1304" s="112"/>
      <c r="G1304" s="112"/>
      <c r="H1304" s="112"/>
      <c r="I1304" s="8" t="s">
        <v>310</v>
      </c>
      <c r="J1304" s="41" t="s">
        <v>1110</v>
      </c>
      <c r="K1304" s="57">
        <v>30</v>
      </c>
      <c r="L1304" s="58">
        <v>30</v>
      </c>
    </row>
    <row r="1305" spans="1:12" ht="15.75">
      <c r="A1305" s="105">
        <v>1244</v>
      </c>
      <c r="B1305" s="125"/>
      <c r="C1305" s="125"/>
      <c r="D1305" s="132" t="s">
        <v>2704</v>
      </c>
      <c r="E1305" s="200" t="s">
        <v>2658</v>
      </c>
      <c r="F1305" s="112"/>
      <c r="G1305" s="112"/>
      <c r="H1305" s="112"/>
      <c r="I1305" s="8" t="s">
        <v>310</v>
      </c>
      <c r="J1305" s="41" t="s">
        <v>1110</v>
      </c>
      <c r="K1305" s="57">
        <v>30</v>
      </c>
      <c r="L1305" s="58">
        <v>30</v>
      </c>
    </row>
    <row r="1306" spans="1:12" ht="15.75">
      <c r="A1306" s="105">
        <v>1245</v>
      </c>
      <c r="B1306" s="125"/>
      <c r="C1306" s="125"/>
      <c r="D1306" s="132" t="s">
        <v>2705</v>
      </c>
      <c r="E1306" s="200" t="s">
        <v>2658</v>
      </c>
      <c r="F1306" s="112"/>
      <c r="G1306" s="112"/>
      <c r="H1306" s="112"/>
      <c r="I1306" s="8" t="s">
        <v>310</v>
      </c>
      <c r="J1306" s="41" t="s">
        <v>1110</v>
      </c>
      <c r="K1306" s="57">
        <v>30</v>
      </c>
      <c r="L1306" s="58">
        <v>30</v>
      </c>
    </row>
    <row r="1307" spans="1:12" ht="15.75">
      <c r="A1307" s="105">
        <v>1246</v>
      </c>
      <c r="B1307" s="125"/>
      <c r="C1307" s="125"/>
      <c r="D1307" s="132" t="s">
        <v>2706</v>
      </c>
      <c r="E1307" s="200" t="s">
        <v>2658</v>
      </c>
      <c r="F1307" s="112"/>
      <c r="G1307" s="112"/>
      <c r="H1307" s="112"/>
      <c r="I1307" s="8" t="s">
        <v>310</v>
      </c>
      <c r="J1307" s="41" t="s">
        <v>1110</v>
      </c>
      <c r="K1307" s="57">
        <v>30</v>
      </c>
      <c r="L1307" s="58">
        <v>30</v>
      </c>
    </row>
    <row r="1308" spans="1:12" ht="15.75">
      <c r="A1308" s="105">
        <v>1247</v>
      </c>
      <c r="B1308" s="125"/>
      <c r="C1308" s="125"/>
      <c r="D1308" s="133" t="s">
        <v>2051</v>
      </c>
      <c r="E1308" s="201" t="s">
        <v>830</v>
      </c>
      <c r="F1308" s="112"/>
      <c r="G1308" s="112"/>
      <c r="H1308" s="112"/>
      <c r="I1308" s="8" t="s">
        <v>310</v>
      </c>
      <c r="J1308" s="41" t="s">
        <v>1110</v>
      </c>
      <c r="K1308" s="57">
        <v>30</v>
      </c>
      <c r="L1308" s="58">
        <v>30</v>
      </c>
    </row>
    <row r="1309" spans="1:12" ht="15.75">
      <c r="A1309" s="105">
        <v>1248</v>
      </c>
      <c r="B1309" s="125"/>
      <c r="C1309" s="125"/>
      <c r="D1309" s="133" t="s">
        <v>2051</v>
      </c>
      <c r="E1309" s="201" t="s">
        <v>830</v>
      </c>
      <c r="F1309" s="112"/>
      <c r="G1309" s="112"/>
      <c r="H1309" s="112"/>
      <c r="I1309" s="7" t="s">
        <v>260</v>
      </c>
      <c r="J1309" s="41" t="s">
        <v>1110</v>
      </c>
      <c r="K1309" s="57">
        <v>30</v>
      </c>
      <c r="L1309" s="58">
        <v>30</v>
      </c>
    </row>
    <row r="1310" spans="1:12" ht="15.75">
      <c r="A1310" s="105">
        <v>1249</v>
      </c>
      <c r="B1310" s="125"/>
      <c r="C1310" s="125"/>
      <c r="D1310" s="133" t="s">
        <v>2051</v>
      </c>
      <c r="E1310" s="201" t="s">
        <v>830</v>
      </c>
      <c r="F1310" s="112"/>
      <c r="G1310" s="112"/>
      <c r="H1310" s="112"/>
      <c r="I1310" s="7" t="s">
        <v>260</v>
      </c>
      <c r="J1310" s="41" t="s">
        <v>1110</v>
      </c>
      <c r="K1310" s="57">
        <v>30</v>
      </c>
      <c r="L1310" s="58">
        <v>30</v>
      </c>
    </row>
    <row r="1311" spans="1:12" ht="15.75">
      <c r="A1311" s="105">
        <v>1250</v>
      </c>
      <c r="B1311" s="125"/>
      <c r="C1311" s="125"/>
      <c r="D1311" s="134" t="s">
        <v>2051</v>
      </c>
      <c r="E1311" s="201" t="s">
        <v>830</v>
      </c>
      <c r="F1311" s="112"/>
      <c r="G1311" s="112"/>
      <c r="H1311" s="112"/>
      <c r="I1311" s="7" t="s">
        <v>260</v>
      </c>
      <c r="J1311" s="41" t="s">
        <v>1110</v>
      </c>
      <c r="K1311" s="57">
        <v>30</v>
      </c>
      <c r="L1311" s="58">
        <v>30</v>
      </c>
    </row>
    <row r="1312" spans="1:12" ht="15.75">
      <c r="A1312" s="105">
        <v>1251</v>
      </c>
      <c r="B1312" s="125"/>
      <c r="C1312" s="125"/>
      <c r="D1312" s="134" t="s">
        <v>2051</v>
      </c>
      <c r="E1312" s="201" t="s">
        <v>830</v>
      </c>
      <c r="F1312" s="112"/>
      <c r="G1312" s="112"/>
      <c r="H1312" s="112"/>
      <c r="I1312" s="7" t="s">
        <v>260</v>
      </c>
      <c r="J1312" s="41" t="s">
        <v>1110</v>
      </c>
      <c r="K1312" s="57">
        <v>30</v>
      </c>
      <c r="L1312" s="58">
        <v>30</v>
      </c>
    </row>
    <row r="1313" spans="1:12" ht="15.75">
      <c r="A1313" s="105">
        <v>1252</v>
      </c>
      <c r="B1313" s="125"/>
      <c r="C1313" s="125"/>
      <c r="D1313" s="134" t="s">
        <v>2051</v>
      </c>
      <c r="E1313" s="201" t="s">
        <v>830</v>
      </c>
      <c r="F1313" s="112"/>
      <c r="G1313" s="112"/>
      <c r="H1313" s="112"/>
      <c r="I1313" s="7" t="s">
        <v>260</v>
      </c>
      <c r="J1313" s="41" t="s">
        <v>1110</v>
      </c>
      <c r="K1313" s="57">
        <v>30</v>
      </c>
      <c r="L1313" s="58">
        <v>30</v>
      </c>
    </row>
    <row r="1314" spans="1:12" ht="15.75">
      <c r="A1314" s="105">
        <v>1253</v>
      </c>
      <c r="B1314" s="125"/>
      <c r="C1314" s="125"/>
      <c r="D1314" s="134" t="s">
        <v>2678</v>
      </c>
      <c r="E1314" s="201" t="s">
        <v>830</v>
      </c>
      <c r="F1314" s="112"/>
      <c r="G1314" s="112"/>
      <c r="H1314" s="112"/>
      <c r="I1314" s="7" t="s">
        <v>260</v>
      </c>
      <c r="J1314" s="41" t="s">
        <v>1110</v>
      </c>
      <c r="K1314" s="57">
        <v>30</v>
      </c>
      <c r="L1314" s="58">
        <v>30</v>
      </c>
    </row>
    <row r="1315" spans="1:12" ht="15.75">
      <c r="A1315" s="105">
        <v>1254</v>
      </c>
      <c r="B1315" s="125"/>
      <c r="C1315" s="125"/>
      <c r="D1315" s="134" t="s">
        <v>2678</v>
      </c>
      <c r="E1315" s="201" t="s">
        <v>830</v>
      </c>
      <c r="F1315" s="112"/>
      <c r="G1315" s="112"/>
      <c r="H1315" s="112"/>
      <c r="I1315" s="7" t="s">
        <v>260</v>
      </c>
      <c r="J1315" s="41" t="s">
        <v>1110</v>
      </c>
      <c r="K1315" s="57">
        <v>30</v>
      </c>
      <c r="L1315" s="58">
        <v>30</v>
      </c>
    </row>
    <row r="1316" spans="1:12" ht="15.75">
      <c r="A1316" s="105">
        <v>1255</v>
      </c>
      <c r="B1316" s="125"/>
      <c r="C1316" s="125"/>
      <c r="D1316" s="134" t="s">
        <v>2678</v>
      </c>
      <c r="E1316" s="201" t="s">
        <v>830</v>
      </c>
      <c r="F1316" s="112"/>
      <c r="G1316" s="112"/>
      <c r="H1316" s="112"/>
      <c r="I1316" s="7" t="s">
        <v>260</v>
      </c>
      <c r="J1316" s="41" t="s">
        <v>1110</v>
      </c>
      <c r="K1316" s="57">
        <v>30</v>
      </c>
      <c r="L1316" s="58">
        <v>30</v>
      </c>
    </row>
    <row r="1317" spans="1:12" ht="15.75">
      <c r="A1317" s="105">
        <v>1256</v>
      </c>
      <c r="B1317" s="125"/>
      <c r="C1317" s="125"/>
      <c r="D1317" s="135" t="s">
        <v>2678</v>
      </c>
      <c r="E1317" s="202" t="s">
        <v>830</v>
      </c>
      <c r="F1317" s="112"/>
      <c r="G1317" s="112"/>
      <c r="H1317" s="112"/>
      <c r="I1317" s="7" t="s">
        <v>260</v>
      </c>
      <c r="J1317" s="41" t="s">
        <v>1110</v>
      </c>
      <c r="K1317" s="57">
        <v>30</v>
      </c>
      <c r="L1317" s="58">
        <v>30</v>
      </c>
    </row>
    <row r="1318" spans="1:12" ht="15.75">
      <c r="A1318" s="105">
        <v>1257</v>
      </c>
      <c r="B1318" s="125"/>
      <c r="C1318" s="125"/>
      <c r="D1318" s="134" t="s">
        <v>2710</v>
      </c>
      <c r="E1318" s="201" t="s">
        <v>830</v>
      </c>
      <c r="F1318" s="112"/>
      <c r="G1318" s="112"/>
      <c r="H1318" s="112"/>
      <c r="I1318" s="7" t="s">
        <v>260</v>
      </c>
      <c r="J1318" s="41" t="s">
        <v>1110</v>
      </c>
      <c r="K1318" s="57">
        <v>30</v>
      </c>
      <c r="L1318" s="58">
        <v>30</v>
      </c>
    </row>
    <row r="1319" spans="1:12" ht="15.75">
      <c r="A1319" s="105">
        <v>1258</v>
      </c>
      <c r="B1319" s="125"/>
      <c r="C1319" s="125"/>
      <c r="D1319" s="135" t="s">
        <v>2710</v>
      </c>
      <c r="E1319" s="202" t="s">
        <v>830</v>
      </c>
      <c r="F1319" s="112"/>
      <c r="G1319" s="112"/>
      <c r="H1319" s="112"/>
      <c r="I1319" s="7" t="s">
        <v>260</v>
      </c>
      <c r="J1319" s="41" t="s">
        <v>1110</v>
      </c>
      <c r="K1319" s="57">
        <v>30</v>
      </c>
      <c r="L1319" s="58">
        <v>30</v>
      </c>
    </row>
    <row r="1320" spans="1:12" ht="15.75">
      <c r="A1320" s="105">
        <v>1259</v>
      </c>
      <c r="B1320" s="125"/>
      <c r="C1320" s="125"/>
      <c r="D1320" s="136" t="s">
        <v>2052</v>
      </c>
      <c r="E1320" s="201" t="s">
        <v>830</v>
      </c>
      <c r="F1320" s="112"/>
      <c r="G1320" s="112"/>
      <c r="H1320" s="112"/>
      <c r="I1320" s="7" t="s">
        <v>260</v>
      </c>
      <c r="J1320" s="41" t="s">
        <v>1110</v>
      </c>
      <c r="K1320" s="57">
        <v>30</v>
      </c>
      <c r="L1320" s="58">
        <v>30</v>
      </c>
    </row>
    <row r="1321" spans="1:12" ht="15.75">
      <c r="A1321" s="105">
        <v>1260</v>
      </c>
      <c r="B1321" s="125"/>
      <c r="C1321" s="125"/>
      <c r="D1321" s="136" t="s">
        <v>2052</v>
      </c>
      <c r="E1321" s="201" t="s">
        <v>830</v>
      </c>
      <c r="F1321" s="112"/>
      <c r="G1321" s="112"/>
      <c r="H1321" s="112"/>
      <c r="I1321" s="7" t="s">
        <v>260</v>
      </c>
      <c r="J1321" s="41" t="s">
        <v>1110</v>
      </c>
      <c r="K1321" s="57">
        <v>30</v>
      </c>
      <c r="L1321" s="58">
        <v>30</v>
      </c>
    </row>
    <row r="1322" spans="1:12" ht="15.75">
      <c r="A1322" s="105">
        <v>1261</v>
      </c>
      <c r="B1322" s="125"/>
      <c r="C1322" s="125"/>
      <c r="D1322" s="136" t="s">
        <v>2052</v>
      </c>
      <c r="E1322" s="201" t="s">
        <v>830</v>
      </c>
      <c r="F1322" s="112"/>
      <c r="G1322" s="112"/>
      <c r="H1322" s="112"/>
      <c r="I1322" s="7" t="s">
        <v>260</v>
      </c>
      <c r="J1322" s="41" t="s">
        <v>1110</v>
      </c>
      <c r="K1322" s="57">
        <v>30</v>
      </c>
      <c r="L1322" s="58">
        <v>30</v>
      </c>
    </row>
    <row r="1323" spans="1:12" ht="15.75">
      <c r="A1323" s="105">
        <v>1262</v>
      </c>
      <c r="B1323" s="125"/>
      <c r="C1323" s="125"/>
      <c r="D1323" s="137" t="s">
        <v>2052</v>
      </c>
      <c r="E1323" s="201" t="s">
        <v>830</v>
      </c>
      <c r="F1323" s="112"/>
      <c r="G1323" s="112"/>
      <c r="H1323" s="112"/>
      <c r="I1323" s="7" t="s">
        <v>260</v>
      </c>
      <c r="J1323" s="41" t="s">
        <v>1110</v>
      </c>
      <c r="K1323" s="57">
        <v>30</v>
      </c>
      <c r="L1323" s="58">
        <v>30</v>
      </c>
    </row>
    <row r="1324" spans="1:12" ht="15.75">
      <c r="A1324" s="105">
        <v>1263</v>
      </c>
      <c r="B1324" s="125"/>
      <c r="C1324" s="125"/>
      <c r="D1324" s="137" t="s">
        <v>2052</v>
      </c>
      <c r="E1324" s="201" t="s">
        <v>830</v>
      </c>
      <c r="F1324" s="112"/>
      <c r="G1324" s="112"/>
      <c r="H1324" s="112"/>
      <c r="I1324" s="7" t="s">
        <v>260</v>
      </c>
      <c r="J1324" s="41" t="s">
        <v>1110</v>
      </c>
      <c r="K1324" s="57">
        <v>30</v>
      </c>
      <c r="L1324" s="58">
        <v>30</v>
      </c>
    </row>
    <row r="1325" spans="1:12" ht="15.75">
      <c r="A1325" s="105">
        <v>1264</v>
      </c>
      <c r="B1325" s="125"/>
      <c r="C1325" s="125"/>
      <c r="D1325" s="137" t="s">
        <v>2052</v>
      </c>
      <c r="E1325" s="201" t="s">
        <v>830</v>
      </c>
      <c r="F1325" s="112"/>
      <c r="G1325" s="112"/>
      <c r="H1325" s="112"/>
      <c r="I1325" s="7" t="s">
        <v>260</v>
      </c>
      <c r="J1325" s="41" t="s">
        <v>1110</v>
      </c>
      <c r="K1325" s="57">
        <v>30</v>
      </c>
      <c r="L1325" s="58">
        <v>30</v>
      </c>
    </row>
    <row r="1326" spans="1:12" ht="15.75">
      <c r="A1326" s="105">
        <v>1265</v>
      </c>
      <c r="B1326" s="125"/>
      <c r="C1326" s="125"/>
      <c r="D1326" s="137" t="s">
        <v>2685</v>
      </c>
      <c r="E1326" s="201" t="s">
        <v>830</v>
      </c>
      <c r="F1326" s="112"/>
      <c r="G1326" s="112"/>
      <c r="H1326" s="112"/>
      <c r="I1326" s="7" t="s">
        <v>260</v>
      </c>
      <c r="J1326" s="41" t="s">
        <v>1110</v>
      </c>
      <c r="K1326" s="57">
        <v>30</v>
      </c>
      <c r="L1326" s="58">
        <v>30</v>
      </c>
    </row>
    <row r="1327" spans="1:12" ht="15.75">
      <c r="A1327" s="105">
        <v>1266</v>
      </c>
      <c r="B1327" s="125"/>
      <c r="C1327" s="125"/>
      <c r="D1327" s="137" t="s">
        <v>2685</v>
      </c>
      <c r="E1327" s="201" t="s">
        <v>830</v>
      </c>
      <c r="F1327" s="112"/>
      <c r="G1327" s="112"/>
      <c r="H1327" s="112"/>
      <c r="I1327" s="7" t="s">
        <v>260</v>
      </c>
      <c r="J1327" s="41" t="s">
        <v>1110</v>
      </c>
      <c r="K1327" s="57">
        <v>30</v>
      </c>
      <c r="L1327" s="58">
        <v>30</v>
      </c>
    </row>
    <row r="1328" spans="1:12" ht="15.75">
      <c r="A1328" s="105">
        <v>1267</v>
      </c>
      <c r="B1328" s="125"/>
      <c r="C1328" s="125"/>
      <c r="D1328" s="137" t="s">
        <v>2685</v>
      </c>
      <c r="E1328" s="201" t="s">
        <v>830</v>
      </c>
      <c r="F1328" s="112"/>
      <c r="G1328" s="112"/>
      <c r="H1328" s="112"/>
      <c r="I1328" s="7" t="s">
        <v>260</v>
      </c>
      <c r="J1328" s="41" t="s">
        <v>1110</v>
      </c>
      <c r="K1328" s="57">
        <v>30</v>
      </c>
      <c r="L1328" s="58">
        <v>30</v>
      </c>
    </row>
    <row r="1329" spans="1:12" ht="15.75">
      <c r="A1329" s="105">
        <v>1268</v>
      </c>
      <c r="B1329" s="125"/>
      <c r="C1329" s="125"/>
      <c r="D1329" s="137" t="s">
        <v>2685</v>
      </c>
      <c r="E1329" s="201" t="s">
        <v>830</v>
      </c>
      <c r="F1329" s="112"/>
      <c r="G1329" s="112"/>
      <c r="H1329" s="112"/>
      <c r="I1329" s="7" t="s">
        <v>260</v>
      </c>
      <c r="J1329" s="41" t="s">
        <v>1110</v>
      </c>
      <c r="K1329" s="57">
        <v>30</v>
      </c>
      <c r="L1329" s="58">
        <v>30</v>
      </c>
    </row>
    <row r="1330" spans="1:12" ht="15.75">
      <c r="A1330" s="105">
        <v>1269</v>
      </c>
      <c r="B1330" s="125"/>
      <c r="C1330" s="125"/>
      <c r="D1330" s="138" t="s">
        <v>2685</v>
      </c>
      <c r="E1330" s="203" t="s">
        <v>830</v>
      </c>
      <c r="F1330" s="112"/>
      <c r="G1330" s="112"/>
      <c r="H1330" s="112"/>
      <c r="I1330" s="7" t="s">
        <v>260</v>
      </c>
      <c r="J1330" s="41" t="s">
        <v>1110</v>
      </c>
      <c r="K1330" s="57">
        <v>30</v>
      </c>
      <c r="L1330" s="58">
        <v>30</v>
      </c>
    </row>
    <row r="1331" spans="1:12" ht="15.75">
      <c r="A1331" s="105">
        <v>1270</v>
      </c>
      <c r="B1331" s="125"/>
      <c r="C1331" s="125"/>
      <c r="D1331" s="137" t="s">
        <v>2711</v>
      </c>
      <c r="E1331" s="201" t="s">
        <v>830</v>
      </c>
      <c r="F1331" s="112"/>
      <c r="G1331" s="112"/>
      <c r="H1331" s="112"/>
      <c r="I1331" s="7" t="s">
        <v>260</v>
      </c>
      <c r="J1331" s="41" t="s">
        <v>1110</v>
      </c>
      <c r="K1331" s="57">
        <v>30</v>
      </c>
      <c r="L1331" s="58">
        <v>30</v>
      </c>
    </row>
    <row r="1332" spans="1:12" ht="15.75">
      <c r="A1332" s="105">
        <v>1271</v>
      </c>
      <c r="B1332" s="125"/>
      <c r="C1332" s="125"/>
      <c r="D1332" s="137" t="s">
        <v>2711</v>
      </c>
      <c r="E1332" s="201" t="s">
        <v>830</v>
      </c>
      <c r="F1332" s="112"/>
      <c r="G1332" s="112"/>
      <c r="H1332" s="112"/>
      <c r="I1332" s="7" t="s">
        <v>260</v>
      </c>
      <c r="J1332" s="41" t="s">
        <v>1110</v>
      </c>
      <c r="K1332" s="57">
        <v>30</v>
      </c>
      <c r="L1332" s="58">
        <v>30</v>
      </c>
    </row>
    <row r="1333" spans="1:12" ht="15.75">
      <c r="A1333" s="105">
        <v>1272</v>
      </c>
      <c r="B1333" s="125"/>
      <c r="C1333" s="125"/>
      <c r="D1333" s="138" t="s">
        <v>2711</v>
      </c>
      <c r="E1333" s="203" t="s">
        <v>830</v>
      </c>
      <c r="F1333" s="112"/>
      <c r="G1333" s="112"/>
      <c r="H1333" s="112"/>
      <c r="I1333" s="7" t="s">
        <v>260</v>
      </c>
      <c r="J1333" s="41" t="s">
        <v>1110</v>
      </c>
      <c r="K1333" s="57">
        <v>30</v>
      </c>
      <c r="L1333" s="58">
        <v>30</v>
      </c>
    </row>
    <row r="1334" spans="1:12" ht="15.75">
      <c r="A1334" s="105">
        <v>1273</v>
      </c>
      <c r="B1334" s="125"/>
      <c r="C1334" s="125"/>
      <c r="D1334" s="136" t="s">
        <v>2053</v>
      </c>
      <c r="E1334" s="204" t="s">
        <v>830</v>
      </c>
      <c r="F1334" s="112"/>
      <c r="G1334" s="112"/>
      <c r="H1334" s="112"/>
      <c r="I1334" s="7" t="s">
        <v>260</v>
      </c>
      <c r="J1334" s="41" t="s">
        <v>1110</v>
      </c>
      <c r="K1334" s="57">
        <v>30</v>
      </c>
      <c r="L1334" s="58">
        <v>30</v>
      </c>
    </row>
    <row r="1335" spans="1:12" ht="15.75">
      <c r="A1335" s="105">
        <v>1274</v>
      </c>
      <c r="B1335" s="125"/>
      <c r="C1335" s="125"/>
      <c r="D1335" s="136" t="s">
        <v>2053</v>
      </c>
      <c r="E1335" s="204" t="s">
        <v>830</v>
      </c>
      <c r="F1335" s="112"/>
      <c r="G1335" s="112"/>
      <c r="H1335" s="112"/>
      <c r="I1335" s="7" t="s">
        <v>260</v>
      </c>
      <c r="J1335" s="41" t="s">
        <v>1110</v>
      </c>
      <c r="K1335" s="57">
        <v>30</v>
      </c>
      <c r="L1335" s="58">
        <v>30</v>
      </c>
    </row>
    <row r="1336" spans="1:12" ht="15.75">
      <c r="A1336" s="105">
        <v>1275</v>
      </c>
      <c r="B1336" s="125"/>
      <c r="C1336" s="125"/>
      <c r="D1336" s="136" t="s">
        <v>2053</v>
      </c>
      <c r="E1336" s="204" t="s">
        <v>830</v>
      </c>
      <c r="F1336" s="112"/>
      <c r="G1336" s="112"/>
      <c r="H1336" s="112"/>
      <c r="I1336" s="7" t="s">
        <v>260</v>
      </c>
      <c r="J1336" s="41" t="s">
        <v>1110</v>
      </c>
      <c r="K1336" s="57">
        <v>30</v>
      </c>
      <c r="L1336" s="58">
        <v>30</v>
      </c>
    </row>
    <row r="1337" spans="1:12" ht="15.75">
      <c r="A1337" s="105">
        <v>1276</v>
      </c>
      <c r="B1337" s="125"/>
      <c r="C1337" s="125"/>
      <c r="D1337" s="136" t="s">
        <v>2053</v>
      </c>
      <c r="E1337" s="204" t="s">
        <v>830</v>
      </c>
      <c r="F1337" s="112"/>
      <c r="G1337" s="112"/>
      <c r="H1337" s="112"/>
      <c r="I1337" s="7" t="s">
        <v>260</v>
      </c>
      <c r="J1337" s="41" t="s">
        <v>1110</v>
      </c>
      <c r="K1337" s="57">
        <v>30</v>
      </c>
      <c r="L1337" s="58">
        <v>30</v>
      </c>
    </row>
    <row r="1338" spans="1:12" ht="15.75">
      <c r="A1338" s="105">
        <v>1277</v>
      </c>
      <c r="B1338" s="125"/>
      <c r="C1338" s="125"/>
      <c r="D1338" s="137" t="s">
        <v>2053</v>
      </c>
      <c r="E1338" s="205" t="s">
        <v>830</v>
      </c>
      <c r="F1338" s="112"/>
      <c r="G1338" s="112"/>
      <c r="H1338" s="112"/>
      <c r="I1338" s="7" t="s">
        <v>260</v>
      </c>
      <c r="J1338" s="41" t="s">
        <v>1110</v>
      </c>
      <c r="K1338" s="57">
        <v>30</v>
      </c>
      <c r="L1338" s="58">
        <v>30</v>
      </c>
    </row>
    <row r="1339" spans="1:12" ht="15.75">
      <c r="A1339" s="105">
        <v>1278</v>
      </c>
      <c r="B1339" s="125"/>
      <c r="C1339" s="125"/>
      <c r="D1339" s="137" t="s">
        <v>2053</v>
      </c>
      <c r="E1339" s="205" t="s">
        <v>830</v>
      </c>
      <c r="F1339" s="112"/>
      <c r="G1339" s="112"/>
      <c r="H1339" s="112"/>
      <c r="I1339" s="7" t="s">
        <v>260</v>
      </c>
      <c r="J1339" s="41" t="s">
        <v>1110</v>
      </c>
      <c r="K1339" s="57">
        <v>30</v>
      </c>
      <c r="L1339" s="58">
        <v>30</v>
      </c>
    </row>
    <row r="1340" spans="1:12" ht="15.75">
      <c r="A1340" s="105">
        <v>1279</v>
      </c>
      <c r="B1340" s="125"/>
      <c r="C1340" s="125"/>
      <c r="D1340" s="137" t="s">
        <v>2053</v>
      </c>
      <c r="E1340" s="205" t="s">
        <v>830</v>
      </c>
      <c r="F1340" s="112"/>
      <c r="G1340" s="112"/>
      <c r="H1340" s="112"/>
      <c r="I1340" s="7" t="s">
        <v>260</v>
      </c>
      <c r="J1340" s="41" t="s">
        <v>1110</v>
      </c>
      <c r="K1340" s="57">
        <v>30</v>
      </c>
      <c r="L1340" s="58">
        <v>30</v>
      </c>
    </row>
    <row r="1341" spans="1:12" ht="15.75">
      <c r="A1341" s="105">
        <v>1280</v>
      </c>
      <c r="B1341" s="125"/>
      <c r="C1341" s="125"/>
      <c r="D1341" s="137" t="s">
        <v>2638</v>
      </c>
      <c r="E1341" s="205" t="s">
        <v>830</v>
      </c>
      <c r="F1341" s="112"/>
      <c r="G1341" s="112"/>
      <c r="H1341" s="112"/>
      <c r="I1341" s="7" t="s">
        <v>260</v>
      </c>
      <c r="J1341" s="41" t="s">
        <v>1110</v>
      </c>
      <c r="K1341" s="57">
        <v>30</v>
      </c>
      <c r="L1341" s="58">
        <v>30</v>
      </c>
    </row>
    <row r="1342" spans="1:12" ht="15.75">
      <c r="A1342" s="105">
        <v>1281</v>
      </c>
      <c r="B1342" s="125"/>
      <c r="C1342" s="125"/>
      <c r="D1342" s="137" t="s">
        <v>2638</v>
      </c>
      <c r="E1342" s="205" t="s">
        <v>830</v>
      </c>
      <c r="F1342" s="112"/>
      <c r="G1342" s="112"/>
      <c r="H1342" s="112"/>
      <c r="I1342" s="7" t="s">
        <v>260</v>
      </c>
      <c r="J1342" s="41" t="s">
        <v>1110</v>
      </c>
      <c r="K1342" s="57">
        <v>30</v>
      </c>
      <c r="L1342" s="58">
        <v>30</v>
      </c>
    </row>
    <row r="1343" spans="1:12" ht="15.75">
      <c r="A1343" s="105">
        <v>1282</v>
      </c>
      <c r="B1343" s="125"/>
      <c r="C1343" s="125"/>
      <c r="D1343" s="137" t="s">
        <v>2638</v>
      </c>
      <c r="E1343" s="205" t="s">
        <v>830</v>
      </c>
      <c r="F1343" s="112"/>
      <c r="G1343" s="112"/>
      <c r="H1343" s="112"/>
      <c r="I1343" s="7" t="s">
        <v>260</v>
      </c>
      <c r="J1343" s="41" t="s">
        <v>1110</v>
      </c>
      <c r="K1343" s="57">
        <v>30</v>
      </c>
      <c r="L1343" s="58">
        <v>30</v>
      </c>
    </row>
    <row r="1344" spans="1:12" ht="15.75">
      <c r="A1344" s="105">
        <v>1283</v>
      </c>
      <c r="B1344" s="125"/>
      <c r="C1344" s="125"/>
      <c r="D1344" s="126" t="s">
        <v>2638</v>
      </c>
      <c r="E1344" s="193" t="s">
        <v>830</v>
      </c>
      <c r="F1344" s="112"/>
      <c r="G1344" s="112"/>
      <c r="H1344" s="112"/>
      <c r="I1344" s="7" t="s">
        <v>260</v>
      </c>
      <c r="J1344" s="41" t="s">
        <v>1110</v>
      </c>
      <c r="K1344" s="57">
        <v>30</v>
      </c>
      <c r="L1344" s="58">
        <v>30</v>
      </c>
    </row>
    <row r="1345" spans="1:12" ht="15.75">
      <c r="A1345" s="105">
        <v>1284</v>
      </c>
      <c r="B1345" s="125"/>
      <c r="C1345" s="125"/>
      <c r="D1345" s="137" t="s">
        <v>2712</v>
      </c>
      <c r="E1345" s="205" t="s">
        <v>830</v>
      </c>
      <c r="F1345" s="112"/>
      <c r="G1345" s="112"/>
      <c r="H1345" s="112"/>
      <c r="I1345" s="7" t="s">
        <v>260</v>
      </c>
      <c r="J1345" s="41" t="s">
        <v>1110</v>
      </c>
      <c r="K1345" s="57">
        <v>30</v>
      </c>
      <c r="L1345" s="58">
        <v>30</v>
      </c>
    </row>
    <row r="1346" spans="1:12" ht="15.75">
      <c r="A1346" s="105">
        <v>1285</v>
      </c>
      <c r="B1346" s="125"/>
      <c r="C1346" s="125"/>
      <c r="D1346" s="126" t="s">
        <v>2712</v>
      </c>
      <c r="E1346" s="193" t="s">
        <v>830</v>
      </c>
      <c r="F1346" s="112"/>
      <c r="G1346" s="112"/>
      <c r="H1346" s="112"/>
      <c r="I1346" s="7" t="s">
        <v>260</v>
      </c>
      <c r="J1346" s="41" t="s">
        <v>1110</v>
      </c>
      <c r="K1346" s="57">
        <v>30</v>
      </c>
      <c r="L1346" s="58">
        <v>30</v>
      </c>
    </row>
    <row r="1347" spans="1:12" ht="15.75">
      <c r="A1347" s="105">
        <v>1286</v>
      </c>
      <c r="B1347" s="125"/>
      <c r="C1347" s="125"/>
      <c r="D1347" s="136" t="s">
        <v>2054</v>
      </c>
      <c r="E1347" s="204" t="s">
        <v>830</v>
      </c>
      <c r="F1347" s="112"/>
      <c r="G1347" s="112"/>
      <c r="H1347" s="112"/>
      <c r="I1347" s="7" t="s">
        <v>260</v>
      </c>
      <c r="J1347" s="41" t="s">
        <v>1110</v>
      </c>
      <c r="K1347" s="57">
        <v>30</v>
      </c>
      <c r="L1347" s="58">
        <v>30</v>
      </c>
    </row>
    <row r="1348" spans="1:12" ht="15.75">
      <c r="A1348" s="105">
        <v>1287</v>
      </c>
      <c r="B1348" s="125"/>
      <c r="C1348" s="125"/>
      <c r="D1348" s="136" t="s">
        <v>2054</v>
      </c>
      <c r="E1348" s="204" t="s">
        <v>830</v>
      </c>
      <c r="F1348" s="112"/>
      <c r="G1348" s="112"/>
      <c r="H1348" s="112"/>
      <c r="I1348" s="7" t="s">
        <v>260</v>
      </c>
      <c r="J1348" s="41" t="s">
        <v>1110</v>
      </c>
      <c r="K1348" s="57">
        <v>30</v>
      </c>
      <c r="L1348" s="58">
        <v>30</v>
      </c>
    </row>
    <row r="1349" spans="1:12" ht="15.75">
      <c r="A1349" s="105">
        <v>1288</v>
      </c>
      <c r="B1349" s="125"/>
      <c r="C1349" s="125"/>
      <c r="D1349" s="136" t="s">
        <v>2054</v>
      </c>
      <c r="E1349" s="204" t="s">
        <v>830</v>
      </c>
      <c r="F1349" s="112"/>
      <c r="G1349" s="112"/>
      <c r="H1349" s="112"/>
      <c r="I1349" s="7" t="s">
        <v>260</v>
      </c>
      <c r="J1349" s="41" t="s">
        <v>1110</v>
      </c>
      <c r="K1349" s="57">
        <v>30</v>
      </c>
      <c r="L1349" s="58">
        <v>30</v>
      </c>
    </row>
    <row r="1350" spans="1:12" ht="15.75">
      <c r="A1350" s="105">
        <v>1289</v>
      </c>
      <c r="B1350" s="125"/>
      <c r="C1350" s="125"/>
      <c r="D1350" s="137" t="s">
        <v>2054</v>
      </c>
      <c r="E1350" s="205" t="s">
        <v>830</v>
      </c>
      <c r="F1350" s="112"/>
      <c r="G1350" s="112"/>
      <c r="H1350" s="112"/>
      <c r="I1350" s="7" t="s">
        <v>260</v>
      </c>
      <c r="J1350" s="41" t="s">
        <v>1110</v>
      </c>
      <c r="K1350" s="57">
        <v>30</v>
      </c>
      <c r="L1350" s="58">
        <v>30</v>
      </c>
    </row>
    <row r="1351" spans="1:12" ht="15.75">
      <c r="A1351" s="105">
        <v>1290</v>
      </c>
      <c r="B1351" s="125"/>
      <c r="C1351" s="125"/>
      <c r="D1351" s="137" t="s">
        <v>2054</v>
      </c>
      <c r="E1351" s="205" t="s">
        <v>830</v>
      </c>
      <c r="F1351" s="112"/>
      <c r="G1351" s="112"/>
      <c r="H1351" s="112"/>
      <c r="I1351" s="7" t="s">
        <v>260</v>
      </c>
      <c r="J1351" s="41" t="s">
        <v>1110</v>
      </c>
      <c r="K1351" s="57">
        <v>30</v>
      </c>
      <c r="L1351" s="58">
        <v>30</v>
      </c>
    </row>
    <row r="1352" spans="1:12" ht="15.75">
      <c r="A1352" s="105">
        <v>1291</v>
      </c>
      <c r="B1352" s="125"/>
      <c r="C1352" s="125"/>
      <c r="D1352" s="137" t="s">
        <v>2054</v>
      </c>
      <c r="E1352" s="205" t="s">
        <v>830</v>
      </c>
      <c r="F1352" s="112"/>
      <c r="G1352" s="112"/>
      <c r="H1352" s="112"/>
      <c r="I1352" s="7" t="s">
        <v>260</v>
      </c>
      <c r="J1352" s="41" t="s">
        <v>1110</v>
      </c>
      <c r="K1352" s="57">
        <v>30</v>
      </c>
      <c r="L1352" s="58">
        <v>30</v>
      </c>
    </row>
    <row r="1353" spans="1:12" ht="15.75">
      <c r="A1353" s="105">
        <v>1292</v>
      </c>
      <c r="B1353" s="125"/>
      <c r="C1353" s="125"/>
      <c r="D1353" s="137" t="s">
        <v>2645</v>
      </c>
      <c r="E1353" s="205" t="s">
        <v>830</v>
      </c>
      <c r="F1353" s="112"/>
      <c r="G1353" s="112"/>
      <c r="H1353" s="112"/>
      <c r="I1353" s="7" t="s">
        <v>260</v>
      </c>
      <c r="J1353" s="41" t="s">
        <v>1110</v>
      </c>
      <c r="K1353" s="57">
        <v>30</v>
      </c>
      <c r="L1353" s="58">
        <v>30</v>
      </c>
    </row>
    <row r="1354" spans="1:12" ht="15.75">
      <c r="A1354" s="105">
        <v>1293</v>
      </c>
      <c r="B1354" s="125"/>
      <c r="C1354" s="125"/>
      <c r="D1354" s="137" t="s">
        <v>2645</v>
      </c>
      <c r="E1354" s="205" t="s">
        <v>830</v>
      </c>
      <c r="F1354" s="112"/>
      <c r="G1354" s="112"/>
      <c r="H1354" s="112"/>
      <c r="I1354" s="7" t="s">
        <v>260</v>
      </c>
      <c r="J1354" s="41" t="s">
        <v>1110</v>
      </c>
      <c r="K1354" s="57">
        <v>30</v>
      </c>
      <c r="L1354" s="58">
        <v>30</v>
      </c>
    </row>
    <row r="1355" spans="1:12" ht="15.75">
      <c r="A1355" s="105">
        <v>1294</v>
      </c>
      <c r="B1355" s="125"/>
      <c r="C1355" s="125"/>
      <c r="D1355" s="137" t="s">
        <v>2645</v>
      </c>
      <c r="E1355" s="205" t="s">
        <v>830</v>
      </c>
      <c r="F1355" s="112"/>
      <c r="G1355" s="112"/>
      <c r="H1355" s="112"/>
      <c r="I1355" s="7" t="s">
        <v>260</v>
      </c>
      <c r="J1355" s="41" t="s">
        <v>1110</v>
      </c>
      <c r="K1355" s="57">
        <v>30</v>
      </c>
      <c r="L1355" s="58">
        <v>30</v>
      </c>
    </row>
    <row r="1356" spans="1:12" ht="15.75">
      <c r="A1356" s="105">
        <v>1295</v>
      </c>
      <c r="B1356" s="125"/>
      <c r="C1356" s="125"/>
      <c r="D1356" s="126" t="s">
        <v>2645</v>
      </c>
      <c r="E1356" s="193" t="s">
        <v>830</v>
      </c>
      <c r="F1356" s="112"/>
      <c r="G1356" s="112"/>
      <c r="H1356" s="112"/>
      <c r="I1356" s="7" t="s">
        <v>260</v>
      </c>
      <c r="J1356" s="41" t="s">
        <v>1110</v>
      </c>
      <c r="K1356" s="57">
        <v>30</v>
      </c>
      <c r="L1356" s="58">
        <v>30</v>
      </c>
    </row>
    <row r="1357" spans="1:12" ht="15.75">
      <c r="A1357" s="105">
        <v>1296</v>
      </c>
      <c r="B1357" s="125"/>
      <c r="C1357" s="125"/>
      <c r="D1357" s="137" t="s">
        <v>2713</v>
      </c>
      <c r="E1357" s="205" t="s">
        <v>830</v>
      </c>
      <c r="F1357" s="112"/>
      <c r="G1357" s="112"/>
      <c r="H1357" s="112"/>
      <c r="I1357" s="7" t="s">
        <v>260</v>
      </c>
      <c r="J1357" s="41" t="s">
        <v>1110</v>
      </c>
      <c r="K1357" s="57">
        <v>30</v>
      </c>
      <c r="L1357" s="58">
        <v>30</v>
      </c>
    </row>
    <row r="1358" spans="1:12" ht="15.75">
      <c r="A1358" s="105">
        <v>1297</v>
      </c>
      <c r="B1358" s="125"/>
      <c r="C1358" s="125"/>
      <c r="D1358" s="126" t="s">
        <v>2713</v>
      </c>
      <c r="E1358" s="193" t="s">
        <v>830</v>
      </c>
      <c r="F1358" s="112"/>
      <c r="G1358" s="112"/>
      <c r="H1358" s="112"/>
      <c r="I1358" s="7" t="s">
        <v>260</v>
      </c>
      <c r="J1358" s="41" t="s">
        <v>1110</v>
      </c>
      <c r="K1358" s="57">
        <v>30</v>
      </c>
      <c r="L1358" s="58">
        <v>30</v>
      </c>
    </row>
    <row r="1359" spans="1:12" ht="15.75">
      <c r="A1359" s="105">
        <v>1298</v>
      </c>
      <c r="B1359" s="125"/>
      <c r="C1359" s="125"/>
      <c r="D1359" s="136" t="s">
        <v>2055</v>
      </c>
      <c r="E1359" s="204" t="s">
        <v>830</v>
      </c>
      <c r="F1359" s="112"/>
      <c r="G1359" s="112"/>
      <c r="H1359" s="112"/>
      <c r="I1359" s="7" t="s">
        <v>260</v>
      </c>
      <c r="J1359" s="41" t="s">
        <v>1110</v>
      </c>
      <c r="K1359" s="57">
        <v>30</v>
      </c>
      <c r="L1359" s="58">
        <v>30</v>
      </c>
    </row>
    <row r="1360" spans="1:12" ht="15.75">
      <c r="A1360" s="105">
        <v>1299</v>
      </c>
      <c r="B1360" s="125"/>
      <c r="C1360" s="125"/>
      <c r="D1360" s="136" t="s">
        <v>2055</v>
      </c>
      <c r="E1360" s="204" t="s">
        <v>830</v>
      </c>
      <c r="F1360" s="112"/>
      <c r="G1360" s="112"/>
      <c r="H1360" s="112"/>
      <c r="I1360" s="7" t="s">
        <v>260</v>
      </c>
      <c r="J1360" s="41" t="s">
        <v>1110</v>
      </c>
      <c r="K1360" s="57">
        <v>30</v>
      </c>
      <c r="L1360" s="58">
        <v>30</v>
      </c>
    </row>
    <row r="1361" spans="1:12" ht="15.75">
      <c r="A1361" s="105">
        <v>1300</v>
      </c>
      <c r="B1361" s="125"/>
      <c r="C1361" s="125"/>
      <c r="D1361" s="136" t="s">
        <v>2055</v>
      </c>
      <c r="E1361" s="204" t="s">
        <v>830</v>
      </c>
      <c r="F1361" s="112"/>
      <c r="G1361" s="112"/>
      <c r="H1361" s="112"/>
      <c r="I1361" s="7" t="s">
        <v>260</v>
      </c>
      <c r="J1361" s="41" t="s">
        <v>1110</v>
      </c>
      <c r="K1361" s="57">
        <v>30</v>
      </c>
      <c r="L1361" s="58">
        <v>30</v>
      </c>
    </row>
    <row r="1362" spans="1:12" ht="15.75">
      <c r="A1362" s="105">
        <v>1301</v>
      </c>
      <c r="B1362" s="125"/>
      <c r="C1362" s="125"/>
      <c r="D1362" s="137" t="s">
        <v>2055</v>
      </c>
      <c r="E1362" s="205" t="s">
        <v>830</v>
      </c>
      <c r="F1362" s="112"/>
      <c r="G1362" s="112"/>
      <c r="H1362" s="112"/>
      <c r="I1362" s="7" t="s">
        <v>260</v>
      </c>
      <c r="J1362" s="41" t="s">
        <v>1110</v>
      </c>
      <c r="K1362" s="57">
        <v>30</v>
      </c>
      <c r="L1362" s="58">
        <v>30</v>
      </c>
    </row>
    <row r="1363" spans="1:12" ht="15.75">
      <c r="A1363" s="105">
        <v>1302</v>
      </c>
      <c r="B1363" s="125"/>
      <c r="C1363" s="125"/>
      <c r="D1363" s="137" t="s">
        <v>2055</v>
      </c>
      <c r="E1363" s="205" t="s">
        <v>830</v>
      </c>
      <c r="F1363" s="112"/>
      <c r="G1363" s="112"/>
      <c r="H1363" s="112"/>
      <c r="I1363" s="7" t="s">
        <v>260</v>
      </c>
      <c r="J1363" s="41" t="s">
        <v>1110</v>
      </c>
      <c r="K1363" s="57">
        <v>30</v>
      </c>
      <c r="L1363" s="58">
        <v>30</v>
      </c>
    </row>
    <row r="1364" spans="1:12" ht="15.75">
      <c r="A1364" s="105">
        <v>1303</v>
      </c>
      <c r="B1364" s="125"/>
      <c r="C1364" s="125"/>
      <c r="D1364" s="137" t="s">
        <v>2055</v>
      </c>
      <c r="E1364" s="205" t="s">
        <v>830</v>
      </c>
      <c r="F1364" s="112"/>
      <c r="G1364" s="112"/>
      <c r="H1364" s="112"/>
      <c r="I1364" s="7" t="s">
        <v>260</v>
      </c>
      <c r="J1364" s="41" t="s">
        <v>1110</v>
      </c>
      <c r="K1364" s="57">
        <v>30</v>
      </c>
      <c r="L1364" s="58">
        <v>30</v>
      </c>
    </row>
    <row r="1365" spans="1:12" ht="15.75">
      <c r="A1365" s="105">
        <v>1304</v>
      </c>
      <c r="B1365" s="125"/>
      <c r="C1365" s="125"/>
      <c r="D1365" s="137" t="s">
        <v>2646</v>
      </c>
      <c r="E1365" s="205" t="s">
        <v>830</v>
      </c>
      <c r="F1365" s="112"/>
      <c r="G1365" s="112"/>
      <c r="H1365" s="112"/>
      <c r="I1365" s="7" t="s">
        <v>260</v>
      </c>
      <c r="J1365" s="41" t="s">
        <v>1110</v>
      </c>
      <c r="K1365" s="57">
        <v>30</v>
      </c>
      <c r="L1365" s="58">
        <v>30</v>
      </c>
    </row>
    <row r="1366" spans="1:12" ht="15.75">
      <c r="A1366" s="105">
        <v>1305</v>
      </c>
      <c r="B1366" s="125"/>
      <c r="C1366" s="125"/>
      <c r="D1366" s="137" t="s">
        <v>2646</v>
      </c>
      <c r="E1366" s="205" t="s">
        <v>830</v>
      </c>
      <c r="F1366" s="112"/>
      <c r="G1366" s="112"/>
      <c r="H1366" s="112"/>
      <c r="I1366" s="7" t="s">
        <v>260</v>
      </c>
      <c r="J1366" s="41" t="s">
        <v>1110</v>
      </c>
      <c r="K1366" s="57">
        <v>30</v>
      </c>
      <c r="L1366" s="58">
        <v>30</v>
      </c>
    </row>
    <row r="1367" spans="1:12" ht="15.75">
      <c r="A1367" s="105">
        <v>1306</v>
      </c>
      <c r="B1367" s="125"/>
      <c r="C1367" s="125"/>
      <c r="D1367" s="137" t="s">
        <v>2646</v>
      </c>
      <c r="E1367" s="205" t="s">
        <v>830</v>
      </c>
      <c r="F1367" s="112"/>
      <c r="G1367" s="112"/>
      <c r="H1367" s="112"/>
      <c r="I1367" s="7" t="s">
        <v>260</v>
      </c>
      <c r="J1367" s="41" t="s">
        <v>1110</v>
      </c>
      <c r="K1367" s="57">
        <v>30</v>
      </c>
      <c r="L1367" s="58">
        <v>30</v>
      </c>
    </row>
    <row r="1368" spans="1:12" ht="15.75">
      <c r="A1368" s="105">
        <v>1307</v>
      </c>
      <c r="B1368" s="125"/>
      <c r="C1368" s="125"/>
      <c r="D1368" s="126" t="s">
        <v>2646</v>
      </c>
      <c r="E1368" s="193" t="s">
        <v>830</v>
      </c>
      <c r="F1368" s="112"/>
      <c r="G1368" s="112"/>
      <c r="H1368" s="112"/>
      <c r="I1368" s="7" t="s">
        <v>260</v>
      </c>
      <c r="J1368" s="41" t="s">
        <v>1110</v>
      </c>
      <c r="K1368" s="57">
        <v>30</v>
      </c>
      <c r="L1368" s="58">
        <v>30</v>
      </c>
    </row>
    <row r="1369" spans="1:12" ht="15.75">
      <c r="A1369" s="105">
        <v>1308</v>
      </c>
      <c r="B1369" s="125"/>
      <c r="C1369" s="125"/>
      <c r="D1369" s="137" t="s">
        <v>2714</v>
      </c>
      <c r="E1369" s="205" t="s">
        <v>830</v>
      </c>
      <c r="F1369" s="112"/>
      <c r="G1369" s="112"/>
      <c r="H1369" s="112"/>
      <c r="I1369" s="7" t="s">
        <v>260</v>
      </c>
      <c r="J1369" s="41" t="s">
        <v>1110</v>
      </c>
      <c r="K1369" s="57">
        <v>30</v>
      </c>
      <c r="L1369" s="58">
        <v>30</v>
      </c>
    </row>
    <row r="1370" spans="1:12" ht="15.75">
      <c r="A1370" s="105">
        <v>1309</v>
      </c>
      <c r="B1370" s="125"/>
      <c r="C1370" s="125"/>
      <c r="D1370" s="126" t="s">
        <v>2714</v>
      </c>
      <c r="E1370" s="193" t="s">
        <v>830</v>
      </c>
      <c r="F1370" s="112"/>
      <c r="G1370" s="112"/>
      <c r="H1370" s="112"/>
      <c r="I1370" s="7" t="s">
        <v>260</v>
      </c>
      <c r="J1370" s="41" t="s">
        <v>1110</v>
      </c>
      <c r="K1370" s="57">
        <v>30</v>
      </c>
      <c r="L1370" s="58">
        <v>30</v>
      </c>
    </row>
    <row r="1371" spans="1:12" ht="15.75">
      <c r="A1371" s="105">
        <v>1310</v>
      </c>
      <c r="B1371" s="125"/>
      <c r="C1371" s="125"/>
      <c r="D1371" s="136" t="s">
        <v>2056</v>
      </c>
      <c r="E1371" s="204" t="s">
        <v>830</v>
      </c>
      <c r="F1371" s="112"/>
      <c r="G1371" s="112"/>
      <c r="H1371" s="112"/>
      <c r="I1371" s="7" t="s">
        <v>260</v>
      </c>
      <c r="J1371" s="41" t="s">
        <v>1110</v>
      </c>
      <c r="K1371" s="57">
        <v>30</v>
      </c>
      <c r="L1371" s="58">
        <v>30</v>
      </c>
    </row>
    <row r="1372" spans="1:12" ht="15.75">
      <c r="A1372" s="105">
        <v>1311</v>
      </c>
      <c r="B1372" s="125"/>
      <c r="C1372" s="125"/>
      <c r="D1372" s="137" t="s">
        <v>2056</v>
      </c>
      <c r="E1372" s="205" t="s">
        <v>830</v>
      </c>
      <c r="F1372" s="112"/>
      <c r="G1372" s="112"/>
      <c r="H1372" s="112"/>
      <c r="I1372" s="7" t="s">
        <v>260</v>
      </c>
      <c r="J1372" s="41" t="s">
        <v>1110</v>
      </c>
      <c r="K1372" s="57">
        <v>30</v>
      </c>
      <c r="L1372" s="58">
        <v>30</v>
      </c>
    </row>
    <row r="1373" spans="1:12" ht="15.75">
      <c r="A1373" s="105">
        <v>1312</v>
      </c>
      <c r="B1373" s="125"/>
      <c r="C1373" s="125"/>
      <c r="D1373" s="137" t="s">
        <v>2056</v>
      </c>
      <c r="E1373" s="205" t="s">
        <v>830</v>
      </c>
      <c r="F1373" s="112"/>
      <c r="G1373" s="112"/>
      <c r="H1373" s="112"/>
      <c r="I1373" s="7" t="s">
        <v>260</v>
      </c>
      <c r="J1373" s="41" t="s">
        <v>1110</v>
      </c>
      <c r="K1373" s="57">
        <v>30</v>
      </c>
      <c r="L1373" s="58">
        <v>30</v>
      </c>
    </row>
    <row r="1374" spans="1:12" ht="15.75">
      <c r="A1374" s="105">
        <v>1313</v>
      </c>
      <c r="B1374" s="125"/>
      <c r="C1374" s="125"/>
      <c r="D1374" s="137" t="s">
        <v>2056</v>
      </c>
      <c r="E1374" s="205" t="s">
        <v>830</v>
      </c>
      <c r="F1374" s="112"/>
      <c r="G1374" s="112"/>
      <c r="H1374" s="112"/>
      <c r="I1374" s="7" t="s">
        <v>260</v>
      </c>
      <c r="J1374" s="41" t="s">
        <v>1110</v>
      </c>
      <c r="K1374" s="57">
        <v>30</v>
      </c>
      <c r="L1374" s="58">
        <v>30</v>
      </c>
    </row>
    <row r="1375" spans="1:12" ht="15.75">
      <c r="A1375" s="105">
        <v>1314</v>
      </c>
      <c r="B1375" s="125"/>
      <c r="C1375" s="125"/>
      <c r="D1375" s="137" t="s">
        <v>2639</v>
      </c>
      <c r="E1375" s="205" t="s">
        <v>830</v>
      </c>
      <c r="F1375" s="112"/>
      <c r="G1375" s="112"/>
      <c r="H1375" s="112"/>
      <c r="I1375" s="7" t="s">
        <v>260</v>
      </c>
      <c r="J1375" s="41" t="s">
        <v>1110</v>
      </c>
      <c r="K1375" s="57">
        <v>30</v>
      </c>
      <c r="L1375" s="58">
        <v>30</v>
      </c>
    </row>
    <row r="1376" spans="1:12" ht="15.75">
      <c r="A1376" s="105">
        <v>1315</v>
      </c>
      <c r="B1376" s="125"/>
      <c r="C1376" s="125"/>
      <c r="D1376" s="137" t="s">
        <v>2639</v>
      </c>
      <c r="E1376" s="205" t="s">
        <v>830</v>
      </c>
      <c r="F1376" s="112"/>
      <c r="G1376" s="112"/>
      <c r="H1376" s="112"/>
      <c r="I1376" s="7" t="s">
        <v>260</v>
      </c>
      <c r="J1376" s="41" t="s">
        <v>1110</v>
      </c>
      <c r="K1376" s="57">
        <v>30</v>
      </c>
      <c r="L1376" s="58">
        <v>30</v>
      </c>
    </row>
    <row r="1377" spans="1:12" ht="15.75">
      <c r="A1377" s="105">
        <v>1316</v>
      </c>
      <c r="B1377" s="125"/>
      <c r="C1377" s="125"/>
      <c r="D1377" s="137" t="s">
        <v>2639</v>
      </c>
      <c r="E1377" s="205" t="s">
        <v>830</v>
      </c>
      <c r="F1377" s="112"/>
      <c r="G1377" s="112"/>
      <c r="H1377" s="112"/>
      <c r="I1377" s="7" t="s">
        <v>260</v>
      </c>
      <c r="J1377" s="41" t="s">
        <v>1110</v>
      </c>
      <c r="K1377" s="57">
        <v>30</v>
      </c>
      <c r="L1377" s="58">
        <v>30</v>
      </c>
    </row>
    <row r="1378" spans="1:12" ht="15.75">
      <c r="A1378" s="105">
        <v>1317</v>
      </c>
      <c r="B1378" s="125"/>
      <c r="C1378" s="125"/>
      <c r="D1378" s="137" t="s">
        <v>2639</v>
      </c>
      <c r="E1378" s="205" t="s">
        <v>830</v>
      </c>
      <c r="F1378" s="112"/>
      <c r="G1378" s="112"/>
      <c r="H1378" s="112"/>
      <c r="I1378" s="7" t="s">
        <v>260</v>
      </c>
      <c r="J1378" s="41" t="s">
        <v>1110</v>
      </c>
      <c r="K1378" s="57">
        <v>30</v>
      </c>
      <c r="L1378" s="58">
        <v>30</v>
      </c>
    </row>
    <row r="1379" spans="1:12" ht="15.75">
      <c r="A1379" s="105">
        <v>1318</v>
      </c>
      <c r="B1379" s="125"/>
      <c r="C1379" s="125"/>
      <c r="D1379" s="126" t="s">
        <v>2639</v>
      </c>
      <c r="E1379" s="193" t="s">
        <v>830</v>
      </c>
      <c r="F1379" s="112"/>
      <c r="G1379" s="112"/>
      <c r="H1379" s="112"/>
      <c r="I1379" s="7" t="s">
        <v>260</v>
      </c>
      <c r="J1379" s="41" t="s">
        <v>1110</v>
      </c>
      <c r="K1379" s="57">
        <v>30</v>
      </c>
      <c r="L1379" s="58">
        <v>30</v>
      </c>
    </row>
    <row r="1380" spans="1:12" ht="15.75">
      <c r="A1380" s="105">
        <v>1319</v>
      </c>
      <c r="B1380" s="125"/>
      <c r="C1380" s="125"/>
      <c r="D1380" s="136" t="s">
        <v>2057</v>
      </c>
      <c r="E1380" s="204" t="s">
        <v>830</v>
      </c>
      <c r="F1380" s="112"/>
      <c r="G1380" s="112"/>
      <c r="H1380" s="112"/>
      <c r="I1380" s="7" t="s">
        <v>260</v>
      </c>
      <c r="J1380" s="41" t="s">
        <v>1110</v>
      </c>
      <c r="K1380" s="57">
        <v>30</v>
      </c>
      <c r="L1380" s="58">
        <v>30</v>
      </c>
    </row>
    <row r="1381" spans="1:12" ht="15.75">
      <c r="A1381" s="105">
        <v>1320</v>
      </c>
      <c r="B1381" s="125"/>
      <c r="C1381" s="125"/>
      <c r="D1381" s="137" t="s">
        <v>2057</v>
      </c>
      <c r="E1381" s="205" t="s">
        <v>830</v>
      </c>
      <c r="F1381" s="112"/>
      <c r="G1381" s="112"/>
      <c r="H1381" s="112"/>
      <c r="I1381" s="7" t="s">
        <v>260</v>
      </c>
      <c r="J1381" s="41" t="s">
        <v>1110</v>
      </c>
      <c r="K1381" s="57">
        <v>30</v>
      </c>
      <c r="L1381" s="58">
        <v>30</v>
      </c>
    </row>
    <row r="1382" spans="1:12" ht="15.75">
      <c r="A1382" s="105">
        <v>1321</v>
      </c>
      <c r="B1382" s="125"/>
      <c r="C1382" s="125"/>
      <c r="D1382" s="137" t="s">
        <v>2057</v>
      </c>
      <c r="E1382" s="205" t="s">
        <v>830</v>
      </c>
      <c r="F1382" s="112"/>
      <c r="G1382" s="112"/>
      <c r="H1382" s="112"/>
      <c r="I1382" s="7" t="s">
        <v>260</v>
      </c>
      <c r="J1382" s="41" t="s">
        <v>1110</v>
      </c>
      <c r="K1382" s="57">
        <v>30</v>
      </c>
      <c r="L1382" s="58">
        <v>30</v>
      </c>
    </row>
    <row r="1383" spans="1:12" ht="15.75">
      <c r="A1383" s="105">
        <v>1322</v>
      </c>
      <c r="B1383" s="125"/>
      <c r="C1383" s="125"/>
      <c r="D1383" s="137" t="s">
        <v>2057</v>
      </c>
      <c r="E1383" s="205" t="s">
        <v>830</v>
      </c>
      <c r="F1383" s="112"/>
      <c r="G1383" s="112"/>
      <c r="H1383" s="112"/>
      <c r="I1383" s="7" t="s">
        <v>260</v>
      </c>
      <c r="J1383" s="41" t="s">
        <v>1110</v>
      </c>
      <c r="K1383" s="57">
        <v>30</v>
      </c>
      <c r="L1383" s="58">
        <v>30</v>
      </c>
    </row>
    <row r="1384" spans="1:12" ht="15.75">
      <c r="A1384" s="105">
        <v>1323</v>
      </c>
      <c r="B1384" s="125"/>
      <c r="C1384" s="125"/>
      <c r="D1384" s="137" t="s">
        <v>2692</v>
      </c>
      <c r="E1384" s="205" t="s">
        <v>830</v>
      </c>
      <c r="F1384" s="112"/>
      <c r="G1384" s="112"/>
      <c r="H1384" s="112"/>
      <c r="I1384" s="7" t="s">
        <v>260</v>
      </c>
      <c r="J1384" s="41" t="s">
        <v>1110</v>
      </c>
      <c r="K1384" s="57">
        <v>30</v>
      </c>
      <c r="L1384" s="58">
        <v>30</v>
      </c>
    </row>
    <row r="1385" spans="1:12" ht="15.75">
      <c r="A1385" s="105">
        <v>1324</v>
      </c>
      <c r="B1385" s="125"/>
      <c r="C1385" s="125"/>
      <c r="D1385" s="137" t="s">
        <v>2692</v>
      </c>
      <c r="E1385" s="205" t="s">
        <v>830</v>
      </c>
      <c r="F1385" s="112"/>
      <c r="G1385" s="112"/>
      <c r="H1385" s="112"/>
      <c r="I1385" s="7" t="s">
        <v>260</v>
      </c>
      <c r="J1385" s="41" t="s">
        <v>1110</v>
      </c>
      <c r="K1385" s="57">
        <v>30</v>
      </c>
      <c r="L1385" s="58">
        <v>30</v>
      </c>
    </row>
    <row r="1386" spans="1:12" ht="15.75">
      <c r="A1386" s="105">
        <v>1325</v>
      </c>
      <c r="B1386" s="125"/>
      <c r="C1386" s="125"/>
      <c r="D1386" s="137" t="s">
        <v>2692</v>
      </c>
      <c r="E1386" s="205" t="s">
        <v>830</v>
      </c>
      <c r="F1386" s="112"/>
      <c r="G1386" s="112"/>
      <c r="H1386" s="112"/>
      <c r="I1386" s="7" t="s">
        <v>260</v>
      </c>
      <c r="J1386" s="41" t="s">
        <v>1110</v>
      </c>
      <c r="K1386" s="57">
        <v>30</v>
      </c>
      <c r="L1386" s="58">
        <v>30</v>
      </c>
    </row>
    <row r="1387" spans="1:12" ht="15.75">
      <c r="A1387" s="105">
        <v>1326</v>
      </c>
      <c r="B1387" s="125"/>
      <c r="C1387" s="125"/>
      <c r="D1387" s="137" t="s">
        <v>2692</v>
      </c>
      <c r="E1387" s="205" t="s">
        <v>830</v>
      </c>
      <c r="F1387" s="112"/>
      <c r="G1387" s="112"/>
      <c r="H1387" s="112"/>
      <c r="I1387" s="7" t="s">
        <v>260</v>
      </c>
      <c r="J1387" s="41" t="s">
        <v>1110</v>
      </c>
      <c r="K1387" s="57">
        <v>30</v>
      </c>
      <c r="L1387" s="58">
        <v>30</v>
      </c>
    </row>
    <row r="1388" spans="1:12" ht="15.75">
      <c r="A1388" s="105">
        <v>1327</v>
      </c>
      <c r="B1388" s="125"/>
      <c r="C1388" s="125"/>
      <c r="D1388" s="126" t="s">
        <v>2692</v>
      </c>
      <c r="E1388" s="193" t="s">
        <v>830</v>
      </c>
      <c r="F1388" s="112"/>
      <c r="G1388" s="112"/>
      <c r="H1388" s="112"/>
      <c r="I1388" s="7" t="s">
        <v>260</v>
      </c>
      <c r="J1388" s="41" t="s">
        <v>1110</v>
      </c>
      <c r="K1388" s="57">
        <v>30</v>
      </c>
      <c r="L1388" s="58">
        <v>30</v>
      </c>
    </row>
    <row r="1389" spans="1:12" ht="15.75">
      <c r="A1389" s="105">
        <v>1328</v>
      </c>
      <c r="B1389" s="125"/>
      <c r="C1389" s="125"/>
      <c r="D1389" s="136" t="s">
        <v>710</v>
      </c>
      <c r="E1389" s="204" t="s">
        <v>830</v>
      </c>
      <c r="F1389" s="112"/>
      <c r="G1389" s="112"/>
      <c r="H1389" s="112"/>
      <c r="I1389" s="7" t="s">
        <v>260</v>
      </c>
      <c r="J1389" s="41" t="s">
        <v>1110</v>
      </c>
      <c r="K1389" s="57">
        <v>30</v>
      </c>
      <c r="L1389" s="58">
        <v>30</v>
      </c>
    </row>
    <row r="1390" spans="1:12" ht="15.75">
      <c r="A1390" s="105">
        <v>1329</v>
      </c>
      <c r="B1390" s="125"/>
      <c r="C1390" s="125"/>
      <c r="D1390" s="136" t="s">
        <v>710</v>
      </c>
      <c r="E1390" s="204" t="s">
        <v>830</v>
      </c>
      <c r="F1390" s="112"/>
      <c r="G1390" s="112"/>
      <c r="H1390" s="112"/>
      <c r="I1390" s="7" t="s">
        <v>260</v>
      </c>
      <c r="J1390" s="41" t="s">
        <v>1110</v>
      </c>
      <c r="K1390" s="57">
        <v>30</v>
      </c>
      <c r="L1390" s="58">
        <v>30</v>
      </c>
    </row>
    <row r="1391" spans="1:12" ht="15.75">
      <c r="A1391" s="105">
        <v>1330</v>
      </c>
      <c r="B1391" s="125"/>
      <c r="C1391" s="125"/>
      <c r="D1391" s="137" t="s">
        <v>710</v>
      </c>
      <c r="E1391" s="205" t="s">
        <v>830</v>
      </c>
      <c r="F1391" s="112"/>
      <c r="G1391" s="112"/>
      <c r="H1391" s="112"/>
      <c r="I1391" s="7" t="s">
        <v>260</v>
      </c>
      <c r="J1391" s="41" t="s">
        <v>1110</v>
      </c>
      <c r="K1391" s="57">
        <v>30</v>
      </c>
      <c r="L1391" s="58">
        <v>30</v>
      </c>
    </row>
    <row r="1392" spans="1:12" ht="15.75">
      <c r="A1392" s="105">
        <v>1331</v>
      </c>
      <c r="B1392" s="125"/>
      <c r="C1392" s="125"/>
      <c r="D1392" s="137" t="s">
        <v>710</v>
      </c>
      <c r="E1392" s="205" t="s">
        <v>830</v>
      </c>
      <c r="F1392" s="112"/>
      <c r="G1392" s="112"/>
      <c r="H1392" s="112"/>
      <c r="I1392" s="7" t="s">
        <v>260</v>
      </c>
      <c r="J1392" s="41" t="s">
        <v>1110</v>
      </c>
      <c r="K1392" s="57">
        <v>30</v>
      </c>
      <c r="L1392" s="58">
        <v>30</v>
      </c>
    </row>
    <row r="1393" spans="1:12" ht="15.75">
      <c r="A1393" s="105">
        <v>1332</v>
      </c>
      <c r="B1393" s="125"/>
      <c r="C1393" s="125"/>
      <c r="D1393" s="137" t="s">
        <v>710</v>
      </c>
      <c r="E1393" s="205" t="s">
        <v>830</v>
      </c>
      <c r="F1393" s="112"/>
      <c r="G1393" s="112"/>
      <c r="H1393" s="112"/>
      <c r="I1393" s="7" t="s">
        <v>260</v>
      </c>
      <c r="J1393" s="41" t="s">
        <v>1110</v>
      </c>
      <c r="K1393" s="57">
        <v>30</v>
      </c>
      <c r="L1393" s="58">
        <v>30</v>
      </c>
    </row>
    <row r="1394" spans="1:12" ht="15.75">
      <c r="A1394" s="105">
        <v>1333</v>
      </c>
      <c r="B1394" s="125"/>
      <c r="C1394" s="125"/>
      <c r="D1394" s="137" t="s">
        <v>2715</v>
      </c>
      <c r="E1394" s="205" t="s">
        <v>830</v>
      </c>
      <c r="F1394" s="112"/>
      <c r="G1394" s="112"/>
      <c r="H1394" s="112"/>
      <c r="I1394" s="7" t="s">
        <v>260</v>
      </c>
      <c r="J1394" s="41" t="s">
        <v>1110</v>
      </c>
      <c r="K1394" s="57">
        <v>30</v>
      </c>
      <c r="L1394" s="58">
        <v>30</v>
      </c>
    </row>
    <row r="1395" spans="1:12" ht="15.75">
      <c r="A1395" s="105">
        <v>1334</v>
      </c>
      <c r="B1395" s="125"/>
      <c r="C1395" s="125"/>
      <c r="D1395" s="137" t="s">
        <v>2715</v>
      </c>
      <c r="E1395" s="205" t="s">
        <v>830</v>
      </c>
      <c r="F1395" s="112"/>
      <c r="G1395" s="112"/>
      <c r="H1395" s="112"/>
      <c r="I1395" s="7" t="s">
        <v>260</v>
      </c>
      <c r="J1395" s="41" t="s">
        <v>1110</v>
      </c>
      <c r="K1395" s="57">
        <v>30</v>
      </c>
      <c r="L1395" s="58">
        <v>30</v>
      </c>
    </row>
    <row r="1396" spans="1:12" ht="15.75">
      <c r="A1396" s="105">
        <v>1335</v>
      </c>
      <c r="B1396" s="125"/>
      <c r="C1396" s="125"/>
      <c r="D1396" s="137" t="s">
        <v>2715</v>
      </c>
      <c r="E1396" s="205" t="s">
        <v>830</v>
      </c>
      <c r="F1396" s="112"/>
      <c r="G1396" s="112"/>
      <c r="H1396" s="112"/>
      <c r="I1396" s="7" t="s">
        <v>260</v>
      </c>
      <c r="J1396" s="41" t="s">
        <v>1110</v>
      </c>
      <c r="K1396" s="57">
        <v>30</v>
      </c>
      <c r="L1396" s="58">
        <v>30</v>
      </c>
    </row>
    <row r="1397" spans="1:12" ht="15.75">
      <c r="A1397" s="105">
        <v>1336</v>
      </c>
      <c r="B1397" s="125"/>
      <c r="C1397" s="125"/>
      <c r="D1397" s="126" t="s">
        <v>2715</v>
      </c>
      <c r="E1397" s="193" t="s">
        <v>830</v>
      </c>
      <c r="F1397" s="112"/>
      <c r="G1397" s="112"/>
      <c r="H1397" s="112"/>
      <c r="I1397" s="7" t="s">
        <v>260</v>
      </c>
      <c r="J1397" s="41" t="s">
        <v>1110</v>
      </c>
      <c r="K1397" s="57">
        <v>30</v>
      </c>
      <c r="L1397" s="58">
        <v>30</v>
      </c>
    </row>
    <row r="1398" spans="1:12" ht="15.75">
      <c r="A1398" s="105">
        <v>1337</v>
      </c>
      <c r="B1398" s="125"/>
      <c r="C1398" s="125"/>
      <c r="D1398" s="136" t="s">
        <v>2058</v>
      </c>
      <c r="E1398" s="204" t="s">
        <v>830</v>
      </c>
      <c r="F1398" s="112"/>
      <c r="G1398" s="112"/>
      <c r="H1398" s="112"/>
      <c r="I1398" s="7" t="s">
        <v>260</v>
      </c>
      <c r="J1398" s="41" t="s">
        <v>1110</v>
      </c>
      <c r="K1398" s="57">
        <v>30</v>
      </c>
      <c r="L1398" s="58">
        <v>30</v>
      </c>
    </row>
    <row r="1399" spans="1:12" ht="15.75">
      <c r="A1399" s="105">
        <v>1338</v>
      </c>
      <c r="B1399" s="125"/>
      <c r="C1399" s="125"/>
      <c r="D1399" s="137" t="s">
        <v>2058</v>
      </c>
      <c r="E1399" s="205" t="s">
        <v>830</v>
      </c>
      <c r="F1399" s="112"/>
      <c r="G1399" s="112"/>
      <c r="H1399" s="112"/>
      <c r="I1399" s="7" t="s">
        <v>260</v>
      </c>
      <c r="J1399" s="41" t="s">
        <v>1110</v>
      </c>
      <c r="K1399" s="57">
        <v>30</v>
      </c>
      <c r="L1399" s="58">
        <v>30</v>
      </c>
    </row>
    <row r="1400" spans="1:12" ht="15.75">
      <c r="A1400" s="105">
        <v>1339</v>
      </c>
      <c r="B1400" s="125"/>
      <c r="C1400" s="125"/>
      <c r="D1400" s="137" t="s">
        <v>2058</v>
      </c>
      <c r="E1400" s="205" t="s">
        <v>830</v>
      </c>
      <c r="F1400" s="112"/>
      <c r="G1400" s="112"/>
      <c r="H1400" s="112"/>
      <c r="I1400" s="7" t="s">
        <v>260</v>
      </c>
      <c r="J1400" s="41" t="s">
        <v>1110</v>
      </c>
      <c r="K1400" s="57">
        <v>30</v>
      </c>
      <c r="L1400" s="58">
        <v>30</v>
      </c>
    </row>
    <row r="1401" spans="1:12" ht="15.75">
      <c r="A1401" s="105">
        <v>1340</v>
      </c>
      <c r="B1401" s="125"/>
      <c r="C1401" s="125"/>
      <c r="D1401" s="137" t="s">
        <v>2058</v>
      </c>
      <c r="E1401" s="205" t="s">
        <v>830</v>
      </c>
      <c r="F1401" s="112"/>
      <c r="G1401" s="112"/>
      <c r="H1401" s="112"/>
      <c r="I1401" s="7" t="s">
        <v>260</v>
      </c>
      <c r="J1401" s="41" t="s">
        <v>1110</v>
      </c>
      <c r="K1401" s="57">
        <v>30</v>
      </c>
      <c r="L1401" s="58">
        <v>30</v>
      </c>
    </row>
    <row r="1402" spans="1:12" ht="15.75">
      <c r="A1402" s="105">
        <v>1341</v>
      </c>
      <c r="B1402" s="125"/>
      <c r="C1402" s="125"/>
      <c r="D1402" s="137" t="s">
        <v>2716</v>
      </c>
      <c r="E1402" s="205" t="s">
        <v>830</v>
      </c>
      <c r="F1402" s="112"/>
      <c r="G1402" s="112"/>
      <c r="H1402" s="112"/>
      <c r="I1402" s="7" t="s">
        <v>260</v>
      </c>
      <c r="J1402" s="41" t="s">
        <v>1110</v>
      </c>
      <c r="K1402" s="57">
        <v>30</v>
      </c>
      <c r="L1402" s="58">
        <v>30</v>
      </c>
    </row>
    <row r="1403" spans="1:12" ht="15.75">
      <c r="A1403" s="105">
        <v>1342</v>
      </c>
      <c r="B1403" s="125"/>
      <c r="C1403" s="125"/>
      <c r="D1403" s="137" t="s">
        <v>2716</v>
      </c>
      <c r="E1403" s="205" t="s">
        <v>830</v>
      </c>
      <c r="F1403" s="112"/>
      <c r="G1403" s="112"/>
      <c r="H1403" s="112"/>
      <c r="I1403" s="7" t="s">
        <v>260</v>
      </c>
      <c r="J1403" s="41" t="s">
        <v>1110</v>
      </c>
      <c r="K1403" s="57">
        <v>30</v>
      </c>
      <c r="L1403" s="58">
        <v>30</v>
      </c>
    </row>
    <row r="1404" spans="1:12" ht="15.75">
      <c r="A1404" s="105">
        <v>1343</v>
      </c>
      <c r="B1404" s="125"/>
      <c r="C1404" s="125"/>
      <c r="D1404" s="137" t="s">
        <v>2716</v>
      </c>
      <c r="E1404" s="205" t="s">
        <v>830</v>
      </c>
      <c r="F1404" s="112"/>
      <c r="G1404" s="112"/>
      <c r="H1404" s="112"/>
      <c r="I1404" s="7" t="s">
        <v>260</v>
      </c>
      <c r="J1404" s="41" t="s">
        <v>1110</v>
      </c>
      <c r="K1404" s="57">
        <v>30</v>
      </c>
      <c r="L1404" s="58">
        <v>30</v>
      </c>
    </row>
    <row r="1405" spans="1:12" ht="15.75">
      <c r="A1405" s="105">
        <v>1344</v>
      </c>
      <c r="B1405" s="125"/>
      <c r="C1405" s="125"/>
      <c r="D1405" s="137" t="s">
        <v>2716</v>
      </c>
      <c r="E1405" s="205" t="s">
        <v>830</v>
      </c>
      <c r="F1405" s="112"/>
      <c r="G1405" s="112"/>
      <c r="H1405" s="112"/>
      <c r="I1405" s="7" t="s">
        <v>260</v>
      </c>
      <c r="J1405" s="41" t="s">
        <v>1110</v>
      </c>
      <c r="K1405" s="57">
        <v>30</v>
      </c>
      <c r="L1405" s="58">
        <v>30</v>
      </c>
    </row>
    <row r="1406" spans="1:12" ht="15.75">
      <c r="A1406" s="105">
        <v>1345</v>
      </c>
      <c r="B1406" s="125"/>
      <c r="C1406" s="125"/>
      <c r="D1406" s="126" t="s">
        <v>2716</v>
      </c>
      <c r="E1406" s="193" t="s">
        <v>830</v>
      </c>
      <c r="F1406" s="112"/>
      <c r="G1406" s="112"/>
      <c r="H1406" s="112"/>
      <c r="I1406" s="7" t="s">
        <v>260</v>
      </c>
      <c r="J1406" s="41" t="s">
        <v>1110</v>
      </c>
      <c r="K1406" s="57">
        <v>30</v>
      </c>
      <c r="L1406" s="58">
        <v>30</v>
      </c>
    </row>
    <row r="1407" spans="1:12" ht="15.75">
      <c r="A1407" s="105">
        <v>1346</v>
      </c>
      <c r="B1407" s="125"/>
      <c r="C1407" s="125"/>
      <c r="D1407" s="139" t="s">
        <v>2059</v>
      </c>
      <c r="E1407" s="206" t="s">
        <v>830</v>
      </c>
      <c r="F1407" s="112"/>
      <c r="G1407" s="112"/>
      <c r="H1407" s="112"/>
      <c r="I1407" s="7" t="s">
        <v>260</v>
      </c>
      <c r="J1407" s="41" t="s">
        <v>1110</v>
      </c>
      <c r="K1407" s="57">
        <v>30</v>
      </c>
      <c r="L1407" s="58">
        <v>30</v>
      </c>
    </row>
    <row r="1408" spans="1:12" ht="15.75">
      <c r="A1408" s="105">
        <v>1347</v>
      </c>
      <c r="B1408" s="125"/>
      <c r="C1408" s="125"/>
      <c r="D1408" s="140" t="s">
        <v>2059</v>
      </c>
      <c r="E1408" s="207" t="s">
        <v>830</v>
      </c>
      <c r="F1408" s="112"/>
      <c r="G1408" s="112"/>
      <c r="H1408" s="112"/>
      <c r="I1408" s="7" t="s">
        <v>260</v>
      </c>
      <c r="J1408" s="41" t="s">
        <v>1110</v>
      </c>
      <c r="K1408" s="57">
        <v>30</v>
      </c>
      <c r="L1408" s="58">
        <v>30</v>
      </c>
    </row>
    <row r="1409" spans="1:12" ht="15.75">
      <c r="A1409" s="105">
        <v>1348</v>
      </c>
      <c r="B1409" s="125"/>
      <c r="C1409" s="125"/>
      <c r="D1409" s="140" t="s">
        <v>2059</v>
      </c>
      <c r="E1409" s="207" t="s">
        <v>830</v>
      </c>
      <c r="F1409" s="112"/>
      <c r="G1409" s="112"/>
      <c r="H1409" s="112"/>
      <c r="I1409" s="7" t="s">
        <v>260</v>
      </c>
      <c r="J1409" s="41" t="s">
        <v>1110</v>
      </c>
      <c r="K1409" s="57">
        <v>30</v>
      </c>
      <c r="L1409" s="58">
        <v>30</v>
      </c>
    </row>
    <row r="1410" spans="1:12" ht="15.75">
      <c r="A1410" s="105">
        <v>1349</v>
      </c>
      <c r="B1410" s="125"/>
      <c r="C1410" s="125"/>
      <c r="D1410" s="140" t="s">
        <v>2059</v>
      </c>
      <c r="E1410" s="207" t="s">
        <v>830</v>
      </c>
      <c r="F1410" s="112"/>
      <c r="G1410" s="112"/>
      <c r="H1410" s="112"/>
      <c r="I1410" s="7" t="s">
        <v>260</v>
      </c>
      <c r="J1410" s="41" t="s">
        <v>1110</v>
      </c>
      <c r="K1410" s="57">
        <v>30</v>
      </c>
      <c r="L1410" s="58">
        <v>30</v>
      </c>
    </row>
    <row r="1411" spans="1:12" ht="15.75">
      <c r="A1411" s="105">
        <v>1350</v>
      </c>
      <c r="B1411" s="125"/>
      <c r="C1411" s="125"/>
      <c r="D1411" s="140" t="s">
        <v>2717</v>
      </c>
      <c r="E1411" s="207" t="s">
        <v>830</v>
      </c>
      <c r="F1411" s="112"/>
      <c r="G1411" s="112"/>
      <c r="H1411" s="112"/>
      <c r="I1411" s="7" t="s">
        <v>260</v>
      </c>
      <c r="J1411" s="41" t="s">
        <v>1110</v>
      </c>
      <c r="K1411" s="57">
        <v>30</v>
      </c>
      <c r="L1411" s="58">
        <v>30</v>
      </c>
    </row>
    <row r="1412" spans="1:12" ht="15.75">
      <c r="A1412" s="105">
        <v>1351</v>
      </c>
      <c r="B1412" s="125"/>
      <c r="C1412" s="125"/>
      <c r="D1412" s="140" t="s">
        <v>2717</v>
      </c>
      <c r="E1412" s="207" t="s">
        <v>830</v>
      </c>
      <c r="F1412" s="112"/>
      <c r="G1412" s="112"/>
      <c r="H1412" s="112"/>
      <c r="I1412" s="7" t="s">
        <v>260</v>
      </c>
      <c r="J1412" s="41" t="s">
        <v>1110</v>
      </c>
      <c r="K1412" s="57">
        <v>30</v>
      </c>
      <c r="L1412" s="58">
        <v>30</v>
      </c>
    </row>
    <row r="1413" spans="1:12" ht="15.75">
      <c r="A1413" s="105">
        <v>1352</v>
      </c>
      <c r="B1413" s="125"/>
      <c r="C1413" s="125"/>
      <c r="D1413" s="140" t="s">
        <v>2717</v>
      </c>
      <c r="E1413" s="207" t="s">
        <v>830</v>
      </c>
      <c r="F1413" s="112"/>
      <c r="G1413" s="112"/>
      <c r="H1413" s="112"/>
      <c r="I1413" s="7" t="s">
        <v>260</v>
      </c>
      <c r="J1413" s="41" t="s">
        <v>1110</v>
      </c>
      <c r="K1413" s="57">
        <v>30</v>
      </c>
      <c r="L1413" s="58">
        <v>30</v>
      </c>
    </row>
    <row r="1414" spans="1:12" ht="15.75">
      <c r="A1414" s="105">
        <v>1353</v>
      </c>
      <c r="B1414" s="125"/>
      <c r="C1414" s="125"/>
      <c r="D1414" s="140" t="s">
        <v>2717</v>
      </c>
      <c r="E1414" s="207" t="s">
        <v>830</v>
      </c>
      <c r="F1414" s="112"/>
      <c r="G1414" s="112"/>
      <c r="H1414" s="112"/>
      <c r="I1414" s="7" t="s">
        <v>260</v>
      </c>
      <c r="J1414" s="41" t="s">
        <v>1110</v>
      </c>
      <c r="K1414" s="57">
        <v>30</v>
      </c>
      <c r="L1414" s="58">
        <v>30</v>
      </c>
    </row>
    <row r="1415" spans="1:12" ht="15.75">
      <c r="A1415" s="105">
        <v>1354</v>
      </c>
      <c r="B1415" s="125"/>
      <c r="C1415" s="125"/>
      <c r="D1415" s="141" t="s">
        <v>2717</v>
      </c>
      <c r="E1415" s="208" t="s">
        <v>830</v>
      </c>
      <c r="F1415" s="112"/>
      <c r="G1415" s="112"/>
      <c r="H1415" s="112"/>
      <c r="I1415" s="7" t="s">
        <v>260</v>
      </c>
      <c r="J1415" s="41" t="s">
        <v>1110</v>
      </c>
      <c r="K1415" s="57">
        <v>30</v>
      </c>
      <c r="L1415" s="58">
        <v>30</v>
      </c>
    </row>
    <row r="1416" spans="1:12" ht="15.75">
      <c r="A1416" s="105">
        <v>1355</v>
      </c>
      <c r="B1416" s="125"/>
      <c r="C1416" s="125"/>
      <c r="D1416" s="142" t="s">
        <v>2083</v>
      </c>
      <c r="E1416" s="209" t="s">
        <v>830</v>
      </c>
      <c r="F1416" s="112"/>
      <c r="G1416" s="112"/>
      <c r="H1416" s="112"/>
      <c r="I1416" s="7" t="s">
        <v>226</v>
      </c>
      <c r="J1416" s="41" t="s">
        <v>1110</v>
      </c>
      <c r="K1416" s="57">
        <v>30</v>
      </c>
      <c r="L1416" s="58">
        <v>30</v>
      </c>
    </row>
    <row r="1417" spans="1:12" ht="15.75">
      <c r="A1417" s="105">
        <v>1356</v>
      </c>
      <c r="B1417" s="125"/>
      <c r="C1417" s="125"/>
      <c r="D1417" s="142" t="s">
        <v>2707</v>
      </c>
      <c r="E1417" s="209" t="s">
        <v>830</v>
      </c>
      <c r="F1417" s="112"/>
      <c r="G1417" s="112"/>
      <c r="H1417" s="112"/>
      <c r="I1417" s="7" t="s">
        <v>226</v>
      </c>
      <c r="J1417" s="41" t="s">
        <v>1110</v>
      </c>
      <c r="K1417" s="57">
        <v>30</v>
      </c>
      <c r="L1417" s="58">
        <v>30</v>
      </c>
    </row>
    <row r="1418" spans="1:12" ht="15.75">
      <c r="A1418" s="105">
        <v>1357</v>
      </c>
      <c r="B1418" s="125"/>
      <c r="C1418" s="125"/>
      <c r="D1418" s="143" t="s">
        <v>2707</v>
      </c>
      <c r="E1418" s="210" t="s">
        <v>830</v>
      </c>
      <c r="F1418" s="112"/>
      <c r="G1418" s="112"/>
      <c r="H1418" s="112"/>
      <c r="I1418" s="7" t="s">
        <v>226</v>
      </c>
      <c r="J1418" s="41" t="s">
        <v>1110</v>
      </c>
      <c r="K1418" s="57">
        <v>30</v>
      </c>
      <c r="L1418" s="58">
        <v>30</v>
      </c>
    </row>
    <row r="1419" spans="1:12" ht="15.75">
      <c r="A1419" s="105">
        <v>1358</v>
      </c>
      <c r="B1419" s="125"/>
      <c r="C1419" s="125"/>
      <c r="D1419" s="143" t="s">
        <v>2707</v>
      </c>
      <c r="E1419" s="210" t="s">
        <v>830</v>
      </c>
      <c r="F1419" s="112"/>
      <c r="G1419" s="112"/>
      <c r="H1419" s="112"/>
      <c r="I1419" s="7" t="s">
        <v>226</v>
      </c>
      <c r="J1419" s="41" t="s">
        <v>1110</v>
      </c>
      <c r="K1419" s="57">
        <v>30</v>
      </c>
      <c r="L1419" s="58">
        <v>30</v>
      </c>
    </row>
    <row r="1420" spans="1:12" ht="15.75">
      <c r="A1420" s="105">
        <v>1359</v>
      </c>
      <c r="B1420" s="125"/>
      <c r="C1420" s="125"/>
      <c r="D1420" s="143" t="s">
        <v>2707</v>
      </c>
      <c r="E1420" s="210" t="s">
        <v>830</v>
      </c>
      <c r="F1420" s="112"/>
      <c r="G1420" s="112"/>
      <c r="H1420" s="112"/>
      <c r="I1420" s="7" t="s">
        <v>226</v>
      </c>
      <c r="J1420" s="41" t="s">
        <v>1110</v>
      </c>
      <c r="K1420" s="57">
        <v>30</v>
      </c>
      <c r="L1420" s="58">
        <v>30</v>
      </c>
    </row>
    <row r="1421" spans="1:12" ht="15.75">
      <c r="A1421" s="105">
        <v>1360</v>
      </c>
      <c r="B1421" s="125"/>
      <c r="C1421" s="125"/>
      <c r="D1421" s="144" t="s">
        <v>2707</v>
      </c>
      <c r="E1421" s="211" t="s">
        <v>830</v>
      </c>
      <c r="F1421" s="112"/>
      <c r="G1421" s="112"/>
      <c r="H1421" s="112"/>
      <c r="I1421" s="7" t="s">
        <v>226</v>
      </c>
      <c r="J1421" s="41" t="s">
        <v>1110</v>
      </c>
      <c r="K1421" s="57">
        <v>30</v>
      </c>
      <c r="L1421" s="58">
        <v>30</v>
      </c>
    </row>
    <row r="1422" spans="1:12" ht="15.75">
      <c r="A1422" s="105">
        <v>1361</v>
      </c>
      <c r="B1422" s="125"/>
      <c r="C1422" s="125"/>
      <c r="D1422" s="142" t="s">
        <v>2084</v>
      </c>
      <c r="E1422" s="209" t="s">
        <v>830</v>
      </c>
      <c r="F1422" s="112"/>
      <c r="G1422" s="112"/>
      <c r="H1422" s="112"/>
      <c r="I1422" s="7" t="s">
        <v>226</v>
      </c>
      <c r="J1422" s="41" t="s">
        <v>1110</v>
      </c>
      <c r="K1422" s="57">
        <v>30</v>
      </c>
      <c r="L1422" s="58">
        <v>30</v>
      </c>
    </row>
    <row r="1423" spans="1:12" ht="15.75">
      <c r="A1423" s="105">
        <v>1362</v>
      </c>
      <c r="B1423" s="125"/>
      <c r="C1423" s="125"/>
      <c r="D1423" s="142" t="s">
        <v>2708</v>
      </c>
      <c r="E1423" s="209" t="s">
        <v>830</v>
      </c>
      <c r="F1423" s="112"/>
      <c r="G1423" s="112"/>
      <c r="H1423" s="112"/>
      <c r="I1423" s="7" t="s">
        <v>226</v>
      </c>
      <c r="J1423" s="41" t="s">
        <v>1110</v>
      </c>
      <c r="K1423" s="57">
        <v>30</v>
      </c>
      <c r="L1423" s="58">
        <v>30</v>
      </c>
    </row>
    <row r="1424" spans="1:12" ht="15.75">
      <c r="A1424" s="105">
        <v>1363</v>
      </c>
      <c r="B1424" s="125"/>
      <c r="C1424" s="125"/>
      <c r="D1424" s="143" t="s">
        <v>2708</v>
      </c>
      <c r="E1424" s="210" t="s">
        <v>830</v>
      </c>
      <c r="F1424" s="112"/>
      <c r="G1424" s="112"/>
      <c r="H1424" s="112"/>
      <c r="I1424" s="7" t="s">
        <v>226</v>
      </c>
      <c r="J1424" s="41" t="s">
        <v>1110</v>
      </c>
      <c r="K1424" s="57">
        <v>30</v>
      </c>
      <c r="L1424" s="58">
        <v>30</v>
      </c>
    </row>
    <row r="1425" spans="1:12" ht="15.75">
      <c r="A1425" s="105">
        <v>1364</v>
      </c>
      <c r="B1425" s="125"/>
      <c r="C1425" s="125"/>
      <c r="D1425" s="143" t="s">
        <v>2708</v>
      </c>
      <c r="E1425" s="210" t="s">
        <v>830</v>
      </c>
      <c r="F1425" s="112"/>
      <c r="G1425" s="112"/>
      <c r="H1425" s="112"/>
      <c r="I1425" s="7" t="s">
        <v>226</v>
      </c>
      <c r="J1425" s="41" t="s">
        <v>1110</v>
      </c>
      <c r="K1425" s="57">
        <v>30</v>
      </c>
      <c r="L1425" s="58">
        <v>30</v>
      </c>
    </row>
    <row r="1426" spans="1:12" ht="15.75">
      <c r="A1426" s="105">
        <v>1365</v>
      </c>
      <c r="B1426" s="125"/>
      <c r="C1426" s="125"/>
      <c r="D1426" s="144" t="s">
        <v>2708</v>
      </c>
      <c r="E1426" s="211" t="s">
        <v>830</v>
      </c>
      <c r="F1426" s="112"/>
      <c r="G1426" s="112"/>
      <c r="H1426" s="112"/>
      <c r="I1426" s="7" t="s">
        <v>226</v>
      </c>
      <c r="J1426" s="41" t="s">
        <v>1110</v>
      </c>
      <c r="K1426" s="57">
        <v>30</v>
      </c>
      <c r="L1426" s="58">
        <v>30</v>
      </c>
    </row>
    <row r="1427" spans="1:12" ht="15.75">
      <c r="A1427" s="105">
        <v>1366</v>
      </c>
      <c r="B1427" s="125"/>
      <c r="C1427" s="125"/>
      <c r="D1427" s="142" t="s">
        <v>2085</v>
      </c>
      <c r="E1427" s="209" t="s">
        <v>830</v>
      </c>
      <c r="F1427" s="112"/>
      <c r="G1427" s="112"/>
      <c r="H1427" s="112"/>
      <c r="I1427" s="7" t="s">
        <v>226</v>
      </c>
      <c r="J1427" s="41" t="s">
        <v>1110</v>
      </c>
      <c r="K1427" s="57">
        <v>30</v>
      </c>
      <c r="L1427" s="58">
        <v>30</v>
      </c>
    </row>
    <row r="1428" spans="1:12" ht="15.75">
      <c r="A1428" s="105">
        <v>1367</v>
      </c>
      <c r="B1428" s="125"/>
      <c r="C1428" s="125"/>
      <c r="D1428" s="142" t="s">
        <v>2709</v>
      </c>
      <c r="E1428" s="209" t="s">
        <v>830</v>
      </c>
      <c r="F1428" s="112"/>
      <c r="G1428" s="112"/>
      <c r="H1428" s="112"/>
      <c r="I1428" s="7" t="s">
        <v>226</v>
      </c>
      <c r="J1428" s="41" t="s">
        <v>1110</v>
      </c>
      <c r="K1428" s="57">
        <v>30</v>
      </c>
      <c r="L1428" s="58">
        <v>30</v>
      </c>
    </row>
    <row r="1429" spans="1:12" ht="15.75">
      <c r="A1429" s="105">
        <v>1368</v>
      </c>
      <c r="B1429" s="125"/>
      <c r="C1429" s="125"/>
      <c r="D1429" s="143" t="s">
        <v>2709</v>
      </c>
      <c r="E1429" s="210" t="s">
        <v>830</v>
      </c>
      <c r="F1429" s="112"/>
      <c r="G1429" s="112"/>
      <c r="H1429" s="112"/>
      <c r="I1429" s="7" t="s">
        <v>226</v>
      </c>
      <c r="J1429" s="41" t="s">
        <v>1110</v>
      </c>
      <c r="K1429" s="57">
        <v>30</v>
      </c>
      <c r="L1429" s="58">
        <v>30</v>
      </c>
    </row>
    <row r="1430" spans="1:12" ht="15.75">
      <c r="A1430" s="105">
        <v>1369</v>
      </c>
      <c r="B1430" s="125"/>
      <c r="C1430" s="125"/>
      <c r="D1430" s="143" t="s">
        <v>2709</v>
      </c>
      <c r="E1430" s="210" t="s">
        <v>830</v>
      </c>
      <c r="F1430" s="112"/>
      <c r="G1430" s="112"/>
      <c r="H1430" s="112"/>
      <c r="I1430" s="7" t="s">
        <v>226</v>
      </c>
      <c r="J1430" s="41" t="s">
        <v>1110</v>
      </c>
      <c r="K1430" s="57">
        <v>30</v>
      </c>
      <c r="L1430" s="58">
        <v>30</v>
      </c>
    </row>
    <row r="1431" spans="1:12" ht="15.75">
      <c r="A1431" s="105">
        <v>1370</v>
      </c>
      <c r="B1431" s="125"/>
      <c r="C1431" s="125"/>
      <c r="D1431" s="144" t="s">
        <v>2709</v>
      </c>
      <c r="E1431" s="211" t="s">
        <v>830</v>
      </c>
      <c r="F1431" s="112"/>
      <c r="G1431" s="112"/>
      <c r="H1431" s="112"/>
      <c r="I1431" s="7" t="s">
        <v>226</v>
      </c>
      <c r="J1431" s="41" t="s">
        <v>1110</v>
      </c>
      <c r="K1431" s="57">
        <v>30</v>
      </c>
      <c r="L1431" s="58">
        <v>30</v>
      </c>
    </row>
    <row r="1432" spans="1:12" ht="15.75">
      <c r="A1432" s="105">
        <v>1371</v>
      </c>
      <c r="B1432" s="125"/>
      <c r="C1432" s="125"/>
      <c r="D1432" s="136" t="s">
        <v>2095</v>
      </c>
      <c r="E1432" s="204" t="s">
        <v>830</v>
      </c>
      <c r="F1432" s="112"/>
      <c r="G1432" s="112"/>
      <c r="H1432" s="112"/>
      <c r="I1432" s="7" t="s">
        <v>226</v>
      </c>
      <c r="J1432" s="41" t="s">
        <v>1110</v>
      </c>
      <c r="K1432" s="57">
        <v>30</v>
      </c>
      <c r="L1432" s="58">
        <v>30</v>
      </c>
    </row>
    <row r="1433" spans="1:12" ht="15.75">
      <c r="A1433" s="105">
        <v>1372</v>
      </c>
      <c r="B1433" s="125"/>
      <c r="C1433" s="125"/>
      <c r="D1433" s="136" t="s">
        <v>2546</v>
      </c>
      <c r="E1433" s="204" t="s">
        <v>830</v>
      </c>
      <c r="F1433" s="112"/>
      <c r="G1433" s="112"/>
      <c r="H1433" s="112"/>
      <c r="I1433" s="7" t="s">
        <v>226</v>
      </c>
      <c r="J1433" s="41" t="s">
        <v>1110</v>
      </c>
      <c r="K1433" s="57">
        <v>30</v>
      </c>
      <c r="L1433" s="58">
        <v>30</v>
      </c>
    </row>
    <row r="1434" spans="1:12" ht="15.75">
      <c r="A1434" s="105">
        <v>1373</v>
      </c>
      <c r="B1434" s="125"/>
      <c r="C1434" s="125"/>
      <c r="D1434" s="137" t="s">
        <v>2546</v>
      </c>
      <c r="E1434" s="205" t="s">
        <v>830</v>
      </c>
      <c r="F1434" s="112"/>
      <c r="G1434" s="112"/>
      <c r="H1434" s="112"/>
      <c r="I1434" s="7" t="s">
        <v>226</v>
      </c>
      <c r="J1434" s="41" t="s">
        <v>1110</v>
      </c>
      <c r="K1434" s="57">
        <v>30</v>
      </c>
      <c r="L1434" s="58">
        <v>30</v>
      </c>
    </row>
    <row r="1435" spans="1:12" ht="15.75">
      <c r="A1435" s="105">
        <v>1374</v>
      </c>
      <c r="B1435" s="125"/>
      <c r="C1435" s="125"/>
      <c r="D1435" s="137" t="s">
        <v>2546</v>
      </c>
      <c r="E1435" s="205" t="s">
        <v>830</v>
      </c>
      <c r="F1435" s="112"/>
      <c r="G1435" s="112"/>
      <c r="H1435" s="112"/>
      <c r="I1435" s="7" t="s">
        <v>226</v>
      </c>
      <c r="J1435" s="41" t="s">
        <v>1110</v>
      </c>
      <c r="K1435" s="57">
        <v>30</v>
      </c>
      <c r="L1435" s="58">
        <v>30</v>
      </c>
    </row>
    <row r="1436" spans="1:12" ht="15.75">
      <c r="A1436" s="105">
        <v>1375</v>
      </c>
      <c r="B1436" s="125"/>
      <c r="C1436" s="125"/>
      <c r="D1436" s="126" t="s">
        <v>2546</v>
      </c>
      <c r="E1436" s="193" t="s">
        <v>830</v>
      </c>
      <c r="F1436" s="112"/>
      <c r="G1436" s="112"/>
      <c r="H1436" s="112"/>
      <c r="I1436" s="7" t="s">
        <v>226</v>
      </c>
      <c r="J1436" s="41" t="s">
        <v>1110</v>
      </c>
      <c r="K1436" s="57">
        <v>30</v>
      </c>
      <c r="L1436" s="58">
        <v>30</v>
      </c>
    </row>
    <row r="1437" spans="1:12" ht="15.75">
      <c r="A1437" s="105">
        <v>1376</v>
      </c>
      <c r="B1437" s="125"/>
      <c r="C1437" s="125"/>
      <c r="D1437" s="136" t="s">
        <v>1740</v>
      </c>
      <c r="E1437" s="204" t="s">
        <v>830</v>
      </c>
      <c r="F1437" s="112"/>
      <c r="G1437" s="112"/>
      <c r="H1437" s="112"/>
      <c r="I1437" s="8" t="s">
        <v>317</v>
      </c>
      <c r="J1437" s="41" t="s">
        <v>1110</v>
      </c>
      <c r="K1437" s="57">
        <v>30</v>
      </c>
      <c r="L1437" s="58">
        <v>30</v>
      </c>
    </row>
    <row r="1438" spans="1:12" ht="15.75">
      <c r="A1438" s="105">
        <v>1377</v>
      </c>
      <c r="B1438" s="125"/>
      <c r="C1438" s="125"/>
      <c r="D1438" s="136" t="s">
        <v>1740</v>
      </c>
      <c r="E1438" s="204" t="s">
        <v>830</v>
      </c>
      <c r="F1438" s="112"/>
      <c r="G1438" s="112"/>
      <c r="H1438" s="112"/>
      <c r="I1438" s="8" t="s">
        <v>317</v>
      </c>
      <c r="J1438" s="41" t="s">
        <v>1110</v>
      </c>
      <c r="K1438" s="57">
        <v>30</v>
      </c>
      <c r="L1438" s="58">
        <v>30</v>
      </c>
    </row>
    <row r="1439" spans="1:12" ht="15.75">
      <c r="A1439" s="105">
        <v>1378</v>
      </c>
      <c r="B1439" s="125"/>
      <c r="C1439" s="125"/>
      <c r="D1439" s="137" t="s">
        <v>1740</v>
      </c>
      <c r="E1439" s="205" t="s">
        <v>830</v>
      </c>
      <c r="F1439" s="112"/>
      <c r="G1439" s="112"/>
      <c r="H1439" s="112"/>
      <c r="I1439" s="8" t="s">
        <v>317</v>
      </c>
      <c r="J1439" s="41" t="s">
        <v>1110</v>
      </c>
      <c r="K1439" s="57">
        <v>30</v>
      </c>
      <c r="L1439" s="58">
        <v>30</v>
      </c>
    </row>
    <row r="1440" spans="1:12" ht="15.75">
      <c r="A1440" s="105">
        <v>1379</v>
      </c>
      <c r="B1440" s="125"/>
      <c r="C1440" s="125"/>
      <c r="D1440" s="137" t="s">
        <v>1740</v>
      </c>
      <c r="E1440" s="205" t="s">
        <v>830</v>
      </c>
      <c r="F1440" s="112"/>
      <c r="G1440" s="112"/>
      <c r="H1440" s="112"/>
      <c r="I1440" s="8" t="s">
        <v>317</v>
      </c>
      <c r="J1440" s="41" t="s">
        <v>1110</v>
      </c>
      <c r="K1440" s="57">
        <v>30</v>
      </c>
      <c r="L1440" s="58">
        <v>30</v>
      </c>
    </row>
    <row r="1441" spans="1:12" ht="15.75">
      <c r="A1441" s="105">
        <v>1380</v>
      </c>
      <c r="B1441" s="125"/>
      <c r="C1441" s="125"/>
      <c r="D1441" s="137" t="s">
        <v>2718</v>
      </c>
      <c r="E1441" s="205" t="s">
        <v>830</v>
      </c>
      <c r="F1441" s="112"/>
      <c r="G1441" s="112"/>
      <c r="H1441" s="112"/>
      <c r="I1441" s="8" t="s">
        <v>317</v>
      </c>
      <c r="J1441" s="41" t="s">
        <v>1110</v>
      </c>
      <c r="K1441" s="57">
        <v>30</v>
      </c>
      <c r="L1441" s="58">
        <v>30</v>
      </c>
    </row>
    <row r="1442" spans="1:12" ht="15.75">
      <c r="A1442" s="105">
        <v>1381</v>
      </c>
      <c r="B1442" s="125"/>
      <c r="C1442" s="125"/>
      <c r="D1442" s="137" t="s">
        <v>2718</v>
      </c>
      <c r="E1442" s="205" t="s">
        <v>830</v>
      </c>
      <c r="F1442" s="112"/>
      <c r="G1442" s="112"/>
      <c r="H1442" s="112"/>
      <c r="I1442" s="8" t="s">
        <v>317</v>
      </c>
      <c r="J1442" s="41" t="s">
        <v>1110</v>
      </c>
      <c r="K1442" s="57">
        <v>30</v>
      </c>
      <c r="L1442" s="58">
        <v>30</v>
      </c>
    </row>
    <row r="1443" spans="1:12" ht="15.75">
      <c r="A1443" s="105">
        <v>1382</v>
      </c>
      <c r="B1443" s="125"/>
      <c r="C1443" s="125"/>
      <c r="D1443" s="137" t="s">
        <v>2718</v>
      </c>
      <c r="E1443" s="205" t="s">
        <v>830</v>
      </c>
      <c r="F1443" s="112"/>
      <c r="G1443" s="112"/>
      <c r="H1443" s="112"/>
      <c r="I1443" s="8" t="s">
        <v>317</v>
      </c>
      <c r="J1443" s="41" t="s">
        <v>1110</v>
      </c>
      <c r="K1443" s="57">
        <v>30</v>
      </c>
      <c r="L1443" s="58">
        <v>30</v>
      </c>
    </row>
    <row r="1444" spans="1:12" ht="15.75">
      <c r="A1444" s="105">
        <v>1383</v>
      </c>
      <c r="B1444" s="125"/>
      <c r="C1444" s="125"/>
      <c r="D1444" s="137" t="s">
        <v>2654</v>
      </c>
      <c r="E1444" s="205" t="s">
        <v>830</v>
      </c>
      <c r="F1444" s="112"/>
      <c r="G1444" s="112"/>
      <c r="H1444" s="112"/>
      <c r="I1444" s="8" t="s">
        <v>317</v>
      </c>
      <c r="J1444" s="41" t="s">
        <v>1110</v>
      </c>
      <c r="K1444" s="57">
        <v>30</v>
      </c>
      <c r="L1444" s="58">
        <v>30</v>
      </c>
    </row>
    <row r="1445" spans="1:12" ht="15.75">
      <c r="A1445" s="105">
        <v>1384</v>
      </c>
      <c r="B1445" s="125"/>
      <c r="C1445" s="125"/>
      <c r="D1445" s="137" t="s">
        <v>2654</v>
      </c>
      <c r="E1445" s="205" t="s">
        <v>830</v>
      </c>
      <c r="F1445" s="112"/>
      <c r="G1445" s="112"/>
      <c r="H1445" s="112"/>
      <c r="I1445" s="8" t="s">
        <v>317</v>
      </c>
      <c r="J1445" s="41" t="s">
        <v>1110</v>
      </c>
      <c r="K1445" s="57">
        <v>30</v>
      </c>
      <c r="L1445" s="58">
        <v>30</v>
      </c>
    </row>
    <row r="1446" spans="1:12" ht="15.75">
      <c r="A1446" s="105">
        <v>1385</v>
      </c>
      <c r="B1446" s="125"/>
      <c r="C1446" s="125"/>
      <c r="D1446" s="137" t="s">
        <v>2719</v>
      </c>
      <c r="E1446" s="205" t="s">
        <v>830</v>
      </c>
      <c r="F1446" s="112"/>
      <c r="G1446" s="112"/>
      <c r="H1446" s="112"/>
      <c r="I1446" s="8" t="s">
        <v>317</v>
      </c>
      <c r="J1446" s="41" t="s">
        <v>1110</v>
      </c>
      <c r="K1446" s="57">
        <v>30</v>
      </c>
      <c r="L1446" s="58">
        <v>30</v>
      </c>
    </row>
    <row r="1447" spans="1:12" ht="15.75">
      <c r="A1447" s="105">
        <v>1386</v>
      </c>
      <c r="B1447" s="125"/>
      <c r="C1447" s="125"/>
      <c r="D1447" s="126" t="s">
        <v>2719</v>
      </c>
      <c r="E1447" s="193" t="s">
        <v>830</v>
      </c>
      <c r="F1447" s="112"/>
      <c r="G1447" s="112"/>
      <c r="H1447" s="112"/>
      <c r="I1447" s="8" t="s">
        <v>317</v>
      </c>
      <c r="J1447" s="41" t="s">
        <v>1110</v>
      </c>
      <c r="K1447" s="57">
        <v>30</v>
      </c>
      <c r="L1447" s="58">
        <v>30</v>
      </c>
    </row>
    <row r="1448" spans="1:12" ht="15.75">
      <c r="A1448" s="105">
        <v>1387</v>
      </c>
      <c r="B1448" s="125"/>
      <c r="C1448" s="125"/>
      <c r="D1448" s="136" t="s">
        <v>1741</v>
      </c>
      <c r="E1448" s="204" t="s">
        <v>830</v>
      </c>
      <c r="F1448" s="112"/>
      <c r="G1448" s="112"/>
      <c r="H1448" s="112"/>
      <c r="I1448" s="8" t="s">
        <v>317</v>
      </c>
      <c r="J1448" s="41" t="s">
        <v>1110</v>
      </c>
      <c r="K1448" s="57">
        <v>30</v>
      </c>
      <c r="L1448" s="58">
        <v>30</v>
      </c>
    </row>
    <row r="1449" spans="1:12" ht="15.75">
      <c r="A1449" s="105">
        <v>1388</v>
      </c>
      <c r="B1449" s="125"/>
      <c r="C1449" s="125"/>
      <c r="D1449" s="136" t="s">
        <v>1741</v>
      </c>
      <c r="E1449" s="204" t="s">
        <v>830</v>
      </c>
      <c r="F1449" s="112"/>
      <c r="G1449" s="112"/>
      <c r="H1449" s="112"/>
      <c r="I1449" s="8" t="s">
        <v>317</v>
      </c>
      <c r="J1449" s="41" t="s">
        <v>1110</v>
      </c>
      <c r="K1449" s="57">
        <v>30</v>
      </c>
      <c r="L1449" s="58">
        <v>30</v>
      </c>
    </row>
    <row r="1450" spans="1:12" ht="15.75">
      <c r="A1450" s="105">
        <v>1389</v>
      </c>
      <c r="B1450" s="125"/>
      <c r="C1450" s="125"/>
      <c r="D1450" s="137" t="s">
        <v>1741</v>
      </c>
      <c r="E1450" s="205" t="s">
        <v>830</v>
      </c>
      <c r="F1450" s="112"/>
      <c r="G1450" s="112"/>
      <c r="H1450" s="112"/>
      <c r="I1450" s="8" t="s">
        <v>317</v>
      </c>
      <c r="J1450" s="41" t="s">
        <v>1110</v>
      </c>
      <c r="K1450" s="57">
        <v>30</v>
      </c>
      <c r="L1450" s="58">
        <v>30</v>
      </c>
    </row>
    <row r="1451" spans="1:12" ht="15.75">
      <c r="A1451" s="105">
        <v>1390</v>
      </c>
      <c r="B1451" s="125"/>
      <c r="C1451" s="125"/>
      <c r="D1451" s="137" t="s">
        <v>1741</v>
      </c>
      <c r="E1451" s="205" t="s">
        <v>830</v>
      </c>
      <c r="F1451" s="112"/>
      <c r="G1451" s="112"/>
      <c r="H1451" s="112"/>
      <c r="I1451" s="8" t="s">
        <v>317</v>
      </c>
      <c r="J1451" s="41" t="s">
        <v>1110</v>
      </c>
      <c r="K1451" s="57">
        <v>30</v>
      </c>
      <c r="L1451" s="58">
        <v>30</v>
      </c>
    </row>
    <row r="1452" spans="1:12" ht="15.75">
      <c r="A1452" s="105">
        <v>1391</v>
      </c>
      <c r="B1452" s="125"/>
      <c r="C1452" s="125"/>
      <c r="D1452" s="137" t="s">
        <v>2720</v>
      </c>
      <c r="E1452" s="205" t="s">
        <v>830</v>
      </c>
      <c r="F1452" s="112"/>
      <c r="G1452" s="112"/>
      <c r="H1452" s="112"/>
      <c r="I1452" s="8" t="s">
        <v>317</v>
      </c>
      <c r="J1452" s="41" t="s">
        <v>1110</v>
      </c>
      <c r="K1452" s="57">
        <v>30</v>
      </c>
      <c r="L1452" s="58">
        <v>30</v>
      </c>
    </row>
    <row r="1453" spans="1:12" ht="15.75">
      <c r="A1453" s="105">
        <v>1392</v>
      </c>
      <c r="B1453" s="125"/>
      <c r="C1453" s="125"/>
      <c r="D1453" s="137" t="s">
        <v>2720</v>
      </c>
      <c r="E1453" s="205" t="s">
        <v>830</v>
      </c>
      <c r="F1453" s="112"/>
      <c r="G1453" s="112"/>
      <c r="H1453" s="112"/>
      <c r="I1453" s="8" t="s">
        <v>317</v>
      </c>
      <c r="J1453" s="41" t="s">
        <v>1110</v>
      </c>
      <c r="K1453" s="57">
        <v>30</v>
      </c>
      <c r="L1453" s="58">
        <v>30</v>
      </c>
    </row>
    <row r="1454" spans="1:12" ht="15.75">
      <c r="A1454" s="105">
        <v>1393</v>
      </c>
      <c r="B1454" s="125"/>
      <c r="C1454" s="125"/>
      <c r="D1454" s="137" t="s">
        <v>2720</v>
      </c>
      <c r="E1454" s="205" t="s">
        <v>830</v>
      </c>
      <c r="F1454" s="112"/>
      <c r="G1454" s="112"/>
      <c r="H1454" s="112"/>
      <c r="I1454" s="8" t="s">
        <v>317</v>
      </c>
      <c r="J1454" s="41" t="s">
        <v>1110</v>
      </c>
      <c r="K1454" s="57">
        <v>30</v>
      </c>
      <c r="L1454" s="58">
        <v>30</v>
      </c>
    </row>
    <row r="1455" spans="1:12" ht="15.75">
      <c r="A1455" s="105">
        <v>1394</v>
      </c>
      <c r="B1455" s="125"/>
      <c r="C1455" s="125"/>
      <c r="D1455" s="137" t="s">
        <v>2721</v>
      </c>
      <c r="E1455" s="205" t="s">
        <v>830</v>
      </c>
      <c r="F1455" s="112"/>
      <c r="G1455" s="112"/>
      <c r="H1455" s="112"/>
      <c r="I1455" s="8" t="s">
        <v>317</v>
      </c>
      <c r="J1455" s="41" t="s">
        <v>1110</v>
      </c>
      <c r="K1455" s="57">
        <v>30</v>
      </c>
      <c r="L1455" s="58">
        <v>30</v>
      </c>
    </row>
    <row r="1456" spans="1:12" ht="15.75">
      <c r="A1456" s="105">
        <v>1395</v>
      </c>
      <c r="B1456" s="125"/>
      <c r="C1456" s="125"/>
      <c r="D1456" s="137" t="s">
        <v>2721</v>
      </c>
      <c r="E1456" s="205" t="s">
        <v>830</v>
      </c>
      <c r="F1456" s="112"/>
      <c r="G1456" s="112"/>
      <c r="H1456" s="112"/>
      <c r="I1456" s="8" t="s">
        <v>317</v>
      </c>
      <c r="J1456" s="41" t="s">
        <v>1110</v>
      </c>
      <c r="K1456" s="57">
        <v>30</v>
      </c>
      <c r="L1456" s="58">
        <v>30</v>
      </c>
    </row>
    <row r="1457" spans="1:12" ht="15.75">
      <c r="A1457" s="105">
        <v>1396</v>
      </c>
      <c r="B1457" s="125"/>
      <c r="C1457" s="125"/>
      <c r="D1457" s="137" t="s">
        <v>2722</v>
      </c>
      <c r="E1457" s="205" t="s">
        <v>830</v>
      </c>
      <c r="F1457" s="112"/>
      <c r="G1457" s="112"/>
      <c r="H1457" s="112"/>
      <c r="I1457" s="8" t="s">
        <v>317</v>
      </c>
      <c r="J1457" s="41" t="s">
        <v>1110</v>
      </c>
      <c r="K1457" s="57">
        <v>30</v>
      </c>
      <c r="L1457" s="58">
        <v>30</v>
      </c>
    </row>
    <row r="1458" spans="1:12" ht="15.75">
      <c r="A1458" s="105">
        <v>1397</v>
      </c>
      <c r="B1458" s="125"/>
      <c r="C1458" s="125"/>
      <c r="D1458" s="126" t="s">
        <v>2722</v>
      </c>
      <c r="E1458" s="193" t="s">
        <v>830</v>
      </c>
      <c r="F1458" s="112"/>
      <c r="G1458" s="112"/>
      <c r="H1458" s="112"/>
      <c r="I1458" s="8" t="s">
        <v>317</v>
      </c>
      <c r="J1458" s="41" t="s">
        <v>1110</v>
      </c>
      <c r="K1458" s="57">
        <v>30</v>
      </c>
      <c r="L1458" s="58">
        <v>30</v>
      </c>
    </row>
    <row r="1459" spans="1:12" ht="15.75">
      <c r="A1459" s="105">
        <v>1398</v>
      </c>
      <c r="B1459" s="125"/>
      <c r="C1459" s="125"/>
      <c r="D1459" s="136" t="s">
        <v>1742</v>
      </c>
      <c r="E1459" s="204" t="s">
        <v>830</v>
      </c>
      <c r="F1459" s="112"/>
      <c r="G1459" s="112"/>
      <c r="H1459" s="112"/>
      <c r="I1459" s="8" t="s">
        <v>317</v>
      </c>
      <c r="J1459" s="41" t="s">
        <v>1110</v>
      </c>
      <c r="K1459" s="57">
        <v>30</v>
      </c>
      <c r="L1459" s="58">
        <v>30</v>
      </c>
    </row>
    <row r="1460" spans="1:12" ht="15.75">
      <c r="A1460" s="105">
        <v>1399</v>
      </c>
      <c r="B1460" s="125"/>
      <c r="C1460" s="125"/>
      <c r="D1460" s="136" t="s">
        <v>1742</v>
      </c>
      <c r="E1460" s="204" t="s">
        <v>830</v>
      </c>
      <c r="F1460" s="112"/>
      <c r="G1460" s="112"/>
      <c r="H1460" s="112"/>
      <c r="I1460" s="8" t="s">
        <v>317</v>
      </c>
      <c r="J1460" s="41" t="s">
        <v>1110</v>
      </c>
      <c r="K1460" s="57">
        <v>30</v>
      </c>
      <c r="L1460" s="58">
        <v>30</v>
      </c>
    </row>
    <row r="1461" spans="1:12" ht="15.75">
      <c r="A1461" s="105">
        <v>1400</v>
      </c>
      <c r="B1461" s="125"/>
      <c r="C1461" s="125"/>
      <c r="D1461" s="137" t="s">
        <v>1742</v>
      </c>
      <c r="E1461" s="205" t="s">
        <v>830</v>
      </c>
      <c r="F1461" s="112"/>
      <c r="G1461" s="112"/>
      <c r="H1461" s="112"/>
      <c r="I1461" s="8" t="s">
        <v>317</v>
      </c>
      <c r="J1461" s="41" t="s">
        <v>1110</v>
      </c>
      <c r="K1461" s="57">
        <v>30</v>
      </c>
      <c r="L1461" s="58">
        <v>30</v>
      </c>
    </row>
    <row r="1462" spans="1:12" ht="15.75">
      <c r="A1462" s="105">
        <v>1401</v>
      </c>
      <c r="B1462" s="125"/>
      <c r="C1462" s="125"/>
      <c r="D1462" s="137" t="s">
        <v>1742</v>
      </c>
      <c r="E1462" s="205" t="s">
        <v>830</v>
      </c>
      <c r="F1462" s="112"/>
      <c r="G1462" s="112"/>
      <c r="H1462" s="112"/>
      <c r="I1462" s="8" t="s">
        <v>317</v>
      </c>
      <c r="J1462" s="41" t="s">
        <v>1110</v>
      </c>
      <c r="K1462" s="57">
        <v>30</v>
      </c>
      <c r="L1462" s="58">
        <v>30</v>
      </c>
    </row>
    <row r="1463" spans="1:12" ht="15.75">
      <c r="A1463" s="105">
        <v>1402</v>
      </c>
      <c r="B1463" s="125"/>
      <c r="C1463" s="125"/>
      <c r="D1463" s="137" t="s">
        <v>2723</v>
      </c>
      <c r="E1463" s="205" t="s">
        <v>830</v>
      </c>
      <c r="F1463" s="112"/>
      <c r="G1463" s="112"/>
      <c r="H1463" s="112"/>
      <c r="I1463" s="8" t="s">
        <v>317</v>
      </c>
      <c r="J1463" s="41" t="s">
        <v>1110</v>
      </c>
      <c r="K1463" s="57">
        <v>30</v>
      </c>
      <c r="L1463" s="58">
        <v>30</v>
      </c>
    </row>
    <row r="1464" spans="1:12" ht="15.75">
      <c r="A1464" s="105">
        <v>1403</v>
      </c>
      <c r="B1464" s="125"/>
      <c r="C1464" s="125"/>
      <c r="D1464" s="137" t="s">
        <v>2723</v>
      </c>
      <c r="E1464" s="205" t="s">
        <v>830</v>
      </c>
      <c r="F1464" s="112"/>
      <c r="G1464" s="112"/>
      <c r="H1464" s="112"/>
      <c r="I1464" s="8" t="s">
        <v>317</v>
      </c>
      <c r="J1464" s="41" t="s">
        <v>1110</v>
      </c>
      <c r="K1464" s="57">
        <v>30</v>
      </c>
      <c r="L1464" s="58">
        <v>30</v>
      </c>
    </row>
    <row r="1465" spans="1:12" ht="15.75">
      <c r="A1465" s="105">
        <v>1404</v>
      </c>
      <c r="B1465" s="125"/>
      <c r="C1465" s="125"/>
      <c r="D1465" s="137" t="s">
        <v>2723</v>
      </c>
      <c r="E1465" s="205" t="s">
        <v>830</v>
      </c>
      <c r="F1465" s="112"/>
      <c r="G1465" s="112"/>
      <c r="H1465" s="112"/>
      <c r="I1465" s="8" t="s">
        <v>317</v>
      </c>
      <c r="J1465" s="41" t="s">
        <v>1110</v>
      </c>
      <c r="K1465" s="57">
        <v>30</v>
      </c>
      <c r="L1465" s="58">
        <v>30</v>
      </c>
    </row>
    <row r="1466" spans="1:12" ht="15.75">
      <c r="A1466" s="105">
        <v>1405</v>
      </c>
      <c r="B1466" s="125"/>
      <c r="C1466" s="125"/>
      <c r="D1466" s="137" t="s">
        <v>2724</v>
      </c>
      <c r="E1466" s="205" t="s">
        <v>830</v>
      </c>
      <c r="F1466" s="112"/>
      <c r="G1466" s="112"/>
      <c r="H1466" s="112"/>
      <c r="I1466" s="8" t="s">
        <v>317</v>
      </c>
      <c r="J1466" s="41" t="s">
        <v>1110</v>
      </c>
      <c r="K1466" s="57">
        <v>30</v>
      </c>
      <c r="L1466" s="58">
        <v>30</v>
      </c>
    </row>
    <row r="1467" spans="1:12" ht="15.75">
      <c r="A1467" s="105">
        <v>1406</v>
      </c>
      <c r="B1467" s="125"/>
      <c r="C1467" s="125"/>
      <c r="D1467" s="137" t="s">
        <v>2724</v>
      </c>
      <c r="E1467" s="205" t="s">
        <v>830</v>
      </c>
      <c r="F1467" s="112"/>
      <c r="G1467" s="112"/>
      <c r="H1467" s="112"/>
      <c r="I1467" s="8" t="s">
        <v>317</v>
      </c>
      <c r="J1467" s="41" t="s">
        <v>1110</v>
      </c>
      <c r="K1467" s="57">
        <v>30</v>
      </c>
      <c r="L1467" s="58">
        <v>30</v>
      </c>
    </row>
    <row r="1468" spans="1:12" ht="15.75">
      <c r="A1468" s="105">
        <v>1407</v>
      </c>
      <c r="B1468" s="125"/>
      <c r="C1468" s="125"/>
      <c r="D1468" s="137" t="s">
        <v>2725</v>
      </c>
      <c r="E1468" s="205" t="s">
        <v>830</v>
      </c>
      <c r="F1468" s="112"/>
      <c r="G1468" s="112"/>
      <c r="H1468" s="112"/>
      <c r="I1468" s="8" t="s">
        <v>317</v>
      </c>
      <c r="J1468" s="41" t="s">
        <v>1110</v>
      </c>
      <c r="K1468" s="57">
        <v>30</v>
      </c>
      <c r="L1468" s="58">
        <v>30</v>
      </c>
    </row>
    <row r="1469" spans="1:12" ht="15.75">
      <c r="A1469" s="105">
        <v>1408</v>
      </c>
      <c r="B1469" s="125"/>
      <c r="C1469" s="125"/>
      <c r="D1469" s="126" t="s">
        <v>2725</v>
      </c>
      <c r="E1469" s="193" t="s">
        <v>830</v>
      </c>
      <c r="F1469" s="112"/>
      <c r="G1469" s="112"/>
      <c r="H1469" s="112"/>
      <c r="I1469" s="8" t="s">
        <v>317</v>
      </c>
      <c r="J1469" s="41" t="s">
        <v>1110</v>
      </c>
      <c r="K1469" s="57">
        <v>30</v>
      </c>
      <c r="L1469" s="58">
        <v>30</v>
      </c>
    </row>
    <row r="1470" spans="1:12" ht="15.75">
      <c r="A1470" s="105">
        <v>1409</v>
      </c>
      <c r="B1470" s="125"/>
      <c r="C1470" s="125"/>
      <c r="D1470" s="136" t="s">
        <v>1743</v>
      </c>
      <c r="E1470" s="204" t="s">
        <v>830</v>
      </c>
      <c r="F1470" s="112"/>
      <c r="G1470" s="112"/>
      <c r="H1470" s="112"/>
      <c r="I1470" s="8" t="s">
        <v>317</v>
      </c>
      <c r="J1470" s="41" t="s">
        <v>1110</v>
      </c>
      <c r="K1470" s="57">
        <v>30</v>
      </c>
      <c r="L1470" s="58">
        <v>30</v>
      </c>
    </row>
    <row r="1471" spans="1:12" ht="15.75">
      <c r="A1471" s="105">
        <v>1410</v>
      </c>
      <c r="B1471" s="125"/>
      <c r="C1471" s="125"/>
      <c r="D1471" s="136" t="s">
        <v>1743</v>
      </c>
      <c r="E1471" s="204" t="s">
        <v>830</v>
      </c>
      <c r="F1471" s="112"/>
      <c r="G1471" s="112"/>
      <c r="H1471" s="112"/>
      <c r="I1471" s="8" t="s">
        <v>317</v>
      </c>
      <c r="J1471" s="41" t="s">
        <v>1110</v>
      </c>
      <c r="K1471" s="57">
        <v>30</v>
      </c>
      <c r="L1471" s="58">
        <v>30</v>
      </c>
    </row>
    <row r="1472" spans="1:12" ht="15.75">
      <c r="A1472" s="105">
        <v>1411</v>
      </c>
      <c r="B1472" s="125"/>
      <c r="C1472" s="125"/>
      <c r="D1472" s="137" t="s">
        <v>1743</v>
      </c>
      <c r="E1472" s="205" t="s">
        <v>830</v>
      </c>
      <c r="F1472" s="112"/>
      <c r="G1472" s="112"/>
      <c r="H1472" s="112"/>
      <c r="I1472" s="8" t="s">
        <v>317</v>
      </c>
      <c r="J1472" s="41" t="s">
        <v>1110</v>
      </c>
      <c r="K1472" s="57">
        <v>30</v>
      </c>
      <c r="L1472" s="58">
        <v>30</v>
      </c>
    </row>
    <row r="1473" spans="1:12" ht="15.75">
      <c r="A1473" s="105">
        <v>1412</v>
      </c>
      <c r="B1473" s="125"/>
      <c r="C1473" s="125"/>
      <c r="D1473" s="137" t="s">
        <v>1743</v>
      </c>
      <c r="E1473" s="205" t="s">
        <v>830</v>
      </c>
      <c r="F1473" s="112"/>
      <c r="G1473" s="112"/>
      <c r="H1473" s="112"/>
      <c r="I1473" s="8" t="s">
        <v>317</v>
      </c>
      <c r="J1473" s="41" t="s">
        <v>1110</v>
      </c>
      <c r="K1473" s="57">
        <v>30</v>
      </c>
      <c r="L1473" s="58">
        <v>30</v>
      </c>
    </row>
    <row r="1474" spans="1:12" ht="15.75">
      <c r="A1474" s="105">
        <v>1413</v>
      </c>
      <c r="B1474" s="125"/>
      <c r="C1474" s="125"/>
      <c r="D1474" s="137" t="s">
        <v>2637</v>
      </c>
      <c r="E1474" s="205" t="s">
        <v>830</v>
      </c>
      <c r="F1474" s="112"/>
      <c r="G1474" s="112"/>
      <c r="H1474" s="112"/>
      <c r="I1474" s="8" t="s">
        <v>317</v>
      </c>
      <c r="J1474" s="41" t="s">
        <v>1110</v>
      </c>
      <c r="K1474" s="57">
        <v>30</v>
      </c>
      <c r="L1474" s="58">
        <v>30</v>
      </c>
    </row>
    <row r="1475" spans="1:12" ht="15.75">
      <c r="A1475" s="105">
        <v>1414</v>
      </c>
      <c r="B1475" s="125"/>
      <c r="C1475" s="125"/>
      <c r="D1475" s="137" t="s">
        <v>2637</v>
      </c>
      <c r="E1475" s="205" t="s">
        <v>830</v>
      </c>
      <c r="F1475" s="112"/>
      <c r="G1475" s="112"/>
      <c r="H1475" s="112"/>
      <c r="I1475" s="8" t="s">
        <v>317</v>
      </c>
      <c r="J1475" s="41" t="s">
        <v>1110</v>
      </c>
      <c r="K1475" s="57">
        <v>30</v>
      </c>
      <c r="L1475" s="58">
        <v>30</v>
      </c>
    </row>
    <row r="1476" spans="1:12" ht="15.75">
      <c r="A1476" s="105">
        <v>1415</v>
      </c>
      <c r="B1476" s="125"/>
      <c r="C1476" s="125"/>
      <c r="D1476" s="137" t="s">
        <v>2637</v>
      </c>
      <c r="E1476" s="205" t="s">
        <v>830</v>
      </c>
      <c r="F1476" s="112"/>
      <c r="G1476" s="112"/>
      <c r="H1476" s="112"/>
      <c r="I1476" s="8" t="s">
        <v>317</v>
      </c>
      <c r="J1476" s="41" t="s">
        <v>1110</v>
      </c>
      <c r="K1476" s="57">
        <v>30</v>
      </c>
      <c r="L1476" s="58">
        <v>30</v>
      </c>
    </row>
    <row r="1477" spans="1:12" ht="15.75">
      <c r="A1477" s="105">
        <v>1416</v>
      </c>
      <c r="B1477" s="125"/>
      <c r="C1477" s="125"/>
      <c r="D1477" s="137" t="s">
        <v>2655</v>
      </c>
      <c r="E1477" s="205" t="s">
        <v>830</v>
      </c>
      <c r="F1477" s="112"/>
      <c r="G1477" s="112"/>
      <c r="H1477" s="112"/>
      <c r="I1477" s="8" t="s">
        <v>317</v>
      </c>
      <c r="J1477" s="41" t="s">
        <v>1110</v>
      </c>
      <c r="K1477" s="57">
        <v>30</v>
      </c>
      <c r="L1477" s="58">
        <v>30</v>
      </c>
    </row>
    <row r="1478" spans="1:12" ht="15.75">
      <c r="A1478" s="105">
        <v>1417</v>
      </c>
      <c r="B1478" s="125"/>
      <c r="C1478" s="125"/>
      <c r="D1478" s="137" t="s">
        <v>2655</v>
      </c>
      <c r="E1478" s="205" t="s">
        <v>830</v>
      </c>
      <c r="F1478" s="112"/>
      <c r="G1478" s="112"/>
      <c r="H1478" s="112"/>
      <c r="I1478" s="8" t="s">
        <v>317</v>
      </c>
      <c r="J1478" s="41" t="s">
        <v>1110</v>
      </c>
      <c r="K1478" s="57">
        <v>30</v>
      </c>
      <c r="L1478" s="58">
        <v>30</v>
      </c>
    </row>
    <row r="1479" spans="1:12" ht="15.75">
      <c r="A1479" s="105">
        <v>1418</v>
      </c>
      <c r="B1479" s="125"/>
      <c r="C1479" s="125"/>
      <c r="D1479" s="137" t="s">
        <v>2726</v>
      </c>
      <c r="E1479" s="205" t="s">
        <v>830</v>
      </c>
      <c r="F1479" s="112"/>
      <c r="G1479" s="112"/>
      <c r="H1479" s="112"/>
      <c r="I1479" s="8" t="s">
        <v>317</v>
      </c>
      <c r="J1479" s="41" t="s">
        <v>1110</v>
      </c>
      <c r="K1479" s="57">
        <v>30</v>
      </c>
      <c r="L1479" s="58">
        <v>30</v>
      </c>
    </row>
    <row r="1480" spans="1:12" ht="15.75">
      <c r="A1480" s="105">
        <v>1419</v>
      </c>
      <c r="B1480" s="125"/>
      <c r="C1480" s="125"/>
      <c r="D1480" s="126" t="s">
        <v>2726</v>
      </c>
      <c r="E1480" s="193" t="s">
        <v>830</v>
      </c>
      <c r="F1480" s="112"/>
      <c r="G1480" s="112"/>
      <c r="H1480" s="112"/>
      <c r="I1480" s="8" t="s">
        <v>317</v>
      </c>
      <c r="J1480" s="41" t="s">
        <v>1110</v>
      </c>
      <c r="K1480" s="57">
        <v>30</v>
      </c>
      <c r="L1480" s="58">
        <v>30</v>
      </c>
    </row>
    <row r="1481" spans="1:12" ht="15.75">
      <c r="A1481" s="105">
        <v>1420</v>
      </c>
      <c r="B1481" s="125"/>
      <c r="C1481" s="125"/>
      <c r="D1481" s="136" t="s">
        <v>1744</v>
      </c>
      <c r="E1481" s="204" t="s">
        <v>830</v>
      </c>
      <c r="F1481" s="112"/>
      <c r="G1481" s="112"/>
      <c r="H1481" s="112"/>
      <c r="I1481" s="8" t="s">
        <v>317</v>
      </c>
      <c r="J1481" s="41" t="s">
        <v>1110</v>
      </c>
      <c r="K1481" s="57">
        <v>30</v>
      </c>
      <c r="L1481" s="58">
        <v>30</v>
      </c>
    </row>
    <row r="1482" spans="1:12" ht="15.75">
      <c r="A1482" s="105">
        <v>1421</v>
      </c>
      <c r="B1482" s="125"/>
      <c r="C1482" s="125"/>
      <c r="D1482" s="136" t="s">
        <v>1744</v>
      </c>
      <c r="E1482" s="204" t="s">
        <v>830</v>
      </c>
      <c r="F1482" s="112"/>
      <c r="G1482" s="112"/>
      <c r="H1482" s="112"/>
      <c r="I1482" s="8" t="s">
        <v>317</v>
      </c>
      <c r="J1482" s="41" t="s">
        <v>1110</v>
      </c>
      <c r="K1482" s="57">
        <v>30</v>
      </c>
      <c r="L1482" s="58">
        <v>30</v>
      </c>
    </row>
    <row r="1483" spans="1:12" ht="15.75">
      <c r="A1483" s="105">
        <v>1422</v>
      </c>
      <c r="B1483" s="125"/>
      <c r="C1483" s="125"/>
      <c r="D1483" s="137" t="s">
        <v>1744</v>
      </c>
      <c r="E1483" s="205" t="s">
        <v>830</v>
      </c>
      <c r="F1483" s="112"/>
      <c r="G1483" s="112"/>
      <c r="H1483" s="112"/>
      <c r="I1483" s="8" t="s">
        <v>317</v>
      </c>
      <c r="J1483" s="41" t="s">
        <v>1110</v>
      </c>
      <c r="K1483" s="57">
        <v>30</v>
      </c>
      <c r="L1483" s="58">
        <v>30</v>
      </c>
    </row>
    <row r="1484" spans="1:12" ht="15.75">
      <c r="A1484" s="105">
        <v>1423</v>
      </c>
      <c r="B1484" s="125"/>
      <c r="C1484" s="125"/>
      <c r="D1484" s="137" t="s">
        <v>1744</v>
      </c>
      <c r="E1484" s="205" t="s">
        <v>830</v>
      </c>
      <c r="F1484" s="112"/>
      <c r="G1484" s="112"/>
      <c r="H1484" s="112"/>
      <c r="I1484" s="8" t="s">
        <v>317</v>
      </c>
      <c r="J1484" s="41" t="s">
        <v>1110</v>
      </c>
      <c r="K1484" s="57">
        <v>30</v>
      </c>
      <c r="L1484" s="58">
        <v>30</v>
      </c>
    </row>
    <row r="1485" spans="1:12" ht="15.75">
      <c r="A1485" s="105">
        <v>1424</v>
      </c>
      <c r="B1485" s="125"/>
      <c r="C1485" s="125"/>
      <c r="D1485" s="137" t="s">
        <v>1744</v>
      </c>
      <c r="E1485" s="205" t="s">
        <v>830</v>
      </c>
      <c r="F1485" s="112"/>
      <c r="G1485" s="112"/>
      <c r="H1485" s="112"/>
      <c r="I1485" s="8" t="s">
        <v>317</v>
      </c>
      <c r="J1485" s="41" t="s">
        <v>1110</v>
      </c>
      <c r="K1485" s="57">
        <v>30</v>
      </c>
      <c r="L1485" s="58">
        <v>30</v>
      </c>
    </row>
    <row r="1486" spans="1:12" ht="15.75">
      <c r="A1486" s="105">
        <v>1425</v>
      </c>
      <c r="B1486" s="125"/>
      <c r="C1486" s="125"/>
      <c r="D1486" s="137" t="s">
        <v>2644</v>
      </c>
      <c r="E1486" s="205" t="s">
        <v>830</v>
      </c>
      <c r="F1486" s="112"/>
      <c r="G1486" s="112"/>
      <c r="H1486" s="112"/>
      <c r="I1486" s="8" t="s">
        <v>317</v>
      </c>
      <c r="J1486" s="41" t="s">
        <v>1110</v>
      </c>
      <c r="K1486" s="57">
        <v>30</v>
      </c>
      <c r="L1486" s="58">
        <v>30</v>
      </c>
    </row>
    <row r="1487" spans="1:12" ht="15.75">
      <c r="A1487" s="105">
        <v>1426</v>
      </c>
      <c r="B1487" s="125"/>
      <c r="C1487" s="125"/>
      <c r="D1487" s="137" t="s">
        <v>2644</v>
      </c>
      <c r="E1487" s="205" t="s">
        <v>830</v>
      </c>
      <c r="F1487" s="112"/>
      <c r="G1487" s="112"/>
      <c r="H1487" s="112"/>
      <c r="I1487" s="8" t="s">
        <v>317</v>
      </c>
      <c r="J1487" s="41" t="s">
        <v>1110</v>
      </c>
      <c r="K1487" s="57">
        <v>30</v>
      </c>
      <c r="L1487" s="58">
        <v>30</v>
      </c>
    </row>
    <row r="1488" spans="1:12" ht="15.75">
      <c r="A1488" s="105">
        <v>1427</v>
      </c>
      <c r="B1488" s="125"/>
      <c r="C1488" s="125"/>
      <c r="D1488" s="137" t="s">
        <v>2644</v>
      </c>
      <c r="E1488" s="205" t="s">
        <v>830</v>
      </c>
      <c r="F1488" s="112"/>
      <c r="G1488" s="112"/>
      <c r="H1488" s="112"/>
      <c r="I1488" s="8" t="s">
        <v>317</v>
      </c>
      <c r="J1488" s="41" t="s">
        <v>1110</v>
      </c>
      <c r="K1488" s="57">
        <v>30</v>
      </c>
      <c r="L1488" s="58">
        <v>30</v>
      </c>
    </row>
    <row r="1489" spans="1:12" ht="15.75">
      <c r="A1489" s="105">
        <v>1428</v>
      </c>
      <c r="B1489" s="125"/>
      <c r="C1489" s="125"/>
      <c r="D1489" s="137" t="s">
        <v>2644</v>
      </c>
      <c r="E1489" s="205" t="s">
        <v>830</v>
      </c>
      <c r="F1489" s="112"/>
      <c r="G1489" s="112"/>
      <c r="H1489" s="112"/>
      <c r="I1489" s="8" t="s">
        <v>317</v>
      </c>
      <c r="J1489" s="41" t="s">
        <v>1110</v>
      </c>
      <c r="K1489" s="57">
        <v>30</v>
      </c>
      <c r="L1489" s="58">
        <v>30</v>
      </c>
    </row>
    <row r="1490" spans="1:12" ht="15.75">
      <c r="A1490" s="105">
        <v>1429</v>
      </c>
      <c r="B1490" s="125"/>
      <c r="C1490" s="125"/>
      <c r="D1490" s="137" t="s">
        <v>2727</v>
      </c>
      <c r="E1490" s="205" t="s">
        <v>830</v>
      </c>
      <c r="F1490" s="112"/>
      <c r="G1490" s="112"/>
      <c r="H1490" s="112"/>
      <c r="I1490" s="8" t="s">
        <v>317</v>
      </c>
      <c r="J1490" s="41" t="s">
        <v>1110</v>
      </c>
      <c r="K1490" s="57">
        <v>30</v>
      </c>
      <c r="L1490" s="58">
        <v>30</v>
      </c>
    </row>
    <row r="1491" spans="1:12" ht="15.75">
      <c r="A1491" s="105">
        <v>1430</v>
      </c>
      <c r="B1491" s="125"/>
      <c r="C1491" s="125"/>
      <c r="D1491" s="137" t="s">
        <v>2728</v>
      </c>
      <c r="E1491" s="205" t="s">
        <v>830</v>
      </c>
      <c r="F1491" s="112"/>
      <c r="G1491" s="112"/>
      <c r="H1491" s="112"/>
      <c r="I1491" s="8" t="s">
        <v>317</v>
      </c>
      <c r="J1491" s="41" t="s">
        <v>1110</v>
      </c>
      <c r="K1491" s="57">
        <v>30</v>
      </c>
      <c r="L1491" s="58">
        <v>30</v>
      </c>
    </row>
    <row r="1492" spans="1:12" ht="15.75">
      <c r="A1492" s="105">
        <v>1431</v>
      </c>
      <c r="B1492" s="125"/>
      <c r="C1492" s="125"/>
      <c r="D1492" s="137" t="s">
        <v>2728</v>
      </c>
      <c r="E1492" s="205" t="s">
        <v>830</v>
      </c>
      <c r="F1492" s="112"/>
      <c r="G1492" s="112"/>
      <c r="H1492" s="112"/>
      <c r="I1492" s="8" t="s">
        <v>317</v>
      </c>
      <c r="J1492" s="41" t="s">
        <v>1110</v>
      </c>
      <c r="K1492" s="57">
        <v>30</v>
      </c>
      <c r="L1492" s="58">
        <v>30</v>
      </c>
    </row>
    <row r="1493" spans="1:12" ht="15.75">
      <c r="A1493" s="105">
        <v>1432</v>
      </c>
      <c r="B1493" s="125"/>
      <c r="C1493" s="125"/>
      <c r="D1493" s="137" t="s">
        <v>2729</v>
      </c>
      <c r="E1493" s="205" t="s">
        <v>830</v>
      </c>
      <c r="F1493" s="112"/>
      <c r="G1493" s="112"/>
      <c r="H1493" s="112"/>
      <c r="I1493" s="8" t="s">
        <v>317</v>
      </c>
      <c r="J1493" s="41" t="s">
        <v>1110</v>
      </c>
      <c r="K1493" s="57">
        <v>30</v>
      </c>
      <c r="L1493" s="58">
        <v>30</v>
      </c>
    </row>
    <row r="1494" spans="1:12" ht="15.75">
      <c r="A1494" s="105">
        <v>1433</v>
      </c>
      <c r="B1494" s="125"/>
      <c r="C1494" s="125"/>
      <c r="D1494" s="137" t="s">
        <v>2729</v>
      </c>
      <c r="E1494" s="205" t="s">
        <v>830</v>
      </c>
      <c r="F1494" s="112"/>
      <c r="G1494" s="112"/>
      <c r="H1494" s="112"/>
      <c r="I1494" s="8" t="s">
        <v>317</v>
      </c>
      <c r="J1494" s="41" t="s">
        <v>1110</v>
      </c>
      <c r="K1494" s="57">
        <v>30</v>
      </c>
      <c r="L1494" s="58">
        <v>30</v>
      </c>
    </row>
    <row r="1495" spans="1:12" ht="15.75">
      <c r="A1495" s="105">
        <v>1434</v>
      </c>
      <c r="B1495" s="125"/>
      <c r="C1495" s="125"/>
      <c r="D1495" s="138" t="s">
        <v>2729</v>
      </c>
      <c r="E1495" s="203" t="s">
        <v>830</v>
      </c>
      <c r="F1495" s="112"/>
      <c r="G1495" s="112"/>
      <c r="H1495" s="112"/>
      <c r="I1495" s="8" t="s">
        <v>317</v>
      </c>
      <c r="J1495" s="41" t="s">
        <v>1110</v>
      </c>
      <c r="K1495" s="57">
        <v>30</v>
      </c>
      <c r="L1495" s="58">
        <v>30</v>
      </c>
    </row>
    <row r="1496" spans="1:12" ht="15.75">
      <c r="A1496" s="105">
        <v>1435</v>
      </c>
      <c r="B1496" s="125"/>
      <c r="C1496" s="125"/>
      <c r="D1496" s="136" t="s">
        <v>1745</v>
      </c>
      <c r="E1496" s="204" t="s">
        <v>830</v>
      </c>
      <c r="F1496" s="112"/>
      <c r="G1496" s="112"/>
      <c r="H1496" s="112"/>
      <c r="I1496" s="8" t="s">
        <v>317</v>
      </c>
      <c r="J1496" s="41" t="s">
        <v>1110</v>
      </c>
      <c r="K1496" s="57">
        <v>30</v>
      </c>
      <c r="L1496" s="58">
        <v>30</v>
      </c>
    </row>
    <row r="1497" spans="1:12" ht="15.75">
      <c r="A1497" s="105">
        <v>1436</v>
      </c>
      <c r="B1497" s="125"/>
      <c r="C1497" s="125"/>
      <c r="D1497" s="136" t="s">
        <v>1745</v>
      </c>
      <c r="E1497" s="204" t="s">
        <v>830</v>
      </c>
      <c r="F1497" s="112"/>
      <c r="G1497" s="112"/>
      <c r="H1497" s="112"/>
      <c r="I1497" s="8" t="s">
        <v>317</v>
      </c>
      <c r="J1497" s="41" t="s">
        <v>1110</v>
      </c>
      <c r="K1497" s="57">
        <v>30</v>
      </c>
      <c r="L1497" s="58">
        <v>30</v>
      </c>
    </row>
    <row r="1498" spans="1:12" ht="15.75">
      <c r="A1498" s="105">
        <v>1437</v>
      </c>
      <c r="B1498" s="125"/>
      <c r="C1498" s="125"/>
      <c r="D1498" s="136" t="s">
        <v>1745</v>
      </c>
      <c r="E1498" s="204" t="s">
        <v>830</v>
      </c>
      <c r="F1498" s="112"/>
      <c r="G1498" s="112"/>
      <c r="H1498" s="112"/>
      <c r="I1498" s="8" t="s">
        <v>317</v>
      </c>
      <c r="J1498" s="41" t="s">
        <v>1110</v>
      </c>
      <c r="K1498" s="57">
        <v>30</v>
      </c>
      <c r="L1498" s="58">
        <v>30</v>
      </c>
    </row>
    <row r="1499" spans="1:12" ht="15.75">
      <c r="A1499" s="105">
        <v>1438</v>
      </c>
      <c r="B1499" s="125"/>
      <c r="C1499" s="125"/>
      <c r="D1499" s="137" t="s">
        <v>1745</v>
      </c>
      <c r="E1499" s="205" t="s">
        <v>830</v>
      </c>
      <c r="F1499" s="112"/>
      <c r="G1499" s="112"/>
      <c r="H1499" s="112"/>
      <c r="I1499" s="8" t="s">
        <v>317</v>
      </c>
      <c r="J1499" s="41" t="s">
        <v>1110</v>
      </c>
      <c r="K1499" s="57">
        <v>30</v>
      </c>
      <c r="L1499" s="58">
        <v>30</v>
      </c>
    </row>
    <row r="1500" spans="1:12" ht="15.75">
      <c r="A1500" s="105">
        <v>1439</v>
      </c>
      <c r="B1500" s="125"/>
      <c r="C1500" s="125"/>
      <c r="D1500" s="137" t="s">
        <v>1745</v>
      </c>
      <c r="E1500" s="205" t="s">
        <v>830</v>
      </c>
      <c r="F1500" s="112"/>
      <c r="G1500" s="112"/>
      <c r="H1500" s="112"/>
      <c r="I1500" s="8" t="s">
        <v>317</v>
      </c>
      <c r="J1500" s="41" t="s">
        <v>1110</v>
      </c>
      <c r="K1500" s="57">
        <v>30</v>
      </c>
      <c r="L1500" s="58">
        <v>30</v>
      </c>
    </row>
    <row r="1501" spans="1:12" ht="15.75">
      <c r="A1501" s="105">
        <v>1440</v>
      </c>
      <c r="B1501" s="125"/>
      <c r="C1501" s="125"/>
      <c r="D1501" s="137" t="s">
        <v>1745</v>
      </c>
      <c r="E1501" s="205" t="s">
        <v>830</v>
      </c>
      <c r="F1501" s="112"/>
      <c r="G1501" s="112"/>
      <c r="H1501" s="112"/>
      <c r="I1501" s="8" t="s">
        <v>317</v>
      </c>
      <c r="J1501" s="41" t="s">
        <v>1110</v>
      </c>
      <c r="K1501" s="57">
        <v>30</v>
      </c>
      <c r="L1501" s="58">
        <v>30</v>
      </c>
    </row>
    <row r="1502" spans="1:12" ht="15.75">
      <c r="A1502" s="105">
        <v>1441</v>
      </c>
      <c r="B1502" s="125"/>
      <c r="C1502" s="125"/>
      <c r="D1502" s="137" t="s">
        <v>2730</v>
      </c>
      <c r="E1502" s="205" t="s">
        <v>830</v>
      </c>
      <c r="F1502" s="112"/>
      <c r="G1502" s="112"/>
      <c r="H1502" s="112"/>
      <c r="I1502" s="8" t="s">
        <v>317</v>
      </c>
      <c r="J1502" s="41" t="s">
        <v>1110</v>
      </c>
      <c r="K1502" s="57">
        <v>30</v>
      </c>
      <c r="L1502" s="58">
        <v>30</v>
      </c>
    </row>
    <row r="1503" spans="1:12" ht="15.75">
      <c r="A1503" s="105">
        <v>1442</v>
      </c>
      <c r="B1503" s="125"/>
      <c r="C1503" s="125"/>
      <c r="D1503" s="137" t="s">
        <v>2730</v>
      </c>
      <c r="E1503" s="205" t="s">
        <v>830</v>
      </c>
      <c r="F1503" s="112"/>
      <c r="G1503" s="112"/>
      <c r="H1503" s="112"/>
      <c r="I1503" s="8" t="s">
        <v>317</v>
      </c>
      <c r="J1503" s="41" t="s">
        <v>1110</v>
      </c>
      <c r="K1503" s="57">
        <v>30</v>
      </c>
      <c r="L1503" s="58">
        <v>30</v>
      </c>
    </row>
    <row r="1504" spans="1:12" ht="15.75">
      <c r="A1504" s="105">
        <v>1443</v>
      </c>
      <c r="B1504" s="125"/>
      <c r="C1504" s="125"/>
      <c r="D1504" s="137" t="s">
        <v>2730</v>
      </c>
      <c r="E1504" s="205" t="s">
        <v>830</v>
      </c>
      <c r="F1504" s="112"/>
      <c r="G1504" s="112"/>
      <c r="H1504" s="112"/>
      <c r="I1504" s="8" t="s">
        <v>317</v>
      </c>
      <c r="J1504" s="41" t="s">
        <v>1110</v>
      </c>
      <c r="K1504" s="57">
        <v>30</v>
      </c>
      <c r="L1504" s="58">
        <v>30</v>
      </c>
    </row>
    <row r="1505" spans="1:12" ht="15.75">
      <c r="A1505" s="105">
        <v>1444</v>
      </c>
      <c r="B1505" s="125"/>
      <c r="C1505" s="125"/>
      <c r="D1505" s="137" t="s">
        <v>2730</v>
      </c>
      <c r="E1505" s="205" t="s">
        <v>830</v>
      </c>
      <c r="F1505" s="112"/>
      <c r="G1505" s="112"/>
      <c r="H1505" s="112"/>
      <c r="I1505" s="8" t="s">
        <v>317</v>
      </c>
      <c r="J1505" s="41" t="s">
        <v>1110</v>
      </c>
      <c r="K1505" s="57">
        <v>30</v>
      </c>
      <c r="L1505" s="58">
        <v>30</v>
      </c>
    </row>
    <row r="1506" spans="1:12" ht="15.75">
      <c r="A1506" s="105">
        <v>1445</v>
      </c>
      <c r="B1506" s="125"/>
      <c r="C1506" s="125"/>
      <c r="D1506" s="137" t="s">
        <v>2731</v>
      </c>
      <c r="E1506" s="205" t="s">
        <v>830</v>
      </c>
      <c r="F1506" s="112"/>
      <c r="G1506" s="112"/>
      <c r="H1506" s="112"/>
      <c r="I1506" s="8" t="s">
        <v>317</v>
      </c>
      <c r="J1506" s="41" t="s">
        <v>1110</v>
      </c>
      <c r="K1506" s="57">
        <v>30</v>
      </c>
      <c r="L1506" s="58">
        <v>30</v>
      </c>
    </row>
    <row r="1507" spans="1:12" ht="15.75">
      <c r="A1507" s="105">
        <v>1446</v>
      </c>
      <c r="B1507" s="125"/>
      <c r="C1507" s="125"/>
      <c r="D1507" s="137" t="s">
        <v>2656</v>
      </c>
      <c r="E1507" s="205" t="s">
        <v>830</v>
      </c>
      <c r="F1507" s="112"/>
      <c r="G1507" s="112"/>
      <c r="H1507" s="112"/>
      <c r="I1507" s="8" t="s">
        <v>317</v>
      </c>
      <c r="J1507" s="41" t="s">
        <v>1110</v>
      </c>
      <c r="K1507" s="57">
        <v>30</v>
      </c>
      <c r="L1507" s="58">
        <v>30</v>
      </c>
    </row>
    <row r="1508" spans="1:12" ht="15.75">
      <c r="A1508" s="105">
        <v>1447</v>
      </c>
      <c r="B1508" s="125"/>
      <c r="C1508" s="125"/>
      <c r="D1508" s="137" t="s">
        <v>2656</v>
      </c>
      <c r="E1508" s="205" t="s">
        <v>830</v>
      </c>
      <c r="F1508" s="112"/>
      <c r="G1508" s="112"/>
      <c r="H1508" s="112"/>
      <c r="I1508" s="8" t="s">
        <v>317</v>
      </c>
      <c r="J1508" s="41" t="s">
        <v>1110</v>
      </c>
      <c r="K1508" s="57">
        <v>30</v>
      </c>
      <c r="L1508" s="58">
        <v>30</v>
      </c>
    </row>
    <row r="1509" spans="1:12" ht="15.75">
      <c r="A1509" s="105">
        <v>1448</v>
      </c>
      <c r="B1509" s="125"/>
      <c r="C1509" s="125"/>
      <c r="D1509" s="137" t="s">
        <v>2732</v>
      </c>
      <c r="E1509" s="205" t="s">
        <v>830</v>
      </c>
      <c r="F1509" s="112"/>
      <c r="G1509" s="112"/>
      <c r="H1509" s="112"/>
      <c r="I1509" s="8" t="s">
        <v>317</v>
      </c>
      <c r="J1509" s="41" t="s">
        <v>1110</v>
      </c>
      <c r="K1509" s="57">
        <v>30</v>
      </c>
      <c r="L1509" s="58">
        <v>30</v>
      </c>
    </row>
    <row r="1510" spans="1:12" ht="15.75">
      <c r="A1510" s="105">
        <v>1449</v>
      </c>
      <c r="B1510" s="125"/>
      <c r="C1510" s="125"/>
      <c r="D1510" s="137" t="s">
        <v>2732</v>
      </c>
      <c r="E1510" s="205" t="s">
        <v>830</v>
      </c>
      <c r="F1510" s="112"/>
      <c r="G1510" s="112"/>
      <c r="H1510" s="112"/>
      <c r="I1510" s="8" t="s">
        <v>317</v>
      </c>
      <c r="J1510" s="41" t="s">
        <v>1110</v>
      </c>
      <c r="K1510" s="57">
        <v>30</v>
      </c>
      <c r="L1510" s="58">
        <v>30</v>
      </c>
    </row>
    <row r="1511" spans="1:12" ht="15.75">
      <c r="A1511" s="105">
        <v>1450</v>
      </c>
      <c r="B1511" s="125"/>
      <c r="C1511" s="125"/>
      <c r="D1511" s="137" t="s">
        <v>2732</v>
      </c>
      <c r="E1511" s="205" t="s">
        <v>830</v>
      </c>
      <c r="F1511" s="112"/>
      <c r="G1511" s="112"/>
      <c r="H1511" s="112"/>
      <c r="I1511" s="8" t="s">
        <v>317</v>
      </c>
      <c r="J1511" s="41" t="s">
        <v>1110</v>
      </c>
      <c r="K1511" s="57">
        <v>30</v>
      </c>
      <c r="L1511" s="58">
        <v>30</v>
      </c>
    </row>
    <row r="1512" spans="1:12" ht="15.75">
      <c r="A1512" s="105">
        <v>1451</v>
      </c>
      <c r="B1512" s="125"/>
      <c r="C1512" s="125"/>
      <c r="D1512" s="126" t="s">
        <v>2732</v>
      </c>
      <c r="E1512" s="193" t="s">
        <v>830</v>
      </c>
      <c r="F1512" s="112"/>
      <c r="G1512" s="112"/>
      <c r="H1512" s="112"/>
      <c r="I1512" s="8" t="s">
        <v>317</v>
      </c>
      <c r="J1512" s="41" t="s">
        <v>1110</v>
      </c>
      <c r="K1512" s="57">
        <v>30</v>
      </c>
      <c r="L1512" s="58">
        <v>30</v>
      </c>
    </row>
    <row r="1513" spans="1:12" ht="15.75">
      <c r="A1513" s="105">
        <v>1452</v>
      </c>
      <c r="B1513" s="125"/>
      <c r="C1513" s="125"/>
      <c r="D1513" s="136" t="s">
        <v>1746</v>
      </c>
      <c r="E1513" s="204" t="s">
        <v>830</v>
      </c>
      <c r="F1513" s="112"/>
      <c r="G1513" s="112"/>
      <c r="H1513" s="112"/>
      <c r="I1513" s="8" t="s">
        <v>317</v>
      </c>
      <c r="J1513" s="41" t="s">
        <v>1110</v>
      </c>
      <c r="K1513" s="57">
        <v>30</v>
      </c>
      <c r="L1513" s="58">
        <v>30</v>
      </c>
    </row>
    <row r="1514" spans="1:12" ht="15.75">
      <c r="A1514" s="105">
        <v>1453</v>
      </c>
      <c r="B1514" s="125"/>
      <c r="C1514" s="125"/>
      <c r="D1514" s="136" t="s">
        <v>1746</v>
      </c>
      <c r="E1514" s="204" t="s">
        <v>830</v>
      </c>
      <c r="F1514" s="112"/>
      <c r="G1514" s="112"/>
      <c r="H1514" s="112"/>
      <c r="I1514" s="8" t="s">
        <v>317</v>
      </c>
      <c r="J1514" s="41" t="s">
        <v>1110</v>
      </c>
      <c r="K1514" s="57">
        <v>30</v>
      </c>
      <c r="L1514" s="58">
        <v>30</v>
      </c>
    </row>
    <row r="1515" spans="1:12" ht="15.75">
      <c r="A1515" s="105">
        <v>1454</v>
      </c>
      <c r="B1515" s="125"/>
      <c r="C1515" s="125"/>
      <c r="D1515" s="136" t="s">
        <v>1746</v>
      </c>
      <c r="E1515" s="204" t="s">
        <v>830</v>
      </c>
      <c r="F1515" s="112"/>
      <c r="G1515" s="112"/>
      <c r="H1515" s="112"/>
      <c r="I1515" s="8" t="s">
        <v>317</v>
      </c>
      <c r="J1515" s="41" t="s">
        <v>1110</v>
      </c>
      <c r="K1515" s="57">
        <v>30</v>
      </c>
      <c r="L1515" s="58">
        <v>30</v>
      </c>
    </row>
    <row r="1516" spans="1:12" ht="15.75">
      <c r="A1516" s="105">
        <v>1455</v>
      </c>
      <c r="B1516" s="125"/>
      <c r="C1516" s="125"/>
      <c r="D1516" s="137" t="s">
        <v>1746</v>
      </c>
      <c r="E1516" s="205" t="s">
        <v>830</v>
      </c>
      <c r="F1516" s="112"/>
      <c r="G1516" s="112"/>
      <c r="H1516" s="112"/>
      <c r="I1516" s="8" t="s">
        <v>317</v>
      </c>
      <c r="J1516" s="41" t="s">
        <v>1110</v>
      </c>
      <c r="K1516" s="57">
        <v>30</v>
      </c>
      <c r="L1516" s="58">
        <v>30</v>
      </c>
    </row>
    <row r="1517" spans="1:12" ht="15.75">
      <c r="A1517" s="105">
        <v>1456</v>
      </c>
      <c r="B1517" s="125"/>
      <c r="C1517" s="125"/>
      <c r="D1517" s="137" t="s">
        <v>1746</v>
      </c>
      <c r="E1517" s="205" t="s">
        <v>830</v>
      </c>
      <c r="F1517" s="112"/>
      <c r="G1517" s="112"/>
      <c r="H1517" s="112"/>
      <c r="I1517" s="8" t="s">
        <v>317</v>
      </c>
      <c r="J1517" s="41" t="s">
        <v>1110</v>
      </c>
      <c r="K1517" s="57">
        <v>30</v>
      </c>
      <c r="L1517" s="58">
        <v>30</v>
      </c>
    </row>
    <row r="1518" spans="1:12" ht="15.75">
      <c r="A1518" s="105">
        <v>1457</v>
      </c>
      <c r="B1518" s="125"/>
      <c r="C1518" s="125"/>
      <c r="D1518" s="137" t="s">
        <v>1746</v>
      </c>
      <c r="E1518" s="205" t="s">
        <v>830</v>
      </c>
      <c r="F1518" s="112"/>
      <c r="G1518" s="112"/>
      <c r="H1518" s="112"/>
      <c r="I1518" s="8" t="s">
        <v>317</v>
      </c>
      <c r="J1518" s="41" t="s">
        <v>1110</v>
      </c>
      <c r="K1518" s="57">
        <v>30</v>
      </c>
      <c r="L1518" s="58">
        <v>30</v>
      </c>
    </row>
    <row r="1519" spans="1:12" ht="15.75">
      <c r="A1519" s="105">
        <v>1458</v>
      </c>
      <c r="B1519" s="125"/>
      <c r="C1519" s="125"/>
      <c r="D1519" s="137" t="s">
        <v>2733</v>
      </c>
      <c r="E1519" s="205" t="s">
        <v>830</v>
      </c>
      <c r="F1519" s="112"/>
      <c r="G1519" s="112"/>
      <c r="H1519" s="112"/>
      <c r="I1519" s="8" t="s">
        <v>317</v>
      </c>
      <c r="J1519" s="41" t="s">
        <v>1110</v>
      </c>
      <c r="K1519" s="57">
        <v>30</v>
      </c>
      <c r="L1519" s="58">
        <v>30</v>
      </c>
    </row>
    <row r="1520" spans="1:12" ht="15.75">
      <c r="A1520" s="105">
        <v>1459</v>
      </c>
      <c r="B1520" s="125"/>
      <c r="C1520" s="125"/>
      <c r="D1520" s="137" t="s">
        <v>2733</v>
      </c>
      <c r="E1520" s="205" t="s">
        <v>830</v>
      </c>
      <c r="F1520" s="112"/>
      <c r="G1520" s="112"/>
      <c r="H1520" s="112"/>
      <c r="I1520" s="8" t="s">
        <v>317</v>
      </c>
      <c r="J1520" s="41" t="s">
        <v>1110</v>
      </c>
      <c r="K1520" s="57">
        <v>30</v>
      </c>
      <c r="L1520" s="58">
        <v>30</v>
      </c>
    </row>
    <row r="1521" spans="1:12" ht="15.75">
      <c r="A1521" s="105">
        <v>1460</v>
      </c>
      <c r="B1521" s="125"/>
      <c r="C1521" s="125"/>
      <c r="D1521" s="137" t="s">
        <v>2733</v>
      </c>
      <c r="E1521" s="205" t="s">
        <v>830</v>
      </c>
      <c r="F1521" s="112"/>
      <c r="G1521" s="112"/>
      <c r="H1521" s="112"/>
      <c r="I1521" s="8" t="s">
        <v>317</v>
      </c>
      <c r="J1521" s="41" t="s">
        <v>1110</v>
      </c>
      <c r="K1521" s="57">
        <v>30</v>
      </c>
      <c r="L1521" s="58">
        <v>30</v>
      </c>
    </row>
    <row r="1522" spans="1:12" ht="15.75">
      <c r="A1522" s="105">
        <v>1461</v>
      </c>
      <c r="B1522" s="125"/>
      <c r="C1522" s="125"/>
      <c r="D1522" s="137" t="s">
        <v>2733</v>
      </c>
      <c r="E1522" s="205" t="s">
        <v>830</v>
      </c>
      <c r="F1522" s="112"/>
      <c r="G1522" s="112"/>
      <c r="H1522" s="112"/>
      <c r="I1522" s="8" t="s">
        <v>317</v>
      </c>
      <c r="J1522" s="41" t="s">
        <v>1110</v>
      </c>
      <c r="K1522" s="57">
        <v>30</v>
      </c>
      <c r="L1522" s="58">
        <v>30</v>
      </c>
    </row>
    <row r="1523" spans="1:12" ht="15.75">
      <c r="A1523" s="105">
        <v>1462</v>
      </c>
      <c r="B1523" s="125"/>
      <c r="C1523" s="125"/>
      <c r="D1523" s="137" t="s">
        <v>2734</v>
      </c>
      <c r="E1523" s="205" t="s">
        <v>830</v>
      </c>
      <c r="F1523" s="112"/>
      <c r="G1523" s="112"/>
      <c r="H1523" s="112"/>
      <c r="I1523" s="8" t="s">
        <v>317</v>
      </c>
      <c r="J1523" s="41" t="s">
        <v>1110</v>
      </c>
      <c r="K1523" s="57">
        <v>30</v>
      </c>
      <c r="L1523" s="58">
        <v>30</v>
      </c>
    </row>
    <row r="1524" spans="1:12" ht="15.75">
      <c r="A1524" s="105">
        <v>1463</v>
      </c>
      <c r="B1524" s="125"/>
      <c r="C1524" s="125"/>
      <c r="D1524" s="137" t="s">
        <v>2734</v>
      </c>
      <c r="E1524" s="205" t="s">
        <v>830</v>
      </c>
      <c r="F1524" s="112"/>
      <c r="G1524" s="112"/>
      <c r="H1524" s="112"/>
      <c r="I1524" s="8" t="s">
        <v>317</v>
      </c>
      <c r="J1524" s="41" t="s">
        <v>1110</v>
      </c>
      <c r="K1524" s="57">
        <v>30</v>
      </c>
      <c r="L1524" s="58">
        <v>30</v>
      </c>
    </row>
    <row r="1525" spans="1:12" ht="15.75">
      <c r="A1525" s="105">
        <v>1464</v>
      </c>
      <c r="B1525" s="125"/>
      <c r="C1525" s="125"/>
      <c r="D1525" s="137" t="s">
        <v>2735</v>
      </c>
      <c r="E1525" s="205" t="s">
        <v>830</v>
      </c>
      <c r="F1525" s="112"/>
      <c r="G1525" s="112"/>
      <c r="H1525" s="112"/>
      <c r="I1525" s="8" t="s">
        <v>317</v>
      </c>
      <c r="J1525" s="41" t="s">
        <v>1110</v>
      </c>
      <c r="K1525" s="57">
        <v>30</v>
      </c>
      <c r="L1525" s="58">
        <v>30</v>
      </c>
    </row>
    <row r="1526" spans="1:12" ht="15.75">
      <c r="A1526" s="105">
        <v>1465</v>
      </c>
      <c r="B1526" s="125"/>
      <c r="C1526" s="125"/>
      <c r="D1526" s="137" t="s">
        <v>2735</v>
      </c>
      <c r="E1526" s="205" t="s">
        <v>830</v>
      </c>
      <c r="F1526" s="112"/>
      <c r="G1526" s="112"/>
      <c r="H1526" s="112"/>
      <c r="I1526" s="8" t="s">
        <v>317</v>
      </c>
      <c r="J1526" s="41" t="s">
        <v>1110</v>
      </c>
      <c r="K1526" s="57">
        <v>30</v>
      </c>
      <c r="L1526" s="58">
        <v>30</v>
      </c>
    </row>
    <row r="1527" spans="1:12" ht="15.75">
      <c r="A1527" s="105">
        <v>1466</v>
      </c>
      <c r="B1527" s="125"/>
      <c r="C1527" s="125"/>
      <c r="D1527" s="138" t="s">
        <v>2735</v>
      </c>
      <c r="E1527" s="203" t="s">
        <v>830</v>
      </c>
      <c r="F1527" s="112"/>
      <c r="G1527" s="112"/>
      <c r="H1527" s="112"/>
      <c r="I1527" s="8" t="s">
        <v>317</v>
      </c>
      <c r="J1527" s="41" t="s">
        <v>1110</v>
      </c>
      <c r="K1527" s="57">
        <v>30</v>
      </c>
      <c r="L1527" s="58">
        <v>30</v>
      </c>
    </row>
    <row r="1528" spans="1:12" ht="15.75">
      <c r="A1528" s="105">
        <v>1467</v>
      </c>
      <c r="B1528" s="125"/>
      <c r="C1528" s="125"/>
      <c r="D1528" s="136" t="s">
        <v>1747</v>
      </c>
      <c r="E1528" s="204" t="s">
        <v>830</v>
      </c>
      <c r="F1528" s="112"/>
      <c r="G1528" s="112"/>
      <c r="H1528" s="112"/>
      <c r="I1528" s="8" t="s">
        <v>317</v>
      </c>
      <c r="J1528" s="41" t="s">
        <v>1110</v>
      </c>
      <c r="K1528" s="57">
        <v>30</v>
      </c>
      <c r="L1528" s="58">
        <v>30</v>
      </c>
    </row>
    <row r="1529" spans="1:12" ht="15.75">
      <c r="A1529" s="105">
        <v>1468</v>
      </c>
      <c r="B1529" s="125"/>
      <c r="C1529" s="125"/>
      <c r="D1529" s="136" t="s">
        <v>1747</v>
      </c>
      <c r="E1529" s="204" t="s">
        <v>830</v>
      </c>
      <c r="F1529" s="112"/>
      <c r="G1529" s="112"/>
      <c r="H1529" s="112"/>
      <c r="I1529" s="8" t="s">
        <v>317</v>
      </c>
      <c r="J1529" s="41" t="s">
        <v>1110</v>
      </c>
      <c r="K1529" s="57">
        <v>30</v>
      </c>
      <c r="L1529" s="58">
        <v>30</v>
      </c>
    </row>
    <row r="1530" spans="1:12" ht="15.75">
      <c r="A1530" s="105">
        <v>1469</v>
      </c>
      <c r="B1530" s="125"/>
      <c r="C1530" s="125"/>
      <c r="D1530" s="137" t="s">
        <v>1747</v>
      </c>
      <c r="E1530" s="205" t="s">
        <v>830</v>
      </c>
      <c r="F1530" s="112"/>
      <c r="G1530" s="112"/>
      <c r="H1530" s="112"/>
      <c r="I1530" s="8" t="s">
        <v>317</v>
      </c>
      <c r="J1530" s="41" t="s">
        <v>1110</v>
      </c>
      <c r="K1530" s="57">
        <v>30</v>
      </c>
      <c r="L1530" s="58">
        <v>30</v>
      </c>
    </row>
    <row r="1531" spans="1:12" ht="15.75">
      <c r="A1531" s="105">
        <v>1470</v>
      </c>
      <c r="B1531" s="125"/>
      <c r="C1531" s="125"/>
      <c r="D1531" s="137" t="s">
        <v>1747</v>
      </c>
      <c r="E1531" s="205" t="s">
        <v>830</v>
      </c>
      <c r="F1531" s="112"/>
      <c r="G1531" s="112"/>
      <c r="H1531" s="112"/>
      <c r="I1531" s="8" t="s">
        <v>317</v>
      </c>
      <c r="J1531" s="41" t="s">
        <v>1110</v>
      </c>
      <c r="K1531" s="57">
        <v>30</v>
      </c>
      <c r="L1531" s="58">
        <v>30</v>
      </c>
    </row>
    <row r="1532" spans="1:12" ht="15.75">
      <c r="A1532" s="105">
        <v>1471</v>
      </c>
      <c r="B1532" s="125"/>
      <c r="C1532" s="125"/>
      <c r="D1532" s="137" t="s">
        <v>2640</v>
      </c>
      <c r="E1532" s="205" t="s">
        <v>830</v>
      </c>
      <c r="F1532" s="112"/>
      <c r="G1532" s="112"/>
      <c r="H1532" s="112"/>
      <c r="I1532" s="8" t="s">
        <v>317</v>
      </c>
      <c r="J1532" s="41" t="s">
        <v>1110</v>
      </c>
      <c r="K1532" s="57">
        <v>30</v>
      </c>
      <c r="L1532" s="58">
        <v>30</v>
      </c>
    </row>
    <row r="1533" spans="1:12" ht="15.75">
      <c r="A1533" s="105">
        <v>1472</v>
      </c>
      <c r="B1533" s="125"/>
      <c r="C1533" s="125"/>
      <c r="D1533" s="137" t="s">
        <v>2640</v>
      </c>
      <c r="E1533" s="205" t="s">
        <v>830</v>
      </c>
      <c r="F1533" s="112"/>
      <c r="G1533" s="112"/>
      <c r="H1533" s="112"/>
      <c r="I1533" s="8" t="s">
        <v>317</v>
      </c>
      <c r="J1533" s="41" t="s">
        <v>1110</v>
      </c>
      <c r="K1533" s="57">
        <v>30</v>
      </c>
      <c r="L1533" s="58">
        <v>30</v>
      </c>
    </row>
    <row r="1534" spans="1:12" ht="15.75">
      <c r="A1534" s="105">
        <v>1473</v>
      </c>
      <c r="B1534" s="125"/>
      <c r="C1534" s="125"/>
      <c r="D1534" s="137" t="s">
        <v>2640</v>
      </c>
      <c r="E1534" s="205" t="s">
        <v>830</v>
      </c>
      <c r="F1534" s="112"/>
      <c r="G1534" s="112"/>
      <c r="H1534" s="112"/>
      <c r="I1534" s="8" t="s">
        <v>317</v>
      </c>
      <c r="J1534" s="41" t="s">
        <v>1110</v>
      </c>
      <c r="K1534" s="57">
        <v>30</v>
      </c>
      <c r="L1534" s="58">
        <v>30</v>
      </c>
    </row>
    <row r="1535" spans="1:12" ht="15.75">
      <c r="A1535" s="105">
        <v>1474</v>
      </c>
      <c r="B1535" s="125"/>
      <c r="C1535" s="125"/>
      <c r="D1535" s="137" t="s">
        <v>2657</v>
      </c>
      <c r="E1535" s="205" t="s">
        <v>830</v>
      </c>
      <c r="F1535" s="112"/>
      <c r="G1535" s="112"/>
      <c r="H1535" s="112"/>
      <c r="I1535" s="8" t="s">
        <v>317</v>
      </c>
      <c r="J1535" s="41" t="s">
        <v>1110</v>
      </c>
      <c r="K1535" s="57">
        <v>30</v>
      </c>
      <c r="L1535" s="58">
        <v>30</v>
      </c>
    </row>
    <row r="1536" spans="1:12" ht="15.75">
      <c r="A1536" s="105">
        <v>1475</v>
      </c>
      <c r="B1536" s="125"/>
      <c r="C1536" s="125"/>
      <c r="D1536" s="137" t="s">
        <v>2657</v>
      </c>
      <c r="E1536" s="205" t="s">
        <v>830</v>
      </c>
      <c r="F1536" s="112"/>
      <c r="G1536" s="112"/>
      <c r="H1536" s="112"/>
      <c r="I1536" s="8" t="s">
        <v>317</v>
      </c>
      <c r="J1536" s="41" t="s">
        <v>1110</v>
      </c>
      <c r="K1536" s="57">
        <v>30</v>
      </c>
      <c r="L1536" s="58">
        <v>30</v>
      </c>
    </row>
    <row r="1537" spans="1:12" ht="15.75">
      <c r="A1537" s="105">
        <v>1476</v>
      </c>
      <c r="B1537" s="125"/>
      <c r="C1537" s="125"/>
      <c r="D1537" s="137" t="s">
        <v>2736</v>
      </c>
      <c r="E1537" s="205" t="s">
        <v>830</v>
      </c>
      <c r="F1537" s="112"/>
      <c r="G1537" s="112"/>
      <c r="H1537" s="112"/>
      <c r="I1537" s="8" t="s">
        <v>317</v>
      </c>
      <c r="J1537" s="41" t="s">
        <v>1110</v>
      </c>
      <c r="K1537" s="57">
        <v>30</v>
      </c>
      <c r="L1537" s="58">
        <v>30</v>
      </c>
    </row>
    <row r="1538" spans="1:12" ht="15.75">
      <c r="A1538" s="105">
        <v>1477</v>
      </c>
      <c r="B1538" s="125"/>
      <c r="C1538" s="125"/>
      <c r="D1538" s="126" t="s">
        <v>2736</v>
      </c>
      <c r="E1538" s="193" t="s">
        <v>830</v>
      </c>
      <c r="F1538" s="112"/>
      <c r="G1538" s="112"/>
      <c r="H1538" s="112"/>
      <c r="I1538" s="8" t="s">
        <v>317</v>
      </c>
      <c r="J1538" s="41" t="s">
        <v>1110</v>
      </c>
      <c r="K1538" s="57">
        <v>30</v>
      </c>
      <c r="L1538" s="58">
        <v>30</v>
      </c>
    </row>
    <row r="1539" spans="1:12" ht="15.75">
      <c r="A1539" s="105">
        <v>1478</v>
      </c>
      <c r="B1539" s="125"/>
      <c r="C1539" s="125"/>
      <c r="D1539" s="139" t="s">
        <v>1748</v>
      </c>
      <c r="E1539" s="206" t="s">
        <v>830</v>
      </c>
      <c r="F1539" s="112"/>
      <c r="G1539" s="112"/>
      <c r="H1539" s="112"/>
      <c r="I1539" s="8" t="s">
        <v>317</v>
      </c>
      <c r="J1539" s="41" t="s">
        <v>1110</v>
      </c>
      <c r="K1539" s="57">
        <v>30</v>
      </c>
      <c r="L1539" s="58">
        <v>30</v>
      </c>
    </row>
    <row r="1540" spans="1:12" ht="15.75">
      <c r="A1540" s="105">
        <v>1479</v>
      </c>
      <c r="B1540" s="125"/>
      <c r="C1540" s="125"/>
      <c r="D1540" s="139" t="s">
        <v>1748</v>
      </c>
      <c r="E1540" s="206" t="s">
        <v>830</v>
      </c>
      <c r="F1540" s="112"/>
      <c r="G1540" s="112"/>
      <c r="H1540" s="112"/>
      <c r="I1540" s="8" t="s">
        <v>317</v>
      </c>
      <c r="J1540" s="41" t="s">
        <v>1110</v>
      </c>
      <c r="K1540" s="57">
        <v>30</v>
      </c>
      <c r="L1540" s="58">
        <v>30</v>
      </c>
    </row>
    <row r="1541" spans="1:12" ht="15.75">
      <c r="A1541" s="105">
        <v>1480</v>
      </c>
      <c r="B1541" s="125"/>
      <c r="C1541" s="125"/>
      <c r="D1541" s="139" t="s">
        <v>1748</v>
      </c>
      <c r="E1541" s="206" t="s">
        <v>830</v>
      </c>
      <c r="F1541" s="112"/>
      <c r="G1541" s="112"/>
      <c r="H1541" s="112"/>
      <c r="I1541" s="8" t="s">
        <v>317</v>
      </c>
      <c r="J1541" s="41" t="s">
        <v>1110</v>
      </c>
      <c r="K1541" s="57">
        <v>30</v>
      </c>
      <c r="L1541" s="58">
        <v>30</v>
      </c>
    </row>
    <row r="1542" spans="1:12" ht="15.75">
      <c r="A1542" s="105">
        <v>1481</v>
      </c>
      <c r="B1542" s="125"/>
      <c r="C1542" s="125"/>
      <c r="D1542" s="140" t="s">
        <v>1748</v>
      </c>
      <c r="E1542" s="207" t="s">
        <v>830</v>
      </c>
      <c r="F1542" s="112"/>
      <c r="G1542" s="112"/>
      <c r="H1542" s="112"/>
      <c r="I1542" s="8" t="s">
        <v>317</v>
      </c>
      <c r="J1542" s="41" t="s">
        <v>1110</v>
      </c>
      <c r="K1542" s="57">
        <v>30</v>
      </c>
      <c r="L1542" s="58">
        <v>30</v>
      </c>
    </row>
    <row r="1543" spans="1:12" ht="15.75">
      <c r="A1543" s="105">
        <v>1482</v>
      </c>
      <c r="B1543" s="125"/>
      <c r="C1543" s="125"/>
      <c r="D1543" s="140" t="s">
        <v>1748</v>
      </c>
      <c r="E1543" s="207" t="s">
        <v>830</v>
      </c>
      <c r="F1543" s="112"/>
      <c r="G1543" s="112"/>
      <c r="H1543" s="112"/>
      <c r="I1543" s="8" t="s">
        <v>317</v>
      </c>
      <c r="J1543" s="41" t="s">
        <v>1110</v>
      </c>
      <c r="K1543" s="57">
        <v>30</v>
      </c>
      <c r="L1543" s="58">
        <v>30</v>
      </c>
    </row>
    <row r="1544" spans="1:12" ht="15.75">
      <c r="A1544" s="105">
        <v>1483</v>
      </c>
      <c r="B1544" s="125"/>
      <c r="C1544" s="125"/>
      <c r="D1544" s="140" t="s">
        <v>1748</v>
      </c>
      <c r="E1544" s="207" t="s">
        <v>830</v>
      </c>
      <c r="F1544" s="112"/>
      <c r="G1544" s="112"/>
      <c r="H1544" s="112"/>
      <c r="I1544" s="8" t="s">
        <v>317</v>
      </c>
      <c r="J1544" s="41" t="s">
        <v>1110</v>
      </c>
      <c r="K1544" s="57">
        <v>30</v>
      </c>
      <c r="L1544" s="58">
        <v>30</v>
      </c>
    </row>
    <row r="1545" spans="1:12" ht="15.75">
      <c r="A1545" s="105">
        <v>1484</v>
      </c>
      <c r="B1545" s="125"/>
      <c r="C1545" s="125"/>
      <c r="D1545" s="140" t="s">
        <v>2653</v>
      </c>
      <c r="E1545" s="207" t="s">
        <v>830</v>
      </c>
      <c r="F1545" s="112"/>
      <c r="G1545" s="112"/>
      <c r="H1545" s="112"/>
      <c r="I1545" s="8" t="s">
        <v>317</v>
      </c>
      <c r="J1545" s="41" t="s">
        <v>1110</v>
      </c>
      <c r="K1545" s="57">
        <v>30</v>
      </c>
      <c r="L1545" s="58">
        <v>30</v>
      </c>
    </row>
    <row r="1546" spans="1:12" ht="15.75">
      <c r="A1546" s="105">
        <v>1485</v>
      </c>
      <c r="B1546" s="125"/>
      <c r="C1546" s="125"/>
      <c r="D1546" s="140" t="s">
        <v>2653</v>
      </c>
      <c r="E1546" s="207" t="s">
        <v>830</v>
      </c>
      <c r="F1546" s="112"/>
      <c r="G1546" s="112"/>
      <c r="H1546" s="112"/>
      <c r="I1546" s="8" t="s">
        <v>317</v>
      </c>
      <c r="J1546" s="41" t="s">
        <v>1110</v>
      </c>
      <c r="K1546" s="57">
        <v>30</v>
      </c>
      <c r="L1546" s="58">
        <v>30</v>
      </c>
    </row>
    <row r="1547" spans="1:12" ht="15.75">
      <c r="A1547" s="105">
        <v>1486</v>
      </c>
      <c r="B1547" s="125"/>
      <c r="C1547" s="125"/>
      <c r="D1547" s="140" t="s">
        <v>2653</v>
      </c>
      <c r="E1547" s="207" t="s">
        <v>830</v>
      </c>
      <c r="F1547" s="112"/>
      <c r="G1547" s="112"/>
      <c r="H1547" s="112"/>
      <c r="I1547" s="8" t="s">
        <v>317</v>
      </c>
      <c r="J1547" s="41" t="s">
        <v>1110</v>
      </c>
      <c r="K1547" s="57">
        <v>30</v>
      </c>
      <c r="L1547" s="58">
        <v>30</v>
      </c>
    </row>
    <row r="1548" spans="1:12" ht="15.75">
      <c r="A1548" s="105">
        <v>1487</v>
      </c>
      <c r="B1548" s="125"/>
      <c r="C1548" s="125"/>
      <c r="D1548" s="140" t="s">
        <v>2653</v>
      </c>
      <c r="E1548" s="207" t="s">
        <v>830</v>
      </c>
      <c r="F1548" s="112"/>
      <c r="G1548" s="112"/>
      <c r="H1548" s="112"/>
      <c r="I1548" s="8" t="s">
        <v>317</v>
      </c>
      <c r="J1548" s="41" t="s">
        <v>1110</v>
      </c>
      <c r="K1548" s="57">
        <v>30</v>
      </c>
      <c r="L1548" s="58">
        <v>30</v>
      </c>
    </row>
    <row r="1549" spans="1:12" ht="15.75">
      <c r="A1549" s="105">
        <v>1488</v>
      </c>
      <c r="B1549" s="125"/>
      <c r="C1549" s="125"/>
      <c r="D1549" s="140" t="s">
        <v>2737</v>
      </c>
      <c r="E1549" s="207" t="s">
        <v>830</v>
      </c>
      <c r="F1549" s="112"/>
      <c r="G1549" s="112"/>
      <c r="H1549" s="112"/>
      <c r="I1549" s="8" t="s">
        <v>317</v>
      </c>
      <c r="J1549" s="41" t="s">
        <v>1110</v>
      </c>
      <c r="K1549" s="57">
        <v>30</v>
      </c>
      <c r="L1549" s="58">
        <v>30</v>
      </c>
    </row>
    <row r="1550" spans="1:12" ht="15.75">
      <c r="A1550" s="105">
        <v>1489</v>
      </c>
      <c r="B1550" s="125"/>
      <c r="C1550" s="125"/>
      <c r="D1550" s="140" t="s">
        <v>2652</v>
      </c>
      <c r="E1550" s="207" t="s">
        <v>830</v>
      </c>
      <c r="F1550" s="112"/>
      <c r="G1550" s="112"/>
      <c r="H1550" s="112"/>
      <c r="I1550" s="8" t="s">
        <v>317</v>
      </c>
      <c r="J1550" s="41" t="s">
        <v>1110</v>
      </c>
      <c r="K1550" s="57">
        <v>30</v>
      </c>
      <c r="L1550" s="58">
        <v>30</v>
      </c>
    </row>
    <row r="1551" spans="1:12" ht="15.75">
      <c r="A1551" s="105">
        <v>1490</v>
      </c>
      <c r="B1551" s="125"/>
      <c r="C1551" s="125"/>
      <c r="D1551" s="140" t="s">
        <v>2652</v>
      </c>
      <c r="E1551" s="207" t="s">
        <v>830</v>
      </c>
      <c r="F1551" s="112"/>
      <c r="G1551" s="112"/>
      <c r="H1551" s="112"/>
      <c r="I1551" s="8" t="s">
        <v>317</v>
      </c>
      <c r="J1551" s="41" t="s">
        <v>1110</v>
      </c>
      <c r="K1551" s="57">
        <v>30</v>
      </c>
      <c r="L1551" s="58">
        <v>30</v>
      </c>
    </row>
    <row r="1552" spans="1:12" ht="15.75">
      <c r="A1552" s="105">
        <v>1491</v>
      </c>
      <c r="B1552" s="125"/>
      <c r="C1552" s="125"/>
      <c r="D1552" s="140" t="s">
        <v>2738</v>
      </c>
      <c r="E1552" s="207" t="s">
        <v>830</v>
      </c>
      <c r="F1552" s="112"/>
      <c r="G1552" s="112"/>
      <c r="H1552" s="112"/>
      <c r="I1552" s="8" t="s">
        <v>317</v>
      </c>
      <c r="J1552" s="41" t="s">
        <v>1110</v>
      </c>
      <c r="K1552" s="57">
        <v>30</v>
      </c>
      <c r="L1552" s="58">
        <v>30</v>
      </c>
    </row>
    <row r="1553" spans="1:12" ht="15.75">
      <c r="A1553" s="105">
        <v>1492</v>
      </c>
      <c r="B1553" s="125"/>
      <c r="C1553" s="125"/>
      <c r="D1553" s="140" t="s">
        <v>2738</v>
      </c>
      <c r="E1553" s="207" t="s">
        <v>830</v>
      </c>
      <c r="F1553" s="112"/>
      <c r="G1553" s="112"/>
      <c r="H1553" s="112"/>
      <c r="I1553" s="8" t="s">
        <v>317</v>
      </c>
      <c r="J1553" s="41" t="s">
        <v>1110</v>
      </c>
      <c r="K1553" s="57">
        <v>30</v>
      </c>
      <c r="L1553" s="58">
        <v>30</v>
      </c>
    </row>
    <row r="1554" spans="1:12" ht="15.75">
      <c r="A1554" s="105">
        <v>1493</v>
      </c>
      <c r="B1554" s="125"/>
      <c r="C1554" s="125"/>
      <c r="D1554" s="140" t="s">
        <v>2738</v>
      </c>
      <c r="E1554" s="207" t="s">
        <v>830</v>
      </c>
      <c r="F1554" s="112"/>
      <c r="G1554" s="112"/>
      <c r="H1554" s="112"/>
      <c r="I1554" s="8" t="s">
        <v>317</v>
      </c>
      <c r="J1554" s="41" t="s">
        <v>1110</v>
      </c>
      <c r="K1554" s="57">
        <v>30</v>
      </c>
      <c r="L1554" s="58">
        <v>30</v>
      </c>
    </row>
    <row r="1555" spans="1:12" ht="15.75">
      <c r="A1555" s="105">
        <v>1494</v>
      </c>
      <c r="B1555" s="125"/>
      <c r="C1555" s="125"/>
      <c r="D1555" s="141" t="s">
        <v>2738</v>
      </c>
      <c r="E1555" s="208" t="s">
        <v>830</v>
      </c>
      <c r="F1555" s="112"/>
      <c r="G1555" s="112"/>
      <c r="H1555" s="112"/>
      <c r="I1555" s="8" t="s">
        <v>317</v>
      </c>
      <c r="J1555" s="41" t="s">
        <v>1110</v>
      </c>
      <c r="K1555" s="57">
        <v>30</v>
      </c>
      <c r="L1555" s="58">
        <v>30</v>
      </c>
    </row>
    <row r="1556" spans="1:12" ht="15.75">
      <c r="A1556" s="105">
        <v>1495</v>
      </c>
      <c r="B1556" s="125"/>
      <c r="C1556" s="125"/>
      <c r="D1556" s="132" t="s">
        <v>2739</v>
      </c>
      <c r="E1556" s="200" t="s">
        <v>830</v>
      </c>
      <c r="F1556" s="112"/>
      <c r="G1556" s="112"/>
      <c r="H1556" s="112"/>
      <c r="I1556" s="8" t="s">
        <v>317</v>
      </c>
      <c r="J1556" s="41" t="s">
        <v>1110</v>
      </c>
      <c r="K1556" s="57">
        <v>30</v>
      </c>
      <c r="L1556" s="58">
        <v>30</v>
      </c>
    </row>
    <row r="1557" spans="1:12" ht="15.75">
      <c r="A1557" s="105">
        <v>1496</v>
      </c>
      <c r="B1557" s="125"/>
      <c r="C1557" s="125"/>
      <c r="D1557" s="145" t="s">
        <v>2740</v>
      </c>
      <c r="E1557" s="212" t="s">
        <v>830</v>
      </c>
      <c r="F1557" s="112"/>
      <c r="G1557" s="112"/>
      <c r="H1557" s="112"/>
      <c r="I1557" s="7" t="s">
        <v>2763</v>
      </c>
      <c r="J1557" s="41" t="s">
        <v>1110</v>
      </c>
      <c r="K1557" s="57">
        <v>30</v>
      </c>
      <c r="L1557" s="58">
        <v>30</v>
      </c>
    </row>
    <row r="1558" spans="1:12" ht="15.75">
      <c r="A1558" s="105">
        <v>1497</v>
      </c>
      <c r="B1558" s="125"/>
      <c r="C1558" s="125"/>
      <c r="D1558" s="146" t="s">
        <v>2741</v>
      </c>
      <c r="E1558" s="213" t="s">
        <v>830</v>
      </c>
      <c r="F1558" s="112"/>
      <c r="G1558" s="112"/>
      <c r="H1558" s="112"/>
      <c r="I1558" s="7" t="s">
        <v>2763</v>
      </c>
      <c r="J1558" s="41" t="s">
        <v>1110</v>
      </c>
      <c r="K1558" s="57">
        <v>30</v>
      </c>
      <c r="L1558" s="58">
        <v>30</v>
      </c>
    </row>
    <row r="1559" spans="1:12" ht="15.75">
      <c r="A1559" s="105">
        <v>1498</v>
      </c>
      <c r="B1559" s="125"/>
      <c r="C1559" s="125"/>
      <c r="D1559" s="146" t="s">
        <v>2739</v>
      </c>
      <c r="E1559" s="213" t="s">
        <v>830</v>
      </c>
      <c r="F1559" s="112"/>
      <c r="G1559" s="112"/>
      <c r="H1559" s="112"/>
      <c r="I1559" s="7" t="s">
        <v>2763</v>
      </c>
      <c r="J1559" s="41" t="s">
        <v>1110</v>
      </c>
      <c r="K1559" s="57">
        <v>30</v>
      </c>
      <c r="L1559" s="58">
        <v>30</v>
      </c>
    </row>
    <row r="1560" spans="1:12" ht="15.75">
      <c r="A1560" s="105">
        <v>1499</v>
      </c>
      <c r="B1560" s="125"/>
      <c r="C1560" s="125"/>
      <c r="D1560" s="146" t="s">
        <v>2742</v>
      </c>
      <c r="E1560" s="213" t="s">
        <v>830</v>
      </c>
      <c r="F1560" s="112"/>
      <c r="G1560" s="112"/>
      <c r="H1560" s="112"/>
      <c r="I1560" s="7" t="s">
        <v>2763</v>
      </c>
      <c r="J1560" s="41" t="s">
        <v>1110</v>
      </c>
      <c r="K1560" s="57">
        <v>30</v>
      </c>
      <c r="L1560" s="58">
        <v>30</v>
      </c>
    </row>
    <row r="1561" spans="1:12" ht="15.75">
      <c r="A1561" s="105">
        <v>1500</v>
      </c>
      <c r="B1561" s="125"/>
      <c r="C1561" s="125"/>
      <c r="D1561" s="146" t="s">
        <v>2743</v>
      </c>
      <c r="E1561" s="213" t="s">
        <v>830</v>
      </c>
      <c r="F1561" s="112"/>
      <c r="G1561" s="112"/>
      <c r="H1561" s="112"/>
      <c r="I1561" s="7" t="s">
        <v>2763</v>
      </c>
      <c r="J1561" s="41" t="s">
        <v>1110</v>
      </c>
      <c r="K1561" s="57">
        <v>30</v>
      </c>
      <c r="L1561" s="58">
        <v>30</v>
      </c>
    </row>
    <row r="1562" spans="1:12" ht="15.75">
      <c r="A1562" s="105">
        <v>1501</v>
      </c>
      <c r="B1562" s="125"/>
      <c r="C1562" s="125"/>
      <c r="D1562" s="146" t="s">
        <v>2744</v>
      </c>
      <c r="E1562" s="213" t="s">
        <v>830</v>
      </c>
      <c r="F1562" s="112"/>
      <c r="G1562" s="112"/>
      <c r="H1562" s="112"/>
      <c r="I1562" s="7" t="s">
        <v>2763</v>
      </c>
      <c r="J1562" s="41" t="s">
        <v>1110</v>
      </c>
      <c r="K1562" s="57">
        <v>30</v>
      </c>
      <c r="L1562" s="58">
        <v>30</v>
      </c>
    </row>
    <row r="1563" spans="1:12" ht="15.75">
      <c r="A1563" s="105">
        <v>1502</v>
      </c>
      <c r="B1563" s="125"/>
      <c r="C1563" s="125"/>
      <c r="D1563" s="146" t="s">
        <v>2745</v>
      </c>
      <c r="E1563" s="213" t="s">
        <v>830</v>
      </c>
      <c r="F1563" s="112"/>
      <c r="G1563" s="112"/>
      <c r="H1563" s="112"/>
      <c r="I1563" s="7" t="s">
        <v>2763</v>
      </c>
      <c r="J1563" s="41" t="s">
        <v>1110</v>
      </c>
      <c r="K1563" s="57">
        <v>30</v>
      </c>
      <c r="L1563" s="58">
        <v>30</v>
      </c>
    </row>
    <row r="1564" spans="1:12" ht="15.75">
      <c r="A1564" s="105">
        <v>1502</v>
      </c>
      <c r="B1564" s="125"/>
      <c r="C1564" s="125"/>
      <c r="D1564" s="146" t="s">
        <v>4781</v>
      </c>
      <c r="E1564" s="213" t="s">
        <v>830</v>
      </c>
      <c r="F1564" s="112"/>
      <c r="G1564" s="112"/>
      <c r="H1564" s="112"/>
      <c r="I1564" s="7" t="s">
        <v>2763</v>
      </c>
      <c r="J1564" s="41" t="s">
        <v>1110</v>
      </c>
      <c r="K1564" s="57">
        <v>30</v>
      </c>
      <c r="L1564" s="58">
        <v>30</v>
      </c>
    </row>
    <row r="1565" spans="1:12" ht="15.75">
      <c r="A1565" s="105">
        <v>1502</v>
      </c>
      <c r="B1565" s="125"/>
      <c r="C1565" s="125"/>
      <c r="D1565" s="146" t="s">
        <v>4782</v>
      </c>
      <c r="E1565" s="213" t="s">
        <v>830</v>
      </c>
      <c r="F1565" s="112"/>
      <c r="G1565" s="112"/>
      <c r="H1565" s="112"/>
      <c r="I1565" s="7" t="s">
        <v>2763</v>
      </c>
      <c r="J1565" s="41" t="s">
        <v>1110</v>
      </c>
      <c r="K1565" s="57">
        <v>30</v>
      </c>
      <c r="L1565" s="58">
        <v>30</v>
      </c>
    </row>
    <row r="1566" spans="1:12" ht="15.75">
      <c r="A1566" s="105">
        <v>1503</v>
      </c>
      <c r="B1566" s="125"/>
      <c r="C1566" s="125"/>
      <c r="D1566" s="146" t="s">
        <v>2746</v>
      </c>
      <c r="E1566" s="213" t="s">
        <v>830</v>
      </c>
      <c r="F1566" s="112"/>
      <c r="G1566" s="112"/>
      <c r="H1566" s="112"/>
      <c r="I1566" s="7" t="s">
        <v>2763</v>
      </c>
      <c r="J1566" s="41" t="s">
        <v>1110</v>
      </c>
      <c r="K1566" s="57">
        <v>30</v>
      </c>
      <c r="L1566" s="58">
        <v>30</v>
      </c>
    </row>
    <row r="1567" spans="1:12" ht="15.75">
      <c r="A1567" s="105">
        <v>1504</v>
      </c>
      <c r="B1567" s="125"/>
      <c r="C1567" s="125"/>
      <c r="D1567" s="146" t="s">
        <v>2747</v>
      </c>
      <c r="E1567" s="213" t="s">
        <v>830</v>
      </c>
      <c r="F1567" s="112"/>
      <c r="G1567" s="112"/>
      <c r="H1567" s="112"/>
      <c r="I1567" s="7" t="s">
        <v>2763</v>
      </c>
      <c r="J1567" s="41" t="s">
        <v>1110</v>
      </c>
      <c r="K1567" s="57">
        <v>30</v>
      </c>
      <c r="L1567" s="58">
        <v>30</v>
      </c>
    </row>
    <row r="1568" spans="1:12" ht="15.75">
      <c r="A1568" s="105">
        <v>1505</v>
      </c>
      <c r="B1568" s="125"/>
      <c r="C1568" s="125"/>
      <c r="D1568" s="146" t="s">
        <v>2748</v>
      </c>
      <c r="E1568" s="213" t="s">
        <v>830</v>
      </c>
      <c r="F1568" s="112"/>
      <c r="G1568" s="112"/>
      <c r="H1568" s="112"/>
      <c r="I1568" s="7" t="s">
        <v>2763</v>
      </c>
      <c r="J1568" s="41" t="s">
        <v>1110</v>
      </c>
      <c r="K1568" s="57">
        <v>30</v>
      </c>
      <c r="L1568" s="58">
        <v>30</v>
      </c>
    </row>
    <row r="1569" spans="1:12" ht="15.75">
      <c r="A1569" s="105">
        <v>1506</v>
      </c>
      <c r="B1569" s="125"/>
      <c r="C1569" s="125"/>
      <c r="D1569" s="147" t="s">
        <v>2749</v>
      </c>
      <c r="E1569" s="214" t="s">
        <v>830</v>
      </c>
      <c r="F1569" s="112"/>
      <c r="G1569" s="112"/>
      <c r="H1569" s="112"/>
      <c r="I1569" s="8" t="s">
        <v>317</v>
      </c>
      <c r="J1569" s="41" t="s">
        <v>1110</v>
      </c>
      <c r="K1569" s="57">
        <v>30</v>
      </c>
      <c r="L1569" s="58">
        <v>30</v>
      </c>
    </row>
    <row r="1570" spans="1:12" ht="15.75">
      <c r="A1570" s="105">
        <v>1507</v>
      </c>
      <c r="B1570" s="125"/>
      <c r="C1570" s="125"/>
      <c r="D1570" s="148" t="s">
        <v>2749</v>
      </c>
      <c r="E1570" s="215" t="s">
        <v>830</v>
      </c>
      <c r="F1570" s="112"/>
      <c r="G1570" s="112"/>
      <c r="H1570" s="112"/>
      <c r="I1570" s="8" t="s">
        <v>317</v>
      </c>
      <c r="J1570" s="41" t="s">
        <v>1110</v>
      </c>
      <c r="K1570" s="57">
        <v>30</v>
      </c>
      <c r="L1570" s="58">
        <v>30</v>
      </c>
    </row>
    <row r="1571" spans="1:12" ht="15.75">
      <c r="A1571" s="105">
        <v>1508</v>
      </c>
      <c r="B1571" s="125"/>
      <c r="C1571" s="125"/>
      <c r="D1571" s="146" t="s">
        <v>2749</v>
      </c>
      <c r="E1571" s="213" t="s">
        <v>830</v>
      </c>
      <c r="F1571" s="112"/>
      <c r="G1571" s="112"/>
      <c r="H1571" s="112"/>
      <c r="I1571" s="8" t="s">
        <v>317</v>
      </c>
      <c r="J1571" s="41" t="s">
        <v>1110</v>
      </c>
      <c r="K1571" s="57">
        <v>30</v>
      </c>
      <c r="L1571" s="58">
        <v>30</v>
      </c>
    </row>
    <row r="1572" spans="1:12" ht="15.75">
      <c r="A1572" s="105">
        <v>1509</v>
      </c>
      <c r="B1572" s="125"/>
      <c r="C1572" s="125"/>
      <c r="D1572" s="146" t="s">
        <v>2749</v>
      </c>
      <c r="E1572" s="213" t="s">
        <v>830</v>
      </c>
      <c r="F1572" s="112"/>
      <c r="G1572" s="112"/>
      <c r="H1572" s="112"/>
      <c r="I1572" s="8" t="s">
        <v>317</v>
      </c>
      <c r="J1572" s="41" t="s">
        <v>1110</v>
      </c>
      <c r="K1572" s="57">
        <v>30</v>
      </c>
      <c r="L1572" s="58">
        <v>30</v>
      </c>
    </row>
    <row r="1573" spans="1:12" ht="15.75">
      <c r="A1573" s="105">
        <v>1510</v>
      </c>
      <c r="B1573" s="125"/>
      <c r="C1573" s="125"/>
      <c r="D1573" s="147" t="s">
        <v>2750</v>
      </c>
      <c r="E1573" s="214" t="s">
        <v>830</v>
      </c>
      <c r="F1573" s="112"/>
      <c r="G1573" s="112"/>
      <c r="H1573" s="112"/>
      <c r="I1573" s="8" t="s">
        <v>317</v>
      </c>
      <c r="J1573" s="41" t="s">
        <v>1110</v>
      </c>
      <c r="K1573" s="57">
        <v>30</v>
      </c>
      <c r="L1573" s="58">
        <v>30</v>
      </c>
    </row>
    <row r="1574" spans="1:12" ht="15.75">
      <c r="A1574" s="105">
        <v>1511</v>
      </c>
      <c r="B1574" s="125"/>
      <c r="C1574" s="125"/>
      <c r="D1574" s="148" t="s">
        <v>2750</v>
      </c>
      <c r="E1574" s="215" t="s">
        <v>830</v>
      </c>
      <c r="F1574" s="112"/>
      <c r="G1574" s="112"/>
      <c r="H1574" s="112"/>
      <c r="I1574" s="8" t="s">
        <v>317</v>
      </c>
      <c r="J1574" s="41" t="s">
        <v>1110</v>
      </c>
      <c r="K1574" s="57">
        <v>30</v>
      </c>
      <c r="L1574" s="58">
        <v>30</v>
      </c>
    </row>
    <row r="1575" spans="1:12" ht="15.75">
      <c r="A1575" s="105">
        <v>1512</v>
      </c>
      <c r="B1575" s="125"/>
      <c r="C1575" s="125"/>
      <c r="D1575" s="146" t="s">
        <v>2750</v>
      </c>
      <c r="E1575" s="213" t="s">
        <v>830</v>
      </c>
      <c r="F1575" s="112"/>
      <c r="G1575" s="112"/>
      <c r="H1575" s="112"/>
      <c r="I1575" s="8" t="s">
        <v>317</v>
      </c>
      <c r="J1575" s="41" t="s">
        <v>1110</v>
      </c>
      <c r="K1575" s="57">
        <v>30</v>
      </c>
      <c r="L1575" s="58">
        <v>30</v>
      </c>
    </row>
    <row r="1576" spans="1:12" ht="15.75">
      <c r="A1576" s="105">
        <v>1513</v>
      </c>
      <c r="B1576" s="125"/>
      <c r="C1576" s="125"/>
      <c r="D1576" s="146" t="s">
        <v>2750</v>
      </c>
      <c r="E1576" s="213" t="s">
        <v>830</v>
      </c>
      <c r="F1576" s="112"/>
      <c r="G1576" s="112"/>
      <c r="H1576" s="112"/>
      <c r="I1576" s="8" t="s">
        <v>317</v>
      </c>
      <c r="J1576" s="41" t="s">
        <v>1110</v>
      </c>
      <c r="K1576" s="57">
        <v>30</v>
      </c>
      <c r="L1576" s="58">
        <v>30</v>
      </c>
    </row>
    <row r="1577" spans="1:12" ht="15.75">
      <c r="A1577" s="105">
        <v>1514</v>
      </c>
      <c r="B1577" s="125"/>
      <c r="C1577" s="125"/>
      <c r="D1577" s="147" t="s">
        <v>2751</v>
      </c>
      <c r="E1577" s="214" t="s">
        <v>830</v>
      </c>
      <c r="F1577" s="112"/>
      <c r="G1577" s="112"/>
      <c r="H1577" s="112"/>
      <c r="I1577" s="8" t="s">
        <v>317</v>
      </c>
      <c r="J1577" s="41" t="s">
        <v>1110</v>
      </c>
      <c r="K1577" s="57">
        <v>30</v>
      </c>
      <c r="L1577" s="58">
        <v>30</v>
      </c>
    </row>
    <row r="1578" spans="1:12" ht="15.75">
      <c r="A1578" s="105">
        <v>1515</v>
      </c>
      <c r="B1578" s="125"/>
      <c r="C1578" s="125"/>
      <c r="D1578" s="148" t="s">
        <v>2751</v>
      </c>
      <c r="E1578" s="215" t="s">
        <v>830</v>
      </c>
      <c r="F1578" s="112"/>
      <c r="G1578" s="112"/>
      <c r="H1578" s="112"/>
      <c r="I1578" s="8" t="s">
        <v>317</v>
      </c>
      <c r="J1578" s="41" t="s">
        <v>1110</v>
      </c>
      <c r="K1578" s="57">
        <v>30</v>
      </c>
      <c r="L1578" s="58">
        <v>30</v>
      </c>
    </row>
    <row r="1579" spans="1:12" ht="15.75">
      <c r="A1579" s="105">
        <v>1516</v>
      </c>
      <c r="B1579" s="125"/>
      <c r="C1579" s="125"/>
      <c r="D1579" s="146" t="s">
        <v>2751</v>
      </c>
      <c r="E1579" s="213" t="s">
        <v>830</v>
      </c>
      <c r="F1579" s="112"/>
      <c r="G1579" s="112"/>
      <c r="H1579" s="112"/>
      <c r="I1579" s="8" t="s">
        <v>317</v>
      </c>
      <c r="J1579" s="41" t="s">
        <v>1110</v>
      </c>
      <c r="K1579" s="57">
        <v>30</v>
      </c>
      <c r="L1579" s="58">
        <v>30</v>
      </c>
    </row>
    <row r="1580" spans="1:12" ht="15.75">
      <c r="A1580" s="105">
        <v>1517</v>
      </c>
      <c r="B1580" s="125"/>
      <c r="C1580" s="125"/>
      <c r="D1580" s="146" t="s">
        <v>2751</v>
      </c>
      <c r="E1580" s="213" t="s">
        <v>830</v>
      </c>
      <c r="F1580" s="112"/>
      <c r="G1580" s="112"/>
      <c r="H1580" s="112"/>
      <c r="I1580" s="8" t="s">
        <v>317</v>
      </c>
      <c r="J1580" s="41" t="s">
        <v>1110</v>
      </c>
      <c r="K1580" s="57">
        <v>30</v>
      </c>
      <c r="L1580" s="58">
        <v>30</v>
      </c>
    </row>
    <row r="1581" spans="1:12" ht="15.75">
      <c r="A1581" s="105">
        <v>1518</v>
      </c>
      <c r="B1581" s="125"/>
      <c r="C1581" s="125"/>
      <c r="D1581" s="147" t="s">
        <v>2752</v>
      </c>
      <c r="E1581" s="214" t="s">
        <v>830</v>
      </c>
      <c r="F1581" s="112"/>
      <c r="G1581" s="112"/>
      <c r="H1581" s="112"/>
      <c r="I1581" s="8" t="s">
        <v>317</v>
      </c>
      <c r="J1581" s="41" t="s">
        <v>1110</v>
      </c>
      <c r="K1581" s="57">
        <v>30</v>
      </c>
      <c r="L1581" s="58">
        <v>30</v>
      </c>
    </row>
    <row r="1582" spans="1:12" ht="15.75">
      <c r="A1582" s="105">
        <v>1519</v>
      </c>
      <c r="B1582" s="125"/>
      <c r="C1582" s="125"/>
      <c r="D1582" s="148" t="s">
        <v>2752</v>
      </c>
      <c r="E1582" s="215" t="s">
        <v>830</v>
      </c>
      <c r="F1582" s="112"/>
      <c r="G1582" s="112"/>
      <c r="H1582" s="112"/>
      <c r="I1582" s="8" t="s">
        <v>317</v>
      </c>
      <c r="J1582" s="41" t="s">
        <v>1110</v>
      </c>
      <c r="K1582" s="57">
        <v>30</v>
      </c>
      <c r="L1582" s="58">
        <v>30</v>
      </c>
    </row>
    <row r="1583" spans="1:12" ht="15.75">
      <c r="A1583" s="105">
        <v>1520</v>
      </c>
      <c r="B1583" s="125"/>
      <c r="C1583" s="125"/>
      <c r="D1583" s="146" t="s">
        <v>2752</v>
      </c>
      <c r="E1583" s="213" t="s">
        <v>830</v>
      </c>
      <c r="F1583" s="112"/>
      <c r="G1583" s="112"/>
      <c r="H1583" s="112"/>
      <c r="I1583" s="8" t="s">
        <v>317</v>
      </c>
      <c r="J1583" s="41" t="s">
        <v>1110</v>
      </c>
      <c r="K1583" s="57">
        <v>30</v>
      </c>
      <c r="L1583" s="58">
        <v>30</v>
      </c>
    </row>
    <row r="1584" spans="1:12" ht="15.75">
      <c r="A1584" s="105">
        <v>1521</v>
      </c>
      <c r="B1584" s="125"/>
      <c r="C1584" s="125"/>
      <c r="D1584" s="146" t="s">
        <v>2752</v>
      </c>
      <c r="E1584" s="213" t="s">
        <v>830</v>
      </c>
      <c r="F1584" s="112"/>
      <c r="G1584" s="112"/>
      <c r="H1584" s="112"/>
      <c r="I1584" s="8" t="s">
        <v>317</v>
      </c>
      <c r="J1584" s="41" t="s">
        <v>1110</v>
      </c>
      <c r="K1584" s="57">
        <v>30</v>
      </c>
      <c r="L1584" s="58">
        <v>30</v>
      </c>
    </row>
    <row r="1585" spans="1:12" ht="15.75">
      <c r="A1585" s="105">
        <v>1522</v>
      </c>
      <c r="B1585" s="125"/>
      <c r="C1585" s="125"/>
      <c r="D1585" s="147" t="s">
        <v>2753</v>
      </c>
      <c r="E1585" s="214" t="s">
        <v>830</v>
      </c>
      <c r="F1585" s="112"/>
      <c r="G1585" s="112"/>
      <c r="H1585" s="112"/>
      <c r="I1585" s="8" t="s">
        <v>317</v>
      </c>
      <c r="J1585" s="41" t="s">
        <v>1110</v>
      </c>
      <c r="K1585" s="57">
        <v>30</v>
      </c>
      <c r="L1585" s="58">
        <v>30</v>
      </c>
    </row>
    <row r="1586" spans="1:12" ht="15.75">
      <c r="A1586" s="105">
        <v>1523</v>
      </c>
      <c r="B1586" s="125"/>
      <c r="C1586" s="125"/>
      <c r="D1586" s="148" t="s">
        <v>2753</v>
      </c>
      <c r="E1586" s="215" t="s">
        <v>830</v>
      </c>
      <c r="F1586" s="112"/>
      <c r="G1586" s="112"/>
      <c r="H1586" s="112"/>
      <c r="I1586" s="8" t="s">
        <v>317</v>
      </c>
      <c r="J1586" s="41" t="s">
        <v>1110</v>
      </c>
      <c r="K1586" s="57">
        <v>30</v>
      </c>
      <c r="L1586" s="58">
        <v>30</v>
      </c>
    </row>
    <row r="1587" spans="1:12" ht="15.75">
      <c r="A1587" s="105">
        <v>1524</v>
      </c>
      <c r="B1587" s="125"/>
      <c r="C1587" s="125"/>
      <c r="D1587" s="146" t="s">
        <v>2753</v>
      </c>
      <c r="E1587" s="213" t="s">
        <v>830</v>
      </c>
      <c r="F1587" s="112"/>
      <c r="G1587" s="112"/>
      <c r="H1587" s="112"/>
      <c r="I1587" s="8" t="s">
        <v>317</v>
      </c>
      <c r="J1587" s="41" t="s">
        <v>1110</v>
      </c>
      <c r="K1587" s="57">
        <v>30</v>
      </c>
      <c r="L1587" s="58">
        <v>30</v>
      </c>
    </row>
    <row r="1588" spans="1:12" ht="15.75">
      <c r="A1588" s="105">
        <v>1525</v>
      </c>
      <c r="B1588" s="125"/>
      <c r="C1588" s="125"/>
      <c r="D1588" s="146" t="s">
        <v>2753</v>
      </c>
      <c r="E1588" s="213" t="s">
        <v>830</v>
      </c>
      <c r="F1588" s="112"/>
      <c r="G1588" s="112"/>
      <c r="H1588" s="112"/>
      <c r="I1588" s="8" t="s">
        <v>317</v>
      </c>
      <c r="J1588" s="41" t="s">
        <v>1110</v>
      </c>
      <c r="K1588" s="57">
        <v>30</v>
      </c>
      <c r="L1588" s="58">
        <v>30</v>
      </c>
    </row>
    <row r="1589" spans="1:12" ht="15.75">
      <c r="A1589" s="105">
        <v>1526</v>
      </c>
      <c r="B1589" s="125"/>
      <c r="C1589" s="125"/>
      <c r="D1589" s="147" t="s">
        <v>2754</v>
      </c>
      <c r="E1589" s="214" t="s">
        <v>830</v>
      </c>
      <c r="F1589" s="112"/>
      <c r="G1589" s="112"/>
      <c r="H1589" s="112"/>
      <c r="I1589" s="8" t="s">
        <v>317</v>
      </c>
      <c r="J1589" s="41" t="s">
        <v>1110</v>
      </c>
      <c r="K1589" s="57">
        <v>30</v>
      </c>
      <c r="L1589" s="58">
        <v>30</v>
      </c>
    </row>
    <row r="1590" spans="1:12" ht="15.75">
      <c r="A1590" s="105">
        <v>1527</v>
      </c>
      <c r="B1590" s="125"/>
      <c r="C1590" s="125"/>
      <c r="D1590" s="148" t="s">
        <v>2754</v>
      </c>
      <c r="E1590" s="215" t="s">
        <v>830</v>
      </c>
      <c r="F1590" s="112"/>
      <c r="G1590" s="112"/>
      <c r="H1590" s="112"/>
      <c r="I1590" s="8" t="s">
        <v>317</v>
      </c>
      <c r="J1590" s="41" t="s">
        <v>1110</v>
      </c>
      <c r="K1590" s="57">
        <v>30</v>
      </c>
      <c r="L1590" s="58">
        <v>30</v>
      </c>
    </row>
    <row r="1591" spans="1:12" ht="15.75">
      <c r="A1591" s="105">
        <v>1528</v>
      </c>
      <c r="B1591" s="125"/>
      <c r="C1591" s="125"/>
      <c r="D1591" s="148" t="s">
        <v>2754</v>
      </c>
      <c r="E1591" s="215" t="s">
        <v>830</v>
      </c>
      <c r="F1591" s="112"/>
      <c r="G1591" s="112"/>
      <c r="H1591" s="112"/>
      <c r="I1591" s="8" t="s">
        <v>317</v>
      </c>
      <c r="J1591" s="41" t="s">
        <v>1110</v>
      </c>
      <c r="K1591" s="57">
        <v>30</v>
      </c>
      <c r="L1591" s="58">
        <v>30</v>
      </c>
    </row>
    <row r="1592" spans="1:12" ht="15.75">
      <c r="A1592" s="105">
        <v>1529</v>
      </c>
      <c r="B1592" s="125"/>
      <c r="C1592" s="125"/>
      <c r="D1592" s="146" t="s">
        <v>2754</v>
      </c>
      <c r="E1592" s="213" t="s">
        <v>830</v>
      </c>
      <c r="F1592" s="112"/>
      <c r="G1592" s="112"/>
      <c r="H1592" s="112"/>
      <c r="I1592" s="8" t="s">
        <v>317</v>
      </c>
      <c r="J1592" s="41" t="s">
        <v>1110</v>
      </c>
      <c r="K1592" s="57">
        <v>30</v>
      </c>
      <c r="L1592" s="58">
        <v>30</v>
      </c>
    </row>
    <row r="1593" spans="1:12" ht="15.75">
      <c r="A1593" s="105">
        <v>1530</v>
      </c>
      <c r="B1593" s="125"/>
      <c r="C1593" s="125"/>
      <c r="D1593" s="146" t="s">
        <v>2754</v>
      </c>
      <c r="E1593" s="213" t="s">
        <v>830</v>
      </c>
      <c r="F1593" s="112"/>
      <c r="G1593" s="112"/>
      <c r="H1593" s="112"/>
      <c r="I1593" s="8" t="s">
        <v>317</v>
      </c>
      <c r="J1593" s="41" t="s">
        <v>1110</v>
      </c>
      <c r="K1593" s="57">
        <v>30</v>
      </c>
      <c r="L1593" s="58">
        <v>30</v>
      </c>
    </row>
    <row r="1594" spans="1:12" ht="15.75">
      <c r="A1594" s="105">
        <v>1531</v>
      </c>
      <c r="B1594" s="125"/>
      <c r="C1594" s="125"/>
      <c r="D1594" s="147" t="s">
        <v>2755</v>
      </c>
      <c r="E1594" s="214" t="s">
        <v>830</v>
      </c>
      <c r="F1594" s="112"/>
      <c r="G1594" s="112"/>
      <c r="H1594" s="112"/>
      <c r="I1594" s="8" t="s">
        <v>317</v>
      </c>
      <c r="J1594" s="41" t="s">
        <v>1110</v>
      </c>
      <c r="K1594" s="57">
        <v>30</v>
      </c>
      <c r="L1594" s="58">
        <v>30</v>
      </c>
    </row>
    <row r="1595" spans="1:12" ht="15.75">
      <c r="A1595" s="105">
        <v>1532</v>
      </c>
      <c r="B1595" s="125"/>
      <c r="C1595" s="125"/>
      <c r="D1595" s="148" t="s">
        <v>2755</v>
      </c>
      <c r="E1595" s="215" t="s">
        <v>830</v>
      </c>
      <c r="F1595" s="112"/>
      <c r="G1595" s="112"/>
      <c r="H1595" s="112"/>
      <c r="I1595" s="8" t="s">
        <v>317</v>
      </c>
      <c r="J1595" s="41" t="s">
        <v>1110</v>
      </c>
      <c r="K1595" s="57">
        <v>30</v>
      </c>
      <c r="L1595" s="58">
        <v>30</v>
      </c>
    </row>
    <row r="1596" spans="1:12" ht="15.75">
      <c r="A1596" s="105">
        <v>1533</v>
      </c>
      <c r="B1596" s="125"/>
      <c r="C1596" s="125"/>
      <c r="D1596" s="148" t="s">
        <v>2755</v>
      </c>
      <c r="E1596" s="215" t="s">
        <v>830</v>
      </c>
      <c r="F1596" s="112"/>
      <c r="G1596" s="112"/>
      <c r="H1596" s="112"/>
      <c r="I1596" s="8" t="s">
        <v>317</v>
      </c>
      <c r="J1596" s="41" t="s">
        <v>1110</v>
      </c>
      <c r="K1596" s="57">
        <v>30</v>
      </c>
      <c r="L1596" s="58">
        <v>30</v>
      </c>
    </row>
    <row r="1597" spans="1:12" ht="15.75">
      <c r="A1597" s="105">
        <v>1534</v>
      </c>
      <c r="B1597" s="125"/>
      <c r="C1597" s="125"/>
      <c r="D1597" s="146" t="s">
        <v>2755</v>
      </c>
      <c r="E1597" s="213" t="s">
        <v>830</v>
      </c>
      <c r="F1597" s="112"/>
      <c r="G1597" s="112"/>
      <c r="H1597" s="112"/>
      <c r="I1597" s="8" t="s">
        <v>317</v>
      </c>
      <c r="J1597" s="41" t="s">
        <v>1110</v>
      </c>
      <c r="K1597" s="57">
        <v>30</v>
      </c>
      <c r="L1597" s="58">
        <v>30</v>
      </c>
    </row>
    <row r="1598" spans="1:12" ht="15.75">
      <c r="A1598" s="105">
        <v>1535</v>
      </c>
      <c r="B1598" s="125"/>
      <c r="C1598" s="125"/>
      <c r="D1598" s="146" t="s">
        <v>2755</v>
      </c>
      <c r="E1598" s="213" t="s">
        <v>830</v>
      </c>
      <c r="F1598" s="112"/>
      <c r="G1598" s="112"/>
      <c r="H1598" s="112"/>
      <c r="I1598" s="8" t="s">
        <v>317</v>
      </c>
      <c r="J1598" s="41" t="s">
        <v>1110</v>
      </c>
      <c r="K1598" s="57">
        <v>30</v>
      </c>
      <c r="L1598" s="58">
        <v>30</v>
      </c>
    </row>
    <row r="1599" spans="1:12" ht="15.75">
      <c r="A1599" s="105">
        <v>1536</v>
      </c>
      <c r="B1599" s="125"/>
      <c r="C1599" s="125"/>
      <c r="D1599" s="147" t="s">
        <v>2756</v>
      </c>
      <c r="E1599" s="214" t="s">
        <v>830</v>
      </c>
      <c r="F1599" s="112"/>
      <c r="G1599" s="112"/>
      <c r="H1599" s="112"/>
      <c r="I1599" s="8" t="s">
        <v>317</v>
      </c>
      <c r="J1599" s="41" t="s">
        <v>1110</v>
      </c>
      <c r="K1599" s="57">
        <v>30</v>
      </c>
      <c r="L1599" s="58">
        <v>30</v>
      </c>
    </row>
    <row r="1600" spans="1:12" ht="15.75">
      <c r="A1600" s="105">
        <v>1537</v>
      </c>
      <c r="B1600" s="125"/>
      <c r="C1600" s="125"/>
      <c r="D1600" s="148" t="s">
        <v>2756</v>
      </c>
      <c r="E1600" s="215" t="s">
        <v>830</v>
      </c>
      <c r="F1600" s="112"/>
      <c r="G1600" s="112"/>
      <c r="H1600" s="112"/>
      <c r="I1600" s="8" t="s">
        <v>317</v>
      </c>
      <c r="J1600" s="41" t="s">
        <v>1110</v>
      </c>
      <c r="K1600" s="57">
        <v>30</v>
      </c>
      <c r="L1600" s="58">
        <v>30</v>
      </c>
    </row>
    <row r="1601" spans="1:12" ht="15.75">
      <c r="A1601" s="105">
        <v>1538</v>
      </c>
      <c r="B1601" s="125"/>
      <c r="C1601" s="125"/>
      <c r="D1601" s="148" t="s">
        <v>2756</v>
      </c>
      <c r="E1601" s="215" t="s">
        <v>830</v>
      </c>
      <c r="F1601" s="112"/>
      <c r="G1601" s="112"/>
      <c r="H1601" s="112"/>
      <c r="I1601" s="8" t="s">
        <v>317</v>
      </c>
      <c r="J1601" s="41" t="s">
        <v>1110</v>
      </c>
      <c r="K1601" s="57">
        <v>30</v>
      </c>
      <c r="L1601" s="58">
        <v>30</v>
      </c>
    </row>
    <row r="1602" spans="1:12" ht="15.75">
      <c r="A1602" s="105">
        <v>1539</v>
      </c>
      <c r="B1602" s="125"/>
      <c r="C1602" s="125"/>
      <c r="D1602" s="146" t="s">
        <v>2756</v>
      </c>
      <c r="E1602" s="213" t="s">
        <v>830</v>
      </c>
      <c r="F1602" s="112"/>
      <c r="G1602" s="112"/>
      <c r="H1602" s="112"/>
      <c r="I1602" s="8" t="s">
        <v>317</v>
      </c>
      <c r="J1602" s="41" t="s">
        <v>1110</v>
      </c>
      <c r="K1602" s="57">
        <v>30</v>
      </c>
      <c r="L1602" s="58">
        <v>30</v>
      </c>
    </row>
    <row r="1603" spans="1:12" ht="15.75">
      <c r="A1603" s="105">
        <v>1540</v>
      </c>
      <c r="B1603" s="125"/>
      <c r="C1603" s="125"/>
      <c r="D1603" s="146" t="s">
        <v>2756</v>
      </c>
      <c r="E1603" s="213" t="s">
        <v>830</v>
      </c>
      <c r="F1603" s="112"/>
      <c r="G1603" s="112"/>
      <c r="H1603" s="112"/>
      <c r="I1603" s="8" t="s">
        <v>317</v>
      </c>
      <c r="J1603" s="41" t="s">
        <v>1110</v>
      </c>
      <c r="K1603" s="57">
        <v>30</v>
      </c>
      <c r="L1603" s="58">
        <v>30</v>
      </c>
    </row>
    <row r="1604" spans="1:12" ht="15.75">
      <c r="A1604" s="105">
        <v>1541</v>
      </c>
      <c r="B1604" s="125"/>
      <c r="C1604" s="125"/>
      <c r="D1604" s="147" t="s">
        <v>2757</v>
      </c>
      <c r="E1604" s="214" t="s">
        <v>830</v>
      </c>
      <c r="F1604" s="112"/>
      <c r="G1604" s="112"/>
      <c r="H1604" s="112"/>
      <c r="I1604" s="8" t="s">
        <v>317</v>
      </c>
      <c r="J1604" s="41" t="s">
        <v>1110</v>
      </c>
      <c r="K1604" s="57">
        <v>30</v>
      </c>
      <c r="L1604" s="58">
        <v>30</v>
      </c>
    </row>
    <row r="1605" spans="1:12" ht="15.75">
      <c r="A1605" s="105">
        <v>1542</v>
      </c>
      <c r="B1605" s="125"/>
      <c r="C1605" s="125"/>
      <c r="D1605" s="148" t="s">
        <v>2757</v>
      </c>
      <c r="E1605" s="215" t="s">
        <v>830</v>
      </c>
      <c r="F1605" s="112"/>
      <c r="G1605" s="112"/>
      <c r="H1605" s="112"/>
      <c r="I1605" s="8" t="s">
        <v>317</v>
      </c>
      <c r="J1605" s="41" t="s">
        <v>1110</v>
      </c>
      <c r="K1605" s="57">
        <v>30</v>
      </c>
      <c r="L1605" s="58">
        <v>30</v>
      </c>
    </row>
    <row r="1606" spans="1:12" ht="15.75">
      <c r="A1606" s="105">
        <v>1543</v>
      </c>
      <c r="B1606" s="125"/>
      <c r="C1606" s="125"/>
      <c r="D1606" s="148" t="s">
        <v>2757</v>
      </c>
      <c r="E1606" s="215" t="s">
        <v>830</v>
      </c>
      <c r="F1606" s="112"/>
      <c r="G1606" s="112"/>
      <c r="H1606" s="112"/>
      <c r="I1606" s="8" t="s">
        <v>317</v>
      </c>
      <c r="J1606" s="41" t="s">
        <v>1110</v>
      </c>
      <c r="K1606" s="57">
        <v>30</v>
      </c>
      <c r="L1606" s="58">
        <v>30</v>
      </c>
    </row>
    <row r="1607" spans="1:12" ht="15.75">
      <c r="A1607" s="105">
        <v>1544</v>
      </c>
      <c r="B1607" s="125"/>
      <c r="C1607" s="125"/>
      <c r="D1607" s="146" t="s">
        <v>2757</v>
      </c>
      <c r="E1607" s="213" t="s">
        <v>830</v>
      </c>
      <c r="F1607" s="112"/>
      <c r="G1607" s="112"/>
      <c r="H1607" s="112"/>
      <c r="I1607" s="8" t="s">
        <v>317</v>
      </c>
      <c r="J1607" s="41" t="s">
        <v>1110</v>
      </c>
      <c r="K1607" s="57">
        <v>30</v>
      </c>
      <c r="L1607" s="58">
        <v>30</v>
      </c>
    </row>
    <row r="1608" spans="1:12" ht="15.75">
      <c r="A1608" s="105">
        <v>1545</v>
      </c>
      <c r="B1608" s="125"/>
      <c r="C1608" s="125"/>
      <c r="D1608" s="146" t="s">
        <v>2757</v>
      </c>
      <c r="E1608" s="213" t="s">
        <v>830</v>
      </c>
      <c r="F1608" s="112"/>
      <c r="G1608" s="112"/>
      <c r="H1608" s="112"/>
      <c r="I1608" s="8" t="s">
        <v>317</v>
      </c>
      <c r="J1608" s="41" t="s">
        <v>1110</v>
      </c>
      <c r="K1608" s="57">
        <v>30</v>
      </c>
      <c r="L1608" s="58">
        <v>30</v>
      </c>
    </row>
    <row r="1609" spans="1:12" ht="15.75">
      <c r="A1609" s="105">
        <v>1546</v>
      </c>
      <c r="B1609" s="125"/>
      <c r="C1609" s="125"/>
      <c r="D1609" s="147" t="s">
        <v>2758</v>
      </c>
      <c r="E1609" s="214" t="s">
        <v>830</v>
      </c>
      <c r="F1609" s="112"/>
      <c r="G1609" s="112"/>
      <c r="H1609" s="112"/>
      <c r="I1609" s="8" t="s">
        <v>317</v>
      </c>
      <c r="J1609" s="41" t="s">
        <v>1110</v>
      </c>
      <c r="K1609" s="57">
        <v>30</v>
      </c>
      <c r="L1609" s="58">
        <v>30</v>
      </c>
    </row>
    <row r="1610" spans="1:12" ht="15.75">
      <c r="A1610" s="105">
        <v>1547</v>
      </c>
      <c r="B1610" s="125"/>
      <c r="C1610" s="125"/>
      <c r="D1610" s="148" t="s">
        <v>2758</v>
      </c>
      <c r="E1610" s="215" t="s">
        <v>830</v>
      </c>
      <c r="F1610" s="112"/>
      <c r="G1610" s="112"/>
      <c r="H1610" s="112"/>
      <c r="I1610" s="8" t="s">
        <v>317</v>
      </c>
      <c r="J1610" s="41" t="s">
        <v>1110</v>
      </c>
      <c r="K1610" s="57">
        <v>30</v>
      </c>
      <c r="L1610" s="58">
        <v>30</v>
      </c>
    </row>
    <row r="1611" spans="1:12" ht="15.75">
      <c r="A1611" s="105">
        <v>1548</v>
      </c>
      <c r="B1611" s="125"/>
      <c r="C1611" s="125"/>
      <c r="D1611" s="148" t="s">
        <v>2758</v>
      </c>
      <c r="E1611" s="215" t="s">
        <v>830</v>
      </c>
      <c r="F1611" s="112"/>
      <c r="G1611" s="112"/>
      <c r="H1611" s="112"/>
      <c r="I1611" s="8" t="s">
        <v>317</v>
      </c>
      <c r="J1611" s="41" t="s">
        <v>1110</v>
      </c>
      <c r="K1611" s="57">
        <v>30</v>
      </c>
      <c r="L1611" s="58">
        <v>30</v>
      </c>
    </row>
    <row r="1612" spans="1:12" ht="15.75">
      <c r="A1612" s="105">
        <v>1549</v>
      </c>
      <c r="B1612" s="125"/>
      <c r="C1612" s="125"/>
      <c r="D1612" s="146" t="s">
        <v>2758</v>
      </c>
      <c r="E1612" s="213" t="s">
        <v>830</v>
      </c>
      <c r="F1612" s="112"/>
      <c r="G1612" s="112"/>
      <c r="H1612" s="112"/>
      <c r="I1612" s="8" t="s">
        <v>317</v>
      </c>
      <c r="J1612" s="41" t="s">
        <v>1110</v>
      </c>
      <c r="K1612" s="57">
        <v>30</v>
      </c>
      <c r="L1612" s="58">
        <v>30</v>
      </c>
    </row>
    <row r="1613" spans="1:12" ht="15.75">
      <c r="A1613" s="105">
        <v>1550</v>
      </c>
      <c r="B1613" s="125"/>
      <c r="C1613" s="125"/>
      <c r="D1613" s="146" t="s">
        <v>2758</v>
      </c>
      <c r="E1613" s="213" t="s">
        <v>830</v>
      </c>
      <c r="F1613" s="112"/>
      <c r="G1613" s="112"/>
      <c r="H1613" s="112"/>
      <c r="I1613" s="8" t="s">
        <v>317</v>
      </c>
      <c r="J1613" s="41" t="s">
        <v>1110</v>
      </c>
      <c r="K1613" s="57">
        <v>30</v>
      </c>
      <c r="L1613" s="58">
        <v>30</v>
      </c>
    </row>
    <row r="1614" spans="1:12" ht="15.75">
      <c r="A1614" s="105">
        <v>1551</v>
      </c>
      <c r="B1614" s="125"/>
      <c r="C1614" s="125"/>
      <c r="D1614" s="147" t="s">
        <v>2759</v>
      </c>
      <c r="E1614" s="214" t="s">
        <v>830</v>
      </c>
      <c r="F1614" s="112"/>
      <c r="G1614" s="112"/>
      <c r="H1614" s="112"/>
      <c r="I1614" s="7" t="s">
        <v>2764</v>
      </c>
      <c r="J1614" s="41" t="s">
        <v>1110</v>
      </c>
      <c r="K1614" s="57">
        <v>30</v>
      </c>
      <c r="L1614" s="58">
        <v>30</v>
      </c>
    </row>
    <row r="1615" spans="1:12" ht="15.75">
      <c r="A1615" s="105">
        <v>1552</v>
      </c>
      <c r="B1615" s="125"/>
      <c r="C1615" s="125"/>
      <c r="D1615" s="146" t="s">
        <v>2759</v>
      </c>
      <c r="E1615" s="213" t="s">
        <v>830</v>
      </c>
      <c r="F1615" s="112"/>
      <c r="G1615" s="112"/>
      <c r="H1615" s="112"/>
      <c r="I1615" s="7" t="s">
        <v>2764</v>
      </c>
      <c r="J1615" s="41" t="s">
        <v>1110</v>
      </c>
      <c r="K1615" s="57">
        <v>30</v>
      </c>
      <c r="L1615" s="58">
        <v>30</v>
      </c>
    </row>
    <row r="1616" spans="1:12" ht="15.75">
      <c r="A1616" s="105">
        <v>1553</v>
      </c>
      <c r="B1616" s="125"/>
      <c r="C1616" s="125"/>
      <c r="D1616" s="147" t="s">
        <v>2760</v>
      </c>
      <c r="E1616" s="214" t="s">
        <v>830</v>
      </c>
      <c r="F1616" s="112"/>
      <c r="G1616" s="112"/>
      <c r="H1616" s="112"/>
      <c r="I1616" s="7" t="s">
        <v>2764</v>
      </c>
      <c r="J1616" s="41" t="s">
        <v>1110</v>
      </c>
      <c r="K1616" s="57">
        <v>30</v>
      </c>
      <c r="L1616" s="58">
        <v>30</v>
      </c>
    </row>
    <row r="1617" spans="1:12" ht="15.75">
      <c r="A1617" s="105">
        <v>1554</v>
      </c>
      <c r="B1617" s="125"/>
      <c r="C1617" s="125"/>
      <c r="D1617" s="146" t="s">
        <v>2760</v>
      </c>
      <c r="E1617" s="213" t="s">
        <v>830</v>
      </c>
      <c r="F1617" s="112"/>
      <c r="G1617" s="112"/>
      <c r="H1617" s="112"/>
      <c r="I1617" s="7" t="s">
        <v>2764</v>
      </c>
      <c r="J1617" s="41" t="s">
        <v>1110</v>
      </c>
      <c r="K1617" s="57">
        <v>30</v>
      </c>
      <c r="L1617" s="58">
        <v>30</v>
      </c>
    </row>
    <row r="1618" spans="1:12" ht="15.75">
      <c r="A1618" s="105">
        <v>1555</v>
      </c>
      <c r="B1618" s="125"/>
      <c r="C1618" s="125"/>
      <c r="D1618" s="147" t="s">
        <v>2761</v>
      </c>
      <c r="E1618" s="214" t="s">
        <v>830</v>
      </c>
      <c r="F1618" s="112"/>
      <c r="G1618" s="112"/>
      <c r="H1618" s="112"/>
      <c r="I1618" s="7" t="s">
        <v>2764</v>
      </c>
      <c r="J1618" s="41" t="s">
        <v>1110</v>
      </c>
      <c r="K1618" s="57">
        <v>30</v>
      </c>
      <c r="L1618" s="58">
        <v>30</v>
      </c>
    </row>
    <row r="1619" spans="1:12" ht="15.75">
      <c r="A1619" s="105">
        <v>1556</v>
      </c>
      <c r="B1619" s="125"/>
      <c r="C1619" s="125"/>
      <c r="D1619" s="146" t="s">
        <v>2761</v>
      </c>
      <c r="E1619" s="213" t="s">
        <v>830</v>
      </c>
      <c r="F1619" s="112"/>
      <c r="G1619" s="112"/>
      <c r="H1619" s="112"/>
      <c r="I1619" s="7" t="s">
        <v>2764</v>
      </c>
      <c r="J1619" s="41" t="s">
        <v>1110</v>
      </c>
      <c r="K1619" s="57">
        <v>30</v>
      </c>
      <c r="L1619" s="58">
        <v>30</v>
      </c>
    </row>
    <row r="1620" spans="1:12" ht="15.75">
      <c r="A1620" s="105">
        <v>1557</v>
      </c>
      <c r="B1620" s="125"/>
      <c r="C1620" s="125"/>
      <c r="D1620" s="147" t="s">
        <v>2762</v>
      </c>
      <c r="E1620" s="214" t="s">
        <v>830</v>
      </c>
      <c r="F1620" s="112"/>
      <c r="G1620" s="112"/>
      <c r="H1620" s="112"/>
      <c r="I1620" s="7" t="s">
        <v>2764</v>
      </c>
      <c r="J1620" s="41" t="s">
        <v>1110</v>
      </c>
      <c r="K1620" s="57">
        <v>30</v>
      </c>
      <c r="L1620" s="58">
        <v>30</v>
      </c>
    </row>
    <row r="1621" spans="1:12" ht="16.5" thickBot="1">
      <c r="A1621" s="105">
        <v>1558</v>
      </c>
      <c r="B1621" s="125"/>
      <c r="C1621" s="125"/>
      <c r="D1621" s="149" t="s">
        <v>2762</v>
      </c>
      <c r="E1621" s="216" t="s">
        <v>830</v>
      </c>
      <c r="F1621" s="112"/>
      <c r="G1621" s="112"/>
      <c r="H1621" s="112"/>
      <c r="I1621" s="7" t="s">
        <v>2764</v>
      </c>
      <c r="J1621" s="41" t="s">
        <v>1110</v>
      </c>
      <c r="K1621" s="57">
        <v>30</v>
      </c>
      <c r="L1621" s="58">
        <v>30</v>
      </c>
    </row>
    <row r="1622" spans="1:12" ht="16.5" thickTop="1">
      <c r="A1622" s="105">
        <v>1559</v>
      </c>
      <c r="B1622" s="125"/>
      <c r="C1622" s="125"/>
      <c r="D1622" s="146" t="s">
        <v>2765</v>
      </c>
      <c r="E1622" s="213" t="s">
        <v>4576</v>
      </c>
      <c r="F1622" s="112"/>
      <c r="G1622" s="112"/>
      <c r="H1622" s="112"/>
      <c r="I1622" s="7" t="s">
        <v>2763</v>
      </c>
      <c r="J1622" s="7" t="s">
        <v>2633</v>
      </c>
      <c r="K1622" s="57">
        <v>0</v>
      </c>
      <c r="L1622" s="58">
        <v>0</v>
      </c>
    </row>
    <row r="1623" spans="1:12" ht="15.75">
      <c r="A1623" s="105">
        <v>1560</v>
      </c>
      <c r="B1623" s="125"/>
      <c r="C1623" s="125"/>
      <c r="D1623" s="146" t="s">
        <v>2766</v>
      </c>
      <c r="E1623" s="213" t="s">
        <v>681</v>
      </c>
      <c r="F1623" s="112"/>
      <c r="G1623" s="112"/>
      <c r="H1623" s="112"/>
      <c r="I1623" s="41" t="s">
        <v>2768</v>
      </c>
      <c r="J1623" s="41" t="s">
        <v>2767</v>
      </c>
      <c r="K1623" s="57">
        <v>30</v>
      </c>
      <c r="L1623" s="58">
        <v>30</v>
      </c>
    </row>
    <row r="1624" spans="1:12" ht="15.75">
      <c r="A1624" s="105">
        <v>1561</v>
      </c>
      <c r="B1624" s="125"/>
      <c r="C1624" s="125"/>
      <c r="D1624" s="146" t="s">
        <v>2769</v>
      </c>
      <c r="E1624" s="213" t="s">
        <v>4576</v>
      </c>
      <c r="F1624" s="112"/>
      <c r="G1624" s="112"/>
      <c r="H1624" s="112"/>
      <c r="I1624" s="8" t="s">
        <v>317</v>
      </c>
      <c r="J1624" s="7" t="s">
        <v>2633</v>
      </c>
      <c r="K1624" s="57">
        <v>0</v>
      </c>
      <c r="L1624" s="58">
        <v>0</v>
      </c>
    </row>
    <row r="1625" spans="1:12" ht="15.75">
      <c r="A1625" s="105">
        <v>1562</v>
      </c>
      <c r="B1625" s="125"/>
      <c r="C1625" s="125"/>
      <c r="D1625" s="41" t="s">
        <v>2098</v>
      </c>
      <c r="E1625" s="194" t="s">
        <v>2687</v>
      </c>
      <c r="F1625" s="112"/>
      <c r="G1625" s="112"/>
      <c r="H1625" s="112"/>
      <c r="I1625" s="7" t="s">
        <v>260</v>
      </c>
      <c r="J1625" s="41" t="s">
        <v>2650</v>
      </c>
      <c r="K1625" s="57">
        <v>60</v>
      </c>
      <c r="L1625" s="58">
        <v>60</v>
      </c>
    </row>
    <row r="1626" spans="1:12" ht="15.75">
      <c r="A1626" s="105">
        <v>1563</v>
      </c>
      <c r="B1626" s="125"/>
      <c r="C1626" s="125"/>
      <c r="D1626" s="41" t="s">
        <v>2060</v>
      </c>
      <c r="E1626" s="194" t="s">
        <v>2687</v>
      </c>
      <c r="F1626" s="112"/>
      <c r="G1626" s="112"/>
      <c r="H1626" s="112"/>
      <c r="I1626" s="7" t="s">
        <v>260</v>
      </c>
      <c r="J1626" s="41" t="s">
        <v>2650</v>
      </c>
      <c r="K1626" s="57">
        <v>60</v>
      </c>
      <c r="L1626" s="58">
        <v>60</v>
      </c>
    </row>
    <row r="1627" spans="1:12" ht="15.75">
      <c r="A1627" s="105">
        <v>1564</v>
      </c>
      <c r="B1627" s="125"/>
      <c r="C1627" s="125"/>
      <c r="D1627" s="41" t="s">
        <v>2060</v>
      </c>
      <c r="E1627" s="194" t="s">
        <v>2687</v>
      </c>
      <c r="F1627" s="112"/>
      <c r="G1627" s="112"/>
      <c r="H1627" s="112"/>
      <c r="I1627" s="7" t="s">
        <v>260</v>
      </c>
      <c r="J1627" s="41" t="s">
        <v>2650</v>
      </c>
      <c r="K1627" s="57">
        <v>60</v>
      </c>
      <c r="L1627" s="58">
        <v>60</v>
      </c>
    </row>
    <row r="1628" spans="1:12" ht="15.75">
      <c r="A1628" s="105">
        <v>1565</v>
      </c>
      <c r="B1628" s="125"/>
      <c r="C1628" s="125"/>
      <c r="D1628" s="41" t="s">
        <v>2688</v>
      </c>
      <c r="E1628" s="194" t="s">
        <v>2687</v>
      </c>
      <c r="F1628" s="112"/>
      <c r="G1628" s="112"/>
      <c r="H1628" s="112"/>
      <c r="I1628" s="7" t="s">
        <v>260</v>
      </c>
      <c r="J1628" s="41" t="s">
        <v>2650</v>
      </c>
      <c r="K1628" s="57">
        <v>60</v>
      </c>
      <c r="L1628" s="58">
        <v>60</v>
      </c>
    </row>
    <row r="1629" spans="1:12" ht="15.75">
      <c r="A1629" s="105">
        <v>1566</v>
      </c>
      <c r="B1629" s="125"/>
      <c r="C1629" s="125"/>
      <c r="D1629" s="41" t="s">
        <v>2688</v>
      </c>
      <c r="E1629" s="194" t="s">
        <v>2687</v>
      </c>
      <c r="F1629" s="112"/>
      <c r="G1629" s="112"/>
      <c r="H1629" s="112"/>
      <c r="I1629" s="7" t="s">
        <v>260</v>
      </c>
      <c r="J1629" s="41" t="s">
        <v>2650</v>
      </c>
      <c r="K1629" s="57">
        <v>60</v>
      </c>
      <c r="L1629" s="58">
        <v>60</v>
      </c>
    </row>
    <row r="1630" spans="1:12" ht="15.75">
      <c r="A1630" s="105">
        <v>1567</v>
      </c>
      <c r="B1630" s="125"/>
      <c r="C1630" s="125"/>
      <c r="D1630" s="41" t="s">
        <v>2099</v>
      </c>
      <c r="E1630" s="194" t="s">
        <v>2687</v>
      </c>
      <c r="F1630" s="112"/>
      <c r="G1630" s="112"/>
      <c r="H1630" s="112"/>
      <c r="I1630" s="7" t="s">
        <v>226</v>
      </c>
      <c r="J1630" s="41" t="s">
        <v>2650</v>
      </c>
      <c r="K1630" s="57">
        <v>60</v>
      </c>
      <c r="L1630" s="58">
        <v>60</v>
      </c>
    </row>
    <row r="1631" spans="1:12" ht="15.75">
      <c r="A1631" s="105">
        <v>1568</v>
      </c>
      <c r="B1631" s="125"/>
      <c r="C1631" s="125"/>
      <c r="D1631" s="41" t="s">
        <v>2649</v>
      </c>
      <c r="E1631" s="194" t="s">
        <v>2687</v>
      </c>
      <c r="F1631" s="112"/>
      <c r="G1631" s="112"/>
      <c r="H1631" s="112"/>
      <c r="I1631" s="7" t="s">
        <v>226</v>
      </c>
      <c r="J1631" s="41" t="s">
        <v>2650</v>
      </c>
      <c r="K1631" s="57">
        <v>60</v>
      </c>
      <c r="L1631" s="58">
        <v>60</v>
      </c>
    </row>
    <row r="1632" spans="1:12" ht="15.75">
      <c r="A1632" s="105">
        <v>1569</v>
      </c>
      <c r="B1632" s="125"/>
      <c r="C1632" s="125"/>
      <c r="D1632" s="41" t="s">
        <v>2100</v>
      </c>
      <c r="E1632" s="194" t="s">
        <v>2687</v>
      </c>
      <c r="F1632" s="112"/>
      <c r="G1632" s="112"/>
      <c r="H1632" s="112"/>
      <c r="I1632" s="8" t="s">
        <v>317</v>
      </c>
      <c r="J1632" s="41" t="s">
        <v>2650</v>
      </c>
      <c r="K1632" s="57">
        <v>60</v>
      </c>
      <c r="L1632" s="58">
        <v>60</v>
      </c>
    </row>
    <row r="1633" spans="1:12" ht="15.75">
      <c r="A1633" s="105">
        <v>1570</v>
      </c>
      <c r="B1633" s="125"/>
      <c r="C1633" s="125"/>
      <c r="D1633" s="41" t="s">
        <v>2689</v>
      </c>
      <c r="E1633" s="194" t="s">
        <v>2687</v>
      </c>
      <c r="F1633" s="112"/>
      <c r="G1633" s="112"/>
      <c r="H1633" s="112"/>
      <c r="I1633" s="8" t="s">
        <v>317</v>
      </c>
      <c r="J1633" s="41" t="s">
        <v>2650</v>
      </c>
      <c r="K1633" s="57">
        <v>60</v>
      </c>
      <c r="L1633" s="58">
        <v>60</v>
      </c>
    </row>
    <row r="1634" spans="1:12" ht="15.75">
      <c r="A1634" s="105">
        <v>1571</v>
      </c>
      <c r="B1634" s="125"/>
      <c r="C1634" s="125"/>
      <c r="D1634" s="128" t="str">
        <f>"4120435100"</f>
        <v>4120435100</v>
      </c>
      <c r="E1634" s="194" t="s">
        <v>2687</v>
      </c>
      <c r="F1634" s="112"/>
      <c r="G1634" s="112"/>
      <c r="H1634" s="112"/>
      <c r="I1634" s="7" t="s">
        <v>260</v>
      </c>
      <c r="J1634" s="41" t="s">
        <v>2650</v>
      </c>
      <c r="K1634" s="57">
        <v>60</v>
      </c>
      <c r="L1634" s="58">
        <v>60</v>
      </c>
    </row>
    <row r="1635" spans="1:12" ht="15.75">
      <c r="A1635" s="105">
        <v>1572</v>
      </c>
      <c r="B1635" s="125"/>
      <c r="C1635" s="125"/>
      <c r="D1635" s="128" t="str">
        <f>"4120471020"</f>
        <v>4120471020</v>
      </c>
      <c r="E1635" s="194" t="s">
        <v>2687</v>
      </c>
      <c r="F1635" s="112"/>
      <c r="G1635" s="112"/>
      <c r="H1635" s="112"/>
      <c r="I1635" s="7" t="s">
        <v>260</v>
      </c>
      <c r="J1635" s="41" t="s">
        <v>2650</v>
      </c>
      <c r="K1635" s="57">
        <v>60</v>
      </c>
      <c r="L1635" s="58">
        <v>60</v>
      </c>
    </row>
    <row r="1636" spans="1:12" ht="15.75">
      <c r="A1636" s="105">
        <v>1573</v>
      </c>
      <c r="B1636" s="125"/>
      <c r="C1636" s="125"/>
      <c r="D1636" s="128" t="str">
        <f>"4120471030"</f>
        <v>4120471030</v>
      </c>
      <c r="E1636" s="194" t="s">
        <v>2687</v>
      </c>
      <c r="F1636" s="112"/>
      <c r="G1636" s="112"/>
      <c r="H1636" s="112"/>
      <c r="I1636" s="7" t="s">
        <v>260</v>
      </c>
      <c r="J1636" s="41" t="s">
        <v>2650</v>
      </c>
      <c r="K1636" s="57">
        <v>60</v>
      </c>
      <c r="L1636" s="58">
        <v>60</v>
      </c>
    </row>
    <row r="1637" spans="1:12" ht="15.75">
      <c r="A1637" s="105">
        <v>1573</v>
      </c>
      <c r="B1637" s="125"/>
      <c r="C1637" s="125"/>
      <c r="D1637" s="128" t="str">
        <f>"4120471040"</f>
        <v>4120471040</v>
      </c>
      <c r="E1637" s="194" t="s">
        <v>2687</v>
      </c>
      <c r="F1637" s="112"/>
      <c r="G1637" s="112"/>
      <c r="H1637" s="112"/>
      <c r="I1637" s="7" t="s">
        <v>260</v>
      </c>
      <c r="J1637" s="41" t="s">
        <v>2650</v>
      </c>
      <c r="K1637" s="57">
        <v>60</v>
      </c>
      <c r="L1637" s="58">
        <v>60</v>
      </c>
    </row>
    <row r="1638" spans="1:12" ht="15.75">
      <c r="A1638" s="105">
        <v>1574</v>
      </c>
      <c r="B1638" s="125"/>
      <c r="C1638" s="125"/>
      <c r="D1638" s="41" t="str">
        <f>"90311T0036"</f>
        <v>90311T0036</v>
      </c>
      <c r="E1638" s="193" t="s">
        <v>1019</v>
      </c>
      <c r="F1638" s="112"/>
      <c r="G1638" s="112"/>
      <c r="H1638" s="112"/>
      <c r="I1638" s="7" t="s">
        <v>226</v>
      </c>
      <c r="J1638" s="7" t="s">
        <v>2633</v>
      </c>
      <c r="K1638" s="57">
        <v>0</v>
      </c>
      <c r="L1638" s="58">
        <v>0</v>
      </c>
    </row>
    <row r="1639" spans="1:12" ht="15.75">
      <c r="A1639" s="105">
        <v>1575</v>
      </c>
      <c r="B1639" s="125"/>
      <c r="C1639" s="125"/>
      <c r="D1639" s="127" t="str">
        <f>"9031147024"</f>
        <v>9031147024</v>
      </c>
      <c r="E1639" s="193" t="s">
        <v>843</v>
      </c>
      <c r="F1639" s="112"/>
      <c r="G1639" s="112"/>
      <c r="H1639" s="112"/>
      <c r="I1639" s="8" t="s">
        <v>317</v>
      </c>
      <c r="J1639" s="7" t="s">
        <v>2633</v>
      </c>
      <c r="K1639" s="57">
        <v>0</v>
      </c>
      <c r="L1639" s="58">
        <v>0</v>
      </c>
    </row>
    <row r="1640" spans="1:12" ht="15.75">
      <c r="A1640" s="105">
        <v>1576</v>
      </c>
      <c r="B1640" s="125"/>
      <c r="C1640" s="125"/>
      <c r="D1640" s="150" t="str">
        <f>"51001KK610"</f>
        <v>51001KK610</v>
      </c>
      <c r="E1640" s="217" t="s">
        <v>681</v>
      </c>
      <c r="F1640" s="112"/>
      <c r="G1640" s="112"/>
      <c r="H1640" s="112"/>
      <c r="I1640" s="41" t="s">
        <v>267</v>
      </c>
      <c r="J1640" s="41" t="s">
        <v>1110</v>
      </c>
      <c r="K1640" s="57">
        <v>30</v>
      </c>
      <c r="L1640" s="58">
        <v>30</v>
      </c>
    </row>
    <row r="1641" spans="1:12" ht="15.75">
      <c r="A1641" s="105">
        <v>1577</v>
      </c>
      <c r="B1641" s="125"/>
      <c r="C1641" s="125"/>
      <c r="D1641" s="151" t="str">
        <f>"51001KK100"</f>
        <v>51001KK100</v>
      </c>
      <c r="E1641" s="217" t="s">
        <v>681</v>
      </c>
      <c r="F1641" s="112"/>
      <c r="G1641" s="112"/>
      <c r="H1641" s="112"/>
      <c r="I1641" s="41" t="s">
        <v>267</v>
      </c>
      <c r="J1641" s="41" t="s">
        <v>1110</v>
      </c>
      <c r="K1641" s="57">
        <v>30</v>
      </c>
      <c r="L1641" s="58">
        <v>30</v>
      </c>
    </row>
    <row r="1642" spans="1:12" ht="15.75">
      <c r="A1642" s="105">
        <v>1578</v>
      </c>
      <c r="B1642" s="125"/>
      <c r="C1642" s="125"/>
      <c r="D1642" s="150" t="s">
        <v>2772</v>
      </c>
      <c r="E1642" s="217" t="s">
        <v>681</v>
      </c>
      <c r="F1642" s="112"/>
      <c r="G1642" s="112"/>
      <c r="H1642" s="112"/>
      <c r="I1642" s="41" t="s">
        <v>267</v>
      </c>
      <c r="J1642" s="41" t="s">
        <v>1110</v>
      </c>
      <c r="K1642" s="57">
        <v>30</v>
      </c>
      <c r="L1642" s="58">
        <v>30</v>
      </c>
    </row>
    <row r="1643" spans="1:12" ht="15.75">
      <c r="A1643" s="105">
        <v>1579</v>
      </c>
      <c r="B1643" s="125"/>
      <c r="C1643" s="125"/>
      <c r="D1643" s="150" t="s">
        <v>2773</v>
      </c>
      <c r="E1643" s="217" t="s">
        <v>681</v>
      </c>
      <c r="F1643" s="112"/>
      <c r="G1643" s="112"/>
      <c r="H1643" s="112"/>
      <c r="I1643" s="41" t="s">
        <v>267</v>
      </c>
      <c r="J1643" s="41" t="s">
        <v>1110</v>
      </c>
      <c r="K1643" s="57">
        <v>30</v>
      </c>
      <c r="L1643" s="58">
        <v>30</v>
      </c>
    </row>
    <row r="1644" spans="1:12" ht="15.75">
      <c r="A1644" s="105">
        <v>1580</v>
      </c>
      <c r="B1644" s="125"/>
      <c r="C1644" s="125"/>
      <c r="D1644" s="150" t="str">
        <f>"51001KK160"</f>
        <v>51001KK160</v>
      </c>
      <c r="E1644" s="217" t="s">
        <v>681</v>
      </c>
      <c r="F1644" s="112"/>
      <c r="G1644" s="112"/>
      <c r="H1644" s="112"/>
      <c r="I1644" s="41" t="s">
        <v>267</v>
      </c>
      <c r="J1644" s="41" t="s">
        <v>1110</v>
      </c>
      <c r="K1644" s="57">
        <v>30</v>
      </c>
      <c r="L1644" s="58">
        <v>30</v>
      </c>
    </row>
    <row r="1645" spans="1:12" ht="15.75">
      <c r="A1645" s="105">
        <v>1581</v>
      </c>
      <c r="B1645" s="125"/>
      <c r="C1645" s="125"/>
      <c r="D1645" s="150" t="str">
        <f>"51001KK180"</f>
        <v>51001KK180</v>
      </c>
      <c r="E1645" s="217" t="s">
        <v>681</v>
      </c>
      <c r="F1645" s="112"/>
      <c r="G1645" s="112"/>
      <c r="H1645" s="112"/>
      <c r="I1645" s="41" t="s">
        <v>267</v>
      </c>
      <c r="J1645" s="41" t="s">
        <v>1110</v>
      </c>
      <c r="K1645" s="57">
        <v>30</v>
      </c>
      <c r="L1645" s="58">
        <v>30</v>
      </c>
    </row>
    <row r="1646" spans="1:12" ht="15.75">
      <c r="A1646" s="105">
        <v>1582</v>
      </c>
      <c r="B1646" s="125"/>
      <c r="C1646" s="125"/>
      <c r="D1646" s="150" t="s">
        <v>2774</v>
      </c>
      <c r="E1646" s="217" t="s">
        <v>681</v>
      </c>
      <c r="F1646" s="112"/>
      <c r="G1646" s="112"/>
      <c r="H1646" s="112"/>
      <c r="I1646" s="41" t="s">
        <v>267</v>
      </c>
      <c r="J1646" s="41" t="s">
        <v>1110</v>
      </c>
      <c r="K1646" s="57">
        <v>30</v>
      </c>
      <c r="L1646" s="58">
        <v>30</v>
      </c>
    </row>
    <row r="1647" spans="1:12" ht="15.75">
      <c r="A1647" s="105">
        <v>1583</v>
      </c>
      <c r="B1647" s="125"/>
      <c r="C1647" s="125"/>
      <c r="D1647" s="150" t="str">
        <f>"51001KK230"</f>
        <v>51001KK230</v>
      </c>
      <c r="E1647" s="217" t="s">
        <v>681</v>
      </c>
      <c r="F1647" s="112"/>
      <c r="G1647" s="112"/>
      <c r="H1647" s="112"/>
      <c r="I1647" s="41" t="s">
        <v>267</v>
      </c>
      <c r="J1647" s="41" t="s">
        <v>1110</v>
      </c>
      <c r="K1647" s="57">
        <v>30</v>
      </c>
      <c r="L1647" s="58">
        <v>30</v>
      </c>
    </row>
    <row r="1648" spans="1:12" ht="15.75">
      <c r="A1648" s="105">
        <v>1584</v>
      </c>
      <c r="B1648" s="125"/>
      <c r="C1648" s="125"/>
      <c r="D1648" s="150" t="s">
        <v>2775</v>
      </c>
      <c r="E1648" s="217" t="s">
        <v>681</v>
      </c>
      <c r="F1648" s="112"/>
      <c r="G1648" s="112"/>
      <c r="H1648" s="112"/>
      <c r="I1648" s="41" t="s">
        <v>267</v>
      </c>
      <c r="J1648" s="41" t="s">
        <v>1110</v>
      </c>
      <c r="K1648" s="57">
        <v>30</v>
      </c>
      <c r="L1648" s="58">
        <v>30</v>
      </c>
    </row>
    <row r="1649" spans="1:12" ht="15.75">
      <c r="A1649" s="105">
        <v>1585</v>
      </c>
      <c r="B1649" s="125"/>
      <c r="C1649" s="125"/>
      <c r="D1649" s="150" t="s">
        <v>2776</v>
      </c>
      <c r="E1649" s="217" t="s">
        <v>681</v>
      </c>
      <c r="F1649" s="112"/>
      <c r="G1649" s="112"/>
      <c r="H1649" s="112"/>
      <c r="I1649" s="41" t="s">
        <v>267</v>
      </c>
      <c r="J1649" s="41" t="s">
        <v>1110</v>
      </c>
      <c r="K1649" s="57">
        <v>30</v>
      </c>
      <c r="L1649" s="58">
        <v>30</v>
      </c>
    </row>
    <row r="1650" spans="1:12" ht="15.75">
      <c r="A1650" s="105">
        <v>1586</v>
      </c>
      <c r="B1650" s="125"/>
      <c r="C1650" s="125"/>
      <c r="D1650" s="150" t="s">
        <v>2777</v>
      </c>
      <c r="E1650" s="217" t="s">
        <v>681</v>
      </c>
      <c r="F1650" s="112"/>
      <c r="G1650" s="112"/>
      <c r="H1650" s="112"/>
      <c r="I1650" s="41" t="s">
        <v>267</v>
      </c>
      <c r="J1650" s="41" t="s">
        <v>1110</v>
      </c>
      <c r="K1650" s="57">
        <v>30</v>
      </c>
      <c r="L1650" s="58">
        <v>30</v>
      </c>
    </row>
    <row r="1651" spans="1:12" ht="15.75">
      <c r="A1651" s="105">
        <v>1587</v>
      </c>
      <c r="B1651" s="125"/>
      <c r="C1651" s="125"/>
      <c r="D1651" s="150" t="s">
        <v>2778</v>
      </c>
      <c r="E1651" s="217" t="s">
        <v>681</v>
      </c>
      <c r="F1651" s="112"/>
      <c r="G1651" s="112"/>
      <c r="H1651" s="112"/>
      <c r="I1651" s="41" t="s">
        <v>267</v>
      </c>
      <c r="J1651" s="41" t="s">
        <v>1110</v>
      </c>
      <c r="K1651" s="57">
        <v>30</v>
      </c>
      <c r="L1651" s="58">
        <v>30</v>
      </c>
    </row>
    <row r="1652" spans="1:12" ht="15.75">
      <c r="A1652" s="105">
        <v>1588</v>
      </c>
      <c r="B1652" s="125"/>
      <c r="C1652" s="125"/>
      <c r="D1652" s="150" t="s">
        <v>2779</v>
      </c>
      <c r="E1652" s="217" t="s">
        <v>681</v>
      </c>
      <c r="F1652" s="112"/>
      <c r="G1652" s="112"/>
      <c r="H1652" s="112"/>
      <c r="I1652" s="41" t="s">
        <v>267</v>
      </c>
      <c r="J1652" s="41" t="s">
        <v>1110</v>
      </c>
      <c r="K1652" s="57">
        <v>30</v>
      </c>
      <c r="L1652" s="58">
        <v>30</v>
      </c>
    </row>
    <row r="1653" spans="1:12" ht="15.75">
      <c r="A1653" s="105">
        <v>1589</v>
      </c>
      <c r="B1653" s="125"/>
      <c r="C1653" s="125"/>
      <c r="D1653" s="150" t="s">
        <v>2780</v>
      </c>
      <c r="E1653" s="217" t="s">
        <v>681</v>
      </c>
      <c r="F1653" s="112"/>
      <c r="G1653" s="112"/>
      <c r="H1653" s="112"/>
      <c r="I1653" s="41" t="s">
        <v>267</v>
      </c>
      <c r="J1653" s="41" t="s">
        <v>1110</v>
      </c>
      <c r="K1653" s="57">
        <v>30</v>
      </c>
      <c r="L1653" s="58">
        <v>30</v>
      </c>
    </row>
    <row r="1654" spans="1:12" ht="15.75">
      <c r="A1654" s="105">
        <v>1590</v>
      </c>
      <c r="B1654" s="125"/>
      <c r="C1654" s="125"/>
      <c r="D1654" s="150" t="s">
        <v>2781</v>
      </c>
      <c r="E1654" s="217" t="s">
        <v>681</v>
      </c>
      <c r="F1654" s="112"/>
      <c r="G1654" s="112"/>
      <c r="H1654" s="112"/>
      <c r="I1654" s="41" t="s">
        <v>267</v>
      </c>
      <c r="J1654" s="41" t="s">
        <v>1110</v>
      </c>
      <c r="K1654" s="57">
        <v>30</v>
      </c>
      <c r="L1654" s="58">
        <v>30</v>
      </c>
    </row>
    <row r="1655" spans="1:12" ht="15.75">
      <c r="A1655" s="105">
        <v>1591</v>
      </c>
      <c r="B1655" s="125"/>
      <c r="C1655" s="125"/>
      <c r="D1655" s="150" t="s">
        <v>2782</v>
      </c>
      <c r="E1655" s="217" t="s">
        <v>681</v>
      </c>
      <c r="F1655" s="112"/>
      <c r="G1655" s="112"/>
      <c r="H1655" s="112"/>
      <c r="I1655" s="41" t="s">
        <v>267</v>
      </c>
      <c r="J1655" s="41" t="s">
        <v>1110</v>
      </c>
      <c r="K1655" s="57">
        <v>30</v>
      </c>
      <c r="L1655" s="58">
        <v>30</v>
      </c>
    </row>
    <row r="1656" spans="1:12" ht="15.75">
      <c r="A1656" s="105">
        <v>1592</v>
      </c>
      <c r="B1656" s="125"/>
      <c r="C1656" s="125"/>
      <c r="D1656" s="150" t="s">
        <v>2783</v>
      </c>
      <c r="E1656" s="217" t="s">
        <v>681</v>
      </c>
      <c r="F1656" s="112"/>
      <c r="G1656" s="112"/>
      <c r="H1656" s="112"/>
      <c r="I1656" s="41" t="s">
        <v>267</v>
      </c>
      <c r="J1656" s="41" t="s">
        <v>1110</v>
      </c>
      <c r="K1656" s="57">
        <v>30</v>
      </c>
      <c r="L1656" s="58">
        <v>30</v>
      </c>
    </row>
    <row r="1657" spans="1:12" ht="15.75">
      <c r="A1657" s="105">
        <v>1593</v>
      </c>
      <c r="B1657" s="125"/>
      <c r="C1657" s="125"/>
      <c r="D1657" s="150" t="s">
        <v>2784</v>
      </c>
      <c r="E1657" s="217" t="s">
        <v>681</v>
      </c>
      <c r="F1657" s="112"/>
      <c r="G1657" s="112"/>
      <c r="H1657" s="112"/>
      <c r="I1657" s="41" t="s">
        <v>267</v>
      </c>
      <c r="J1657" s="41" t="s">
        <v>1110</v>
      </c>
      <c r="K1657" s="57">
        <v>30</v>
      </c>
      <c r="L1657" s="58">
        <v>30</v>
      </c>
    </row>
    <row r="1658" spans="1:12" ht="15.75">
      <c r="A1658" s="105">
        <v>1594</v>
      </c>
      <c r="B1658" s="125"/>
      <c r="C1658" s="125"/>
      <c r="D1658" s="150" t="s">
        <v>2785</v>
      </c>
      <c r="E1658" s="217" t="s">
        <v>681</v>
      </c>
      <c r="F1658" s="112"/>
      <c r="G1658" s="112"/>
      <c r="H1658" s="112"/>
      <c r="I1658" s="41" t="s">
        <v>267</v>
      </c>
      <c r="J1658" s="41" t="s">
        <v>1110</v>
      </c>
      <c r="K1658" s="57">
        <v>30</v>
      </c>
      <c r="L1658" s="58">
        <v>30</v>
      </c>
    </row>
    <row r="1659" spans="1:12" ht="15.75">
      <c r="A1659" s="105">
        <v>1595</v>
      </c>
      <c r="B1659" s="125"/>
      <c r="C1659" s="125"/>
      <c r="D1659" s="150" t="s">
        <v>2786</v>
      </c>
      <c r="E1659" s="217" t="s">
        <v>681</v>
      </c>
      <c r="F1659" s="112"/>
      <c r="G1659" s="112"/>
      <c r="H1659" s="112"/>
      <c r="I1659" s="41" t="s">
        <v>267</v>
      </c>
      <c r="J1659" s="41" t="s">
        <v>1110</v>
      </c>
      <c r="K1659" s="57">
        <v>30</v>
      </c>
      <c r="L1659" s="58">
        <v>30</v>
      </c>
    </row>
    <row r="1660" spans="1:12" ht="15.75">
      <c r="A1660" s="105">
        <v>1596</v>
      </c>
      <c r="B1660" s="125"/>
      <c r="C1660" s="125"/>
      <c r="D1660" s="150" t="s">
        <v>2787</v>
      </c>
      <c r="E1660" s="217" t="s">
        <v>681</v>
      </c>
      <c r="F1660" s="112"/>
      <c r="G1660" s="112"/>
      <c r="H1660" s="112"/>
      <c r="I1660" s="41" t="s">
        <v>267</v>
      </c>
      <c r="J1660" s="41" t="s">
        <v>1110</v>
      </c>
      <c r="K1660" s="57">
        <v>30</v>
      </c>
      <c r="L1660" s="58">
        <v>30</v>
      </c>
    </row>
    <row r="1661" spans="1:12" ht="15.75">
      <c r="A1661" s="105">
        <v>1597</v>
      </c>
      <c r="B1661" s="125"/>
      <c r="C1661" s="125"/>
      <c r="D1661" s="150" t="s">
        <v>2788</v>
      </c>
      <c r="E1661" s="217" t="s">
        <v>681</v>
      </c>
      <c r="F1661" s="112"/>
      <c r="G1661" s="112"/>
      <c r="H1661" s="112"/>
      <c r="I1661" s="41" t="s">
        <v>267</v>
      </c>
      <c r="J1661" s="41" t="s">
        <v>1110</v>
      </c>
      <c r="K1661" s="57">
        <v>30</v>
      </c>
      <c r="L1661" s="58">
        <v>30</v>
      </c>
    </row>
    <row r="1662" spans="1:12" ht="15.75">
      <c r="A1662" s="105">
        <v>1598</v>
      </c>
      <c r="B1662" s="125"/>
      <c r="C1662" s="125"/>
      <c r="D1662" s="150" t="s">
        <v>2789</v>
      </c>
      <c r="E1662" s="217" t="s">
        <v>681</v>
      </c>
      <c r="F1662" s="112"/>
      <c r="G1662" s="112"/>
      <c r="H1662" s="112"/>
      <c r="I1662" s="41" t="s">
        <v>267</v>
      </c>
      <c r="J1662" s="41" t="s">
        <v>1110</v>
      </c>
      <c r="K1662" s="57">
        <v>30</v>
      </c>
      <c r="L1662" s="58">
        <v>30</v>
      </c>
    </row>
    <row r="1663" spans="1:12" ht="15.75">
      <c r="A1663" s="105">
        <v>1599</v>
      </c>
      <c r="B1663" s="125"/>
      <c r="C1663" s="125"/>
      <c r="D1663" s="150" t="s">
        <v>2790</v>
      </c>
      <c r="E1663" s="217" t="s">
        <v>681</v>
      </c>
      <c r="F1663" s="112"/>
      <c r="G1663" s="112"/>
      <c r="H1663" s="112"/>
      <c r="I1663" s="41" t="s">
        <v>267</v>
      </c>
      <c r="J1663" s="41" t="s">
        <v>1110</v>
      </c>
      <c r="K1663" s="57">
        <v>30</v>
      </c>
      <c r="L1663" s="58">
        <v>30</v>
      </c>
    </row>
    <row r="1664" spans="1:12" ht="15.75">
      <c r="A1664" s="105">
        <v>1600</v>
      </c>
      <c r="B1664" s="125"/>
      <c r="C1664" s="125"/>
      <c r="D1664" s="150" t="s">
        <v>2791</v>
      </c>
      <c r="E1664" s="217" t="s">
        <v>681</v>
      </c>
      <c r="F1664" s="112"/>
      <c r="G1664" s="112"/>
      <c r="H1664" s="112"/>
      <c r="I1664" s="41" t="s">
        <v>267</v>
      </c>
      <c r="J1664" s="41" t="s">
        <v>1110</v>
      </c>
      <c r="K1664" s="57">
        <v>30</v>
      </c>
      <c r="L1664" s="58">
        <v>30</v>
      </c>
    </row>
    <row r="1665" spans="1:12" ht="15.75">
      <c r="A1665" s="105">
        <v>1601</v>
      </c>
      <c r="B1665" s="125"/>
      <c r="C1665" s="125"/>
      <c r="D1665" s="150" t="s">
        <v>2792</v>
      </c>
      <c r="E1665" s="217" t="s">
        <v>681</v>
      </c>
      <c r="F1665" s="112"/>
      <c r="G1665" s="112"/>
      <c r="H1665" s="112"/>
      <c r="I1665" s="41" t="s">
        <v>267</v>
      </c>
      <c r="J1665" s="41" t="s">
        <v>1110</v>
      </c>
      <c r="K1665" s="57">
        <v>30</v>
      </c>
      <c r="L1665" s="58">
        <v>30</v>
      </c>
    </row>
    <row r="1666" spans="1:12" ht="15.75">
      <c r="A1666" s="105">
        <v>1602</v>
      </c>
      <c r="B1666" s="125"/>
      <c r="C1666" s="125"/>
      <c r="D1666" s="150" t="s">
        <v>2793</v>
      </c>
      <c r="E1666" s="217" t="s">
        <v>681</v>
      </c>
      <c r="F1666" s="112"/>
      <c r="G1666" s="112"/>
      <c r="H1666" s="112"/>
      <c r="I1666" s="41" t="s">
        <v>267</v>
      </c>
      <c r="J1666" s="41" t="s">
        <v>1110</v>
      </c>
      <c r="K1666" s="57">
        <v>30</v>
      </c>
      <c r="L1666" s="58">
        <v>30</v>
      </c>
    </row>
    <row r="1667" spans="1:12" ht="15.75">
      <c r="A1667" s="105">
        <v>1603</v>
      </c>
      <c r="B1667" s="125"/>
      <c r="C1667" s="125"/>
      <c r="D1667" s="150" t="s">
        <v>2794</v>
      </c>
      <c r="E1667" s="217" t="s">
        <v>681</v>
      </c>
      <c r="F1667" s="112"/>
      <c r="G1667" s="112"/>
      <c r="H1667" s="112"/>
      <c r="I1667" s="41" t="s">
        <v>267</v>
      </c>
      <c r="J1667" s="41" t="s">
        <v>1110</v>
      </c>
      <c r="K1667" s="57">
        <v>30</v>
      </c>
      <c r="L1667" s="58">
        <v>30</v>
      </c>
    </row>
    <row r="1668" spans="1:12" ht="15.75">
      <c r="A1668" s="105">
        <v>1604</v>
      </c>
      <c r="B1668" s="125"/>
      <c r="C1668" s="125"/>
      <c r="D1668" s="150" t="s">
        <v>2795</v>
      </c>
      <c r="E1668" s="217" t="s">
        <v>681</v>
      </c>
      <c r="F1668" s="112"/>
      <c r="G1668" s="112"/>
      <c r="H1668" s="112"/>
      <c r="I1668" s="41" t="s">
        <v>267</v>
      </c>
      <c r="J1668" s="41" t="s">
        <v>1110</v>
      </c>
      <c r="K1668" s="57">
        <v>30</v>
      </c>
      <c r="L1668" s="58">
        <v>30</v>
      </c>
    </row>
    <row r="1669" spans="1:12" ht="15.75">
      <c r="A1669" s="105">
        <v>1605</v>
      </c>
      <c r="B1669" s="125"/>
      <c r="C1669" s="125"/>
      <c r="D1669" s="150" t="s">
        <v>2796</v>
      </c>
      <c r="E1669" s="217" t="s">
        <v>681</v>
      </c>
      <c r="F1669" s="112"/>
      <c r="G1669" s="112"/>
      <c r="H1669" s="112"/>
      <c r="I1669" s="41" t="s">
        <v>267</v>
      </c>
      <c r="J1669" s="41" t="s">
        <v>1110</v>
      </c>
      <c r="K1669" s="57">
        <v>30</v>
      </c>
      <c r="L1669" s="58">
        <v>30</v>
      </c>
    </row>
    <row r="1670" spans="1:12" ht="15.75">
      <c r="A1670" s="105">
        <v>1606</v>
      </c>
      <c r="B1670" s="125"/>
      <c r="C1670" s="125"/>
      <c r="D1670" s="150" t="s">
        <v>2797</v>
      </c>
      <c r="E1670" s="217" t="s">
        <v>681</v>
      </c>
      <c r="F1670" s="112"/>
      <c r="G1670" s="112"/>
      <c r="H1670" s="112"/>
      <c r="I1670" s="41" t="s">
        <v>267</v>
      </c>
      <c r="J1670" s="41" t="s">
        <v>1110</v>
      </c>
      <c r="K1670" s="57">
        <v>30</v>
      </c>
      <c r="L1670" s="58">
        <v>30</v>
      </c>
    </row>
    <row r="1671" spans="1:12" ht="15.75">
      <c r="A1671" s="105">
        <v>1607</v>
      </c>
      <c r="B1671" s="125"/>
      <c r="C1671" s="125"/>
      <c r="D1671" s="150" t="s">
        <v>2798</v>
      </c>
      <c r="E1671" s="218" t="s">
        <v>681</v>
      </c>
      <c r="F1671" s="112"/>
      <c r="G1671" s="112"/>
      <c r="H1671" s="112"/>
      <c r="I1671" s="41" t="s">
        <v>267</v>
      </c>
      <c r="J1671" s="41" t="s">
        <v>1110</v>
      </c>
      <c r="K1671" s="57">
        <v>30</v>
      </c>
      <c r="L1671" s="58">
        <v>30</v>
      </c>
    </row>
    <row r="1672" spans="1:12" ht="15.75">
      <c r="A1672" s="105">
        <v>1608</v>
      </c>
      <c r="B1672" s="125"/>
      <c r="C1672" s="125"/>
      <c r="D1672" s="150" t="s">
        <v>2799</v>
      </c>
      <c r="E1672" s="217" t="s">
        <v>681</v>
      </c>
      <c r="F1672" s="112"/>
      <c r="G1672" s="112"/>
      <c r="H1672" s="112"/>
      <c r="I1672" s="41" t="s">
        <v>267</v>
      </c>
      <c r="J1672" s="41" t="s">
        <v>1110</v>
      </c>
      <c r="K1672" s="57">
        <v>30</v>
      </c>
      <c r="L1672" s="58">
        <v>30</v>
      </c>
    </row>
    <row r="1673" spans="1:12" ht="15.75">
      <c r="A1673" s="105">
        <v>1609</v>
      </c>
      <c r="B1673" s="125"/>
      <c r="C1673" s="125"/>
      <c r="D1673" s="150" t="s">
        <v>2800</v>
      </c>
      <c r="E1673" s="217" t="s">
        <v>681</v>
      </c>
      <c r="F1673" s="112"/>
      <c r="G1673" s="112"/>
      <c r="H1673" s="112"/>
      <c r="I1673" s="41" t="s">
        <v>267</v>
      </c>
      <c r="J1673" s="41" t="s">
        <v>1110</v>
      </c>
      <c r="K1673" s="57">
        <v>30</v>
      </c>
      <c r="L1673" s="58">
        <v>30</v>
      </c>
    </row>
    <row r="1674" spans="1:12" ht="15.75">
      <c r="A1674" s="105">
        <v>1610</v>
      </c>
      <c r="B1674" s="125"/>
      <c r="C1674" s="125"/>
      <c r="D1674" s="150" t="s">
        <v>2801</v>
      </c>
      <c r="E1674" s="217" t="s">
        <v>681</v>
      </c>
      <c r="F1674" s="112"/>
      <c r="G1674" s="112"/>
      <c r="H1674" s="112"/>
      <c r="I1674" s="41" t="s">
        <v>267</v>
      </c>
      <c r="J1674" s="41" t="s">
        <v>1110</v>
      </c>
      <c r="K1674" s="57">
        <v>30</v>
      </c>
      <c r="L1674" s="58">
        <v>30</v>
      </c>
    </row>
    <row r="1675" spans="1:12" ht="15.75">
      <c r="A1675" s="105">
        <v>1611</v>
      </c>
      <c r="B1675" s="125"/>
      <c r="C1675" s="125"/>
      <c r="D1675" s="150" t="s">
        <v>4710</v>
      </c>
      <c r="E1675" s="217" t="s">
        <v>681</v>
      </c>
      <c r="F1675" s="112"/>
      <c r="G1675" s="112"/>
      <c r="H1675" s="112"/>
      <c r="I1675" s="41" t="s">
        <v>267</v>
      </c>
      <c r="J1675" s="41" t="s">
        <v>1110</v>
      </c>
      <c r="K1675" s="57">
        <v>30</v>
      </c>
      <c r="L1675" s="58">
        <v>30</v>
      </c>
    </row>
    <row r="1676" spans="1:12" ht="15.75">
      <c r="A1676" s="105">
        <v>1612</v>
      </c>
      <c r="B1676" s="125"/>
      <c r="C1676" s="125"/>
      <c r="D1676" s="151" t="s">
        <v>2771</v>
      </c>
      <c r="E1676" s="217" t="s">
        <v>681</v>
      </c>
      <c r="F1676" s="112"/>
      <c r="G1676" s="112"/>
      <c r="H1676" s="112"/>
      <c r="I1676" s="41" t="s">
        <v>267</v>
      </c>
      <c r="J1676" s="41" t="s">
        <v>1110</v>
      </c>
      <c r="K1676" s="57">
        <v>30</v>
      </c>
      <c r="L1676" s="58">
        <v>30</v>
      </c>
    </row>
    <row r="1677" spans="1:12" ht="15.75">
      <c r="A1677" s="105">
        <v>1613</v>
      </c>
      <c r="B1677" s="125"/>
      <c r="C1677" s="125"/>
      <c r="D1677" s="150" t="s">
        <v>2772</v>
      </c>
      <c r="E1677" s="217" t="s">
        <v>681</v>
      </c>
      <c r="F1677" s="112"/>
      <c r="G1677" s="112"/>
      <c r="H1677" s="112"/>
      <c r="I1677" s="41" t="s">
        <v>267</v>
      </c>
      <c r="J1677" s="41" t="s">
        <v>1110</v>
      </c>
      <c r="K1677" s="57">
        <v>30</v>
      </c>
      <c r="L1677" s="58">
        <v>30</v>
      </c>
    </row>
    <row r="1678" spans="1:12" ht="15.75">
      <c r="A1678" s="105">
        <v>1614</v>
      </c>
      <c r="B1678" s="125"/>
      <c r="C1678" s="125"/>
      <c r="D1678" s="150" t="s">
        <v>2773</v>
      </c>
      <c r="E1678" s="217" t="s">
        <v>681</v>
      </c>
      <c r="F1678" s="112"/>
      <c r="G1678" s="112"/>
      <c r="H1678" s="112"/>
      <c r="I1678" s="41" t="s">
        <v>267</v>
      </c>
      <c r="J1678" s="41" t="s">
        <v>1110</v>
      </c>
      <c r="K1678" s="57">
        <v>30</v>
      </c>
      <c r="L1678" s="58">
        <v>30</v>
      </c>
    </row>
    <row r="1679" spans="1:12" ht="15.75">
      <c r="A1679" s="105">
        <v>1615</v>
      </c>
      <c r="B1679" s="125"/>
      <c r="C1679" s="125"/>
      <c r="D1679" s="150" t="str">
        <f>"51001KK161"</f>
        <v>51001KK161</v>
      </c>
      <c r="E1679" s="217" t="s">
        <v>681</v>
      </c>
      <c r="F1679" s="112"/>
      <c r="G1679" s="112"/>
      <c r="H1679" s="112"/>
      <c r="I1679" s="41" t="s">
        <v>267</v>
      </c>
      <c r="J1679" s="41" t="s">
        <v>1110</v>
      </c>
      <c r="K1679" s="57">
        <v>30</v>
      </c>
      <c r="L1679" s="58">
        <v>30</v>
      </c>
    </row>
    <row r="1680" spans="1:12" ht="15.75">
      <c r="A1680" s="105">
        <v>1616</v>
      </c>
      <c r="B1680" s="125"/>
      <c r="C1680" s="125"/>
      <c r="D1680" s="150" t="str">
        <f>"51001KK181"</f>
        <v>51001KK181</v>
      </c>
      <c r="E1680" s="217" t="s">
        <v>681</v>
      </c>
      <c r="F1680" s="112"/>
      <c r="G1680" s="112"/>
      <c r="H1680" s="112"/>
      <c r="I1680" s="41" t="s">
        <v>267</v>
      </c>
      <c r="J1680" s="41" t="s">
        <v>1110</v>
      </c>
      <c r="K1680" s="57">
        <v>30</v>
      </c>
      <c r="L1680" s="58">
        <v>30</v>
      </c>
    </row>
    <row r="1681" spans="1:12" ht="15.75">
      <c r="A1681" s="105">
        <v>1617</v>
      </c>
      <c r="B1681" s="125"/>
      <c r="C1681" s="125"/>
      <c r="D1681" s="150" t="s">
        <v>2774</v>
      </c>
      <c r="E1681" s="217" t="s">
        <v>681</v>
      </c>
      <c r="F1681" s="112"/>
      <c r="G1681" s="112"/>
      <c r="H1681" s="112"/>
      <c r="I1681" s="41" t="s">
        <v>267</v>
      </c>
      <c r="J1681" s="41" t="s">
        <v>1110</v>
      </c>
      <c r="K1681" s="57">
        <v>30</v>
      </c>
      <c r="L1681" s="58">
        <v>30</v>
      </c>
    </row>
    <row r="1682" spans="1:12" ht="15.75">
      <c r="A1682" s="105">
        <v>1618</v>
      </c>
      <c r="B1682" s="125"/>
      <c r="C1682" s="125"/>
      <c r="D1682" s="150" t="str">
        <f>"51001KK231"</f>
        <v>51001KK231</v>
      </c>
      <c r="E1682" s="217" t="s">
        <v>681</v>
      </c>
      <c r="F1682" s="112"/>
      <c r="G1682" s="112"/>
      <c r="H1682" s="112"/>
      <c r="I1682" s="41" t="s">
        <v>267</v>
      </c>
      <c r="J1682" s="41" t="s">
        <v>1110</v>
      </c>
      <c r="K1682" s="57">
        <v>30</v>
      </c>
      <c r="L1682" s="58">
        <v>30</v>
      </c>
    </row>
    <row r="1683" spans="1:12" ht="15.75">
      <c r="A1683" s="105">
        <v>1619</v>
      </c>
      <c r="B1683" s="125"/>
      <c r="C1683" s="125"/>
      <c r="D1683" s="150" t="s">
        <v>2775</v>
      </c>
      <c r="E1683" s="217" t="s">
        <v>681</v>
      </c>
      <c r="F1683" s="112"/>
      <c r="G1683" s="112"/>
      <c r="H1683" s="112"/>
      <c r="I1683" s="41" t="s">
        <v>267</v>
      </c>
      <c r="J1683" s="41" t="s">
        <v>1110</v>
      </c>
      <c r="K1683" s="57">
        <v>30</v>
      </c>
      <c r="L1683" s="58">
        <v>30</v>
      </c>
    </row>
    <row r="1684" spans="1:12" ht="15.75">
      <c r="A1684" s="105">
        <v>1620</v>
      </c>
      <c r="B1684" s="125"/>
      <c r="C1684" s="125"/>
      <c r="D1684" s="150" t="s">
        <v>2776</v>
      </c>
      <c r="E1684" s="217" t="s">
        <v>681</v>
      </c>
      <c r="F1684" s="112"/>
      <c r="G1684" s="112"/>
      <c r="H1684" s="112"/>
      <c r="I1684" s="41" t="s">
        <v>267</v>
      </c>
      <c r="J1684" s="41" t="s">
        <v>1110</v>
      </c>
      <c r="K1684" s="57">
        <v>30</v>
      </c>
      <c r="L1684" s="58">
        <v>30</v>
      </c>
    </row>
    <row r="1685" spans="1:12" ht="15.75">
      <c r="A1685" s="105">
        <v>1621</v>
      </c>
      <c r="B1685" s="125"/>
      <c r="C1685" s="125"/>
      <c r="D1685" s="150" t="s">
        <v>2777</v>
      </c>
      <c r="E1685" s="217" t="s">
        <v>681</v>
      </c>
      <c r="F1685" s="112"/>
      <c r="G1685" s="112"/>
      <c r="H1685" s="112"/>
      <c r="I1685" s="41" t="s">
        <v>267</v>
      </c>
      <c r="J1685" s="41" t="s">
        <v>1110</v>
      </c>
      <c r="K1685" s="57">
        <v>30</v>
      </c>
      <c r="L1685" s="58">
        <v>30</v>
      </c>
    </row>
    <row r="1686" spans="1:12" ht="15.75">
      <c r="A1686" s="105">
        <v>1622</v>
      </c>
      <c r="B1686" s="125"/>
      <c r="C1686" s="125"/>
      <c r="D1686" s="150" t="s">
        <v>2778</v>
      </c>
      <c r="E1686" s="217" t="s">
        <v>681</v>
      </c>
      <c r="F1686" s="112"/>
      <c r="G1686" s="112"/>
      <c r="H1686" s="112"/>
      <c r="I1686" s="41" t="s">
        <v>267</v>
      </c>
      <c r="J1686" s="41" t="s">
        <v>1110</v>
      </c>
      <c r="K1686" s="57">
        <v>30</v>
      </c>
      <c r="L1686" s="58">
        <v>30</v>
      </c>
    </row>
    <row r="1687" spans="1:12" ht="15.75">
      <c r="A1687" s="105">
        <v>1623</v>
      </c>
      <c r="B1687" s="125"/>
      <c r="C1687" s="125"/>
      <c r="D1687" s="150" t="s">
        <v>4686</v>
      </c>
      <c r="E1687" s="217" t="s">
        <v>681</v>
      </c>
      <c r="F1687" s="112"/>
      <c r="G1687" s="112"/>
      <c r="H1687" s="112"/>
      <c r="I1687" s="41" t="s">
        <v>267</v>
      </c>
      <c r="J1687" s="41" t="s">
        <v>1110</v>
      </c>
      <c r="K1687" s="57">
        <v>30</v>
      </c>
      <c r="L1687" s="58">
        <v>30</v>
      </c>
    </row>
    <row r="1688" spans="1:12" ht="15.75">
      <c r="A1688" s="105">
        <v>1624</v>
      </c>
      <c r="B1688" s="125"/>
      <c r="C1688" s="125"/>
      <c r="D1688" s="150" t="s">
        <v>4680</v>
      </c>
      <c r="E1688" s="217" t="s">
        <v>681</v>
      </c>
      <c r="F1688" s="112"/>
      <c r="G1688" s="112"/>
      <c r="H1688" s="112"/>
      <c r="I1688" s="41" t="s">
        <v>267</v>
      </c>
      <c r="J1688" s="41" t="s">
        <v>1110</v>
      </c>
      <c r="K1688" s="57">
        <v>30</v>
      </c>
      <c r="L1688" s="58">
        <v>30</v>
      </c>
    </row>
    <row r="1689" spans="1:12" ht="15.75">
      <c r="A1689" s="105">
        <v>1625</v>
      </c>
      <c r="B1689" s="125"/>
      <c r="C1689" s="125"/>
      <c r="D1689" s="150" t="s">
        <v>4681</v>
      </c>
      <c r="E1689" s="217" t="s">
        <v>681</v>
      </c>
      <c r="F1689" s="112"/>
      <c r="G1689" s="112"/>
      <c r="H1689" s="112"/>
      <c r="I1689" s="41" t="s">
        <v>267</v>
      </c>
      <c r="J1689" s="41" t="s">
        <v>1110</v>
      </c>
      <c r="K1689" s="57">
        <v>30</v>
      </c>
      <c r="L1689" s="58">
        <v>30</v>
      </c>
    </row>
    <row r="1690" spans="1:12" ht="15.75">
      <c r="A1690" s="105">
        <v>1626</v>
      </c>
      <c r="B1690" s="125"/>
      <c r="C1690" s="125"/>
      <c r="D1690" s="150" t="s">
        <v>4685</v>
      </c>
      <c r="E1690" s="217" t="s">
        <v>681</v>
      </c>
      <c r="F1690" s="112"/>
      <c r="G1690" s="112"/>
      <c r="H1690" s="112"/>
      <c r="I1690" s="41" t="s">
        <v>267</v>
      </c>
      <c r="J1690" s="41" t="s">
        <v>1110</v>
      </c>
      <c r="K1690" s="57">
        <v>30</v>
      </c>
      <c r="L1690" s="58">
        <v>30</v>
      </c>
    </row>
    <row r="1691" spans="1:12" ht="15.75">
      <c r="A1691" s="105">
        <v>1627</v>
      </c>
      <c r="B1691" s="125"/>
      <c r="C1691" s="125"/>
      <c r="D1691" s="150" t="s">
        <v>4684</v>
      </c>
      <c r="E1691" s="217" t="s">
        <v>681</v>
      </c>
      <c r="F1691" s="112"/>
      <c r="G1691" s="112"/>
      <c r="H1691" s="112"/>
      <c r="I1691" s="41" t="s">
        <v>267</v>
      </c>
      <c r="J1691" s="41" t="s">
        <v>1110</v>
      </c>
      <c r="K1691" s="57">
        <v>30</v>
      </c>
      <c r="L1691" s="58">
        <v>30</v>
      </c>
    </row>
    <row r="1692" spans="1:12" ht="15.75">
      <c r="A1692" s="105">
        <v>1628</v>
      </c>
      <c r="B1692" s="125"/>
      <c r="C1692" s="125"/>
      <c r="D1692" s="150" t="s">
        <v>4683</v>
      </c>
      <c r="E1692" s="217" t="s">
        <v>681</v>
      </c>
      <c r="F1692" s="112"/>
      <c r="G1692" s="112"/>
      <c r="H1692" s="112"/>
      <c r="I1692" s="41" t="s">
        <v>267</v>
      </c>
      <c r="J1692" s="41" t="s">
        <v>1110</v>
      </c>
      <c r="K1692" s="57">
        <v>30</v>
      </c>
      <c r="L1692" s="58">
        <v>30</v>
      </c>
    </row>
    <row r="1693" spans="1:12" ht="15.75">
      <c r="A1693" s="105">
        <v>1629</v>
      </c>
      <c r="B1693" s="125"/>
      <c r="C1693" s="125"/>
      <c r="D1693" s="150" t="s">
        <v>4682</v>
      </c>
      <c r="E1693" s="217" t="s">
        <v>681</v>
      </c>
      <c r="F1693" s="112"/>
      <c r="G1693" s="112"/>
      <c r="H1693" s="112"/>
      <c r="I1693" s="41" t="s">
        <v>267</v>
      </c>
      <c r="J1693" s="41" t="s">
        <v>1110</v>
      </c>
      <c r="K1693" s="57">
        <v>30</v>
      </c>
      <c r="L1693" s="58">
        <v>30</v>
      </c>
    </row>
    <row r="1694" spans="1:12" ht="15.75">
      <c r="A1694" s="105">
        <v>1630</v>
      </c>
      <c r="B1694" s="125"/>
      <c r="C1694" s="125"/>
      <c r="D1694" s="150" t="s">
        <v>4687</v>
      </c>
      <c r="E1694" s="217" t="s">
        <v>681</v>
      </c>
      <c r="F1694" s="112"/>
      <c r="G1694" s="112"/>
      <c r="H1694" s="112"/>
      <c r="I1694" s="41" t="s">
        <v>267</v>
      </c>
      <c r="J1694" s="41" t="s">
        <v>1110</v>
      </c>
      <c r="K1694" s="57">
        <v>30</v>
      </c>
      <c r="L1694" s="58">
        <v>30</v>
      </c>
    </row>
    <row r="1695" spans="1:12" ht="15.75">
      <c r="A1695" s="105">
        <v>1631</v>
      </c>
      <c r="B1695" s="125"/>
      <c r="C1695" s="125"/>
      <c r="D1695" s="150" t="s">
        <v>4688</v>
      </c>
      <c r="E1695" s="217" t="s">
        <v>681</v>
      </c>
      <c r="F1695" s="112"/>
      <c r="G1695" s="112"/>
      <c r="H1695" s="112"/>
      <c r="I1695" s="41" t="s">
        <v>267</v>
      </c>
      <c r="J1695" s="41" t="s">
        <v>1110</v>
      </c>
      <c r="K1695" s="57">
        <v>30</v>
      </c>
      <c r="L1695" s="58">
        <v>30</v>
      </c>
    </row>
    <row r="1696" spans="1:12" ht="15.75">
      <c r="A1696" s="105">
        <v>1632</v>
      </c>
      <c r="B1696" s="125"/>
      <c r="C1696" s="125"/>
      <c r="D1696" s="150" t="s">
        <v>4689</v>
      </c>
      <c r="E1696" s="217" t="s">
        <v>681</v>
      </c>
      <c r="F1696" s="112"/>
      <c r="G1696" s="112"/>
      <c r="H1696" s="112"/>
      <c r="I1696" s="41" t="s">
        <v>267</v>
      </c>
      <c r="J1696" s="41" t="s">
        <v>1110</v>
      </c>
      <c r="K1696" s="57">
        <v>30</v>
      </c>
      <c r="L1696" s="58">
        <v>30</v>
      </c>
    </row>
    <row r="1697" spans="1:12" ht="15.75">
      <c r="A1697" s="105">
        <v>1632</v>
      </c>
      <c r="B1697" s="125"/>
      <c r="C1697" s="125"/>
      <c r="D1697" s="150" t="s">
        <v>5308</v>
      </c>
      <c r="E1697" s="217" t="s">
        <v>681</v>
      </c>
      <c r="F1697" s="112"/>
      <c r="G1697" s="112"/>
      <c r="H1697" s="112"/>
      <c r="I1697" s="41" t="s">
        <v>267</v>
      </c>
      <c r="J1697" s="41" t="s">
        <v>1110</v>
      </c>
      <c r="K1697" s="57">
        <v>30</v>
      </c>
      <c r="L1697" s="58">
        <v>30</v>
      </c>
    </row>
    <row r="1698" spans="1:12" ht="15.75">
      <c r="A1698" s="105">
        <v>1632</v>
      </c>
      <c r="B1698" s="125"/>
      <c r="C1698" s="125"/>
      <c r="D1698" s="150" t="s">
        <v>5309</v>
      </c>
      <c r="E1698" s="217" t="s">
        <v>681</v>
      </c>
      <c r="F1698" s="112"/>
      <c r="G1698" s="112"/>
      <c r="H1698" s="112"/>
      <c r="I1698" s="41" t="s">
        <v>267</v>
      </c>
      <c r="J1698" s="41" t="s">
        <v>1110</v>
      </c>
      <c r="K1698" s="57">
        <v>30</v>
      </c>
      <c r="L1698" s="58">
        <v>30</v>
      </c>
    </row>
    <row r="1699" spans="1:12" ht="15.75">
      <c r="A1699" s="105">
        <v>1632</v>
      </c>
      <c r="B1699" s="125"/>
      <c r="C1699" s="125"/>
      <c r="D1699" s="150" t="s">
        <v>5310</v>
      </c>
      <c r="E1699" s="217" t="s">
        <v>681</v>
      </c>
      <c r="F1699" s="112"/>
      <c r="G1699" s="112"/>
      <c r="H1699" s="112"/>
      <c r="I1699" s="41" t="s">
        <v>267</v>
      </c>
      <c r="J1699" s="41" t="s">
        <v>1110</v>
      </c>
      <c r="K1699" s="57">
        <v>30</v>
      </c>
      <c r="L1699" s="58">
        <v>30</v>
      </c>
    </row>
    <row r="1700" spans="1:12" ht="15.75">
      <c r="A1700" s="105">
        <v>1633</v>
      </c>
      <c r="B1700" s="125"/>
      <c r="C1700" s="125"/>
      <c r="D1700" s="150" t="s">
        <v>4690</v>
      </c>
      <c r="E1700" s="217" t="s">
        <v>681</v>
      </c>
      <c r="F1700" s="112"/>
      <c r="G1700" s="112"/>
      <c r="H1700" s="112"/>
      <c r="I1700" s="41" t="s">
        <v>267</v>
      </c>
      <c r="J1700" s="41" t="s">
        <v>1110</v>
      </c>
      <c r="K1700" s="57">
        <v>30</v>
      </c>
      <c r="L1700" s="58">
        <v>30</v>
      </c>
    </row>
    <row r="1701" spans="1:12" ht="15.75">
      <c r="A1701" s="105">
        <v>1634</v>
      </c>
      <c r="B1701" s="125"/>
      <c r="C1701" s="125"/>
      <c r="D1701" s="150" t="s">
        <v>4691</v>
      </c>
      <c r="E1701" s="217" t="s">
        <v>681</v>
      </c>
      <c r="F1701" s="112"/>
      <c r="G1701" s="112"/>
      <c r="H1701" s="112"/>
      <c r="I1701" s="41" t="s">
        <v>267</v>
      </c>
      <c r="J1701" s="41" t="s">
        <v>1110</v>
      </c>
      <c r="K1701" s="57">
        <v>30</v>
      </c>
      <c r="L1701" s="58">
        <v>30</v>
      </c>
    </row>
    <row r="1702" spans="1:12" ht="15.75">
      <c r="A1702" s="105">
        <v>1635</v>
      </c>
      <c r="B1702" s="125"/>
      <c r="C1702" s="125"/>
      <c r="D1702" s="150" t="s">
        <v>4692</v>
      </c>
      <c r="E1702" s="217" t="s">
        <v>681</v>
      </c>
      <c r="F1702" s="112"/>
      <c r="G1702" s="112"/>
      <c r="H1702" s="112"/>
      <c r="I1702" s="41" t="s">
        <v>267</v>
      </c>
      <c r="J1702" s="41" t="s">
        <v>1110</v>
      </c>
      <c r="K1702" s="57">
        <v>30</v>
      </c>
      <c r="L1702" s="58">
        <v>30</v>
      </c>
    </row>
    <row r="1703" spans="1:12" ht="15.75">
      <c r="A1703" s="105">
        <v>1636</v>
      </c>
      <c r="B1703" s="125"/>
      <c r="C1703" s="125"/>
      <c r="D1703" s="150" t="s">
        <v>4693</v>
      </c>
      <c r="E1703" s="217" t="s">
        <v>681</v>
      </c>
      <c r="F1703" s="112"/>
      <c r="G1703" s="112"/>
      <c r="H1703" s="112"/>
      <c r="I1703" s="41" t="s">
        <v>267</v>
      </c>
      <c r="J1703" s="41" t="s">
        <v>1110</v>
      </c>
      <c r="K1703" s="57">
        <v>30</v>
      </c>
      <c r="L1703" s="58">
        <v>30</v>
      </c>
    </row>
    <row r="1704" spans="1:12" ht="15.75">
      <c r="A1704" s="105">
        <v>1637</v>
      </c>
      <c r="B1704" s="125"/>
      <c r="C1704" s="125"/>
      <c r="D1704" s="150" t="s">
        <v>4679</v>
      </c>
      <c r="E1704" s="217" t="s">
        <v>681</v>
      </c>
      <c r="F1704" s="112"/>
      <c r="G1704" s="112"/>
      <c r="H1704" s="112"/>
      <c r="I1704" s="41" t="s">
        <v>267</v>
      </c>
      <c r="J1704" s="41" t="s">
        <v>1110</v>
      </c>
      <c r="K1704" s="57">
        <v>30</v>
      </c>
      <c r="L1704" s="58">
        <v>30</v>
      </c>
    </row>
    <row r="1705" spans="1:12" ht="15.75">
      <c r="A1705" s="105">
        <v>1637</v>
      </c>
      <c r="B1705" s="125"/>
      <c r="C1705" s="125"/>
      <c r="D1705" s="150" t="s">
        <v>5288</v>
      </c>
      <c r="E1705" s="217" t="s">
        <v>681</v>
      </c>
      <c r="F1705" s="112"/>
      <c r="G1705" s="112"/>
      <c r="H1705" s="112"/>
      <c r="I1705" s="41" t="s">
        <v>267</v>
      </c>
      <c r="J1705" s="41" t="s">
        <v>5290</v>
      </c>
      <c r="K1705" s="57">
        <v>30</v>
      </c>
      <c r="L1705" s="58">
        <v>30</v>
      </c>
    </row>
    <row r="1706" spans="1:12" ht="15.75">
      <c r="A1706" s="105">
        <v>1637</v>
      </c>
      <c r="B1706" s="125"/>
      <c r="C1706" s="125"/>
      <c r="D1706" s="150" t="s">
        <v>5289</v>
      </c>
      <c r="E1706" s="217" t="s">
        <v>681</v>
      </c>
      <c r="F1706" s="112"/>
      <c r="G1706" s="112"/>
      <c r="H1706" s="112"/>
      <c r="I1706" s="41" t="s">
        <v>267</v>
      </c>
      <c r="J1706" s="41" t="s">
        <v>5290</v>
      </c>
      <c r="K1706" s="57">
        <v>30</v>
      </c>
      <c r="L1706" s="58">
        <v>30</v>
      </c>
    </row>
    <row r="1707" spans="1:12" ht="15.75">
      <c r="A1707" s="105">
        <v>1638</v>
      </c>
      <c r="B1707" s="125"/>
      <c r="C1707" s="125"/>
      <c r="D1707" s="150" t="s">
        <v>4694</v>
      </c>
      <c r="E1707" s="217" t="s">
        <v>681</v>
      </c>
      <c r="F1707" s="112"/>
      <c r="G1707" s="112"/>
      <c r="H1707" s="112"/>
      <c r="I1707" s="41" t="s">
        <v>267</v>
      </c>
      <c r="J1707" s="41" t="s">
        <v>1110</v>
      </c>
      <c r="K1707" s="57">
        <v>30</v>
      </c>
      <c r="L1707" s="58">
        <v>30</v>
      </c>
    </row>
    <row r="1708" spans="1:12" ht="15.75">
      <c r="A1708" s="105">
        <v>1639</v>
      </c>
      <c r="B1708" s="125"/>
      <c r="C1708" s="125"/>
      <c r="D1708" s="150" t="s">
        <v>4697</v>
      </c>
      <c r="E1708" s="217" t="s">
        <v>681</v>
      </c>
      <c r="F1708" s="112"/>
      <c r="G1708" s="112"/>
      <c r="H1708" s="112"/>
      <c r="I1708" s="41" t="s">
        <v>267</v>
      </c>
      <c r="J1708" s="41" t="s">
        <v>1110</v>
      </c>
      <c r="K1708" s="57">
        <v>30</v>
      </c>
      <c r="L1708" s="58">
        <v>30</v>
      </c>
    </row>
    <row r="1709" spans="1:12" ht="15.75">
      <c r="A1709" s="105">
        <v>1640</v>
      </c>
      <c r="B1709" s="125"/>
      <c r="C1709" s="125"/>
      <c r="D1709" s="150" t="s">
        <v>4698</v>
      </c>
      <c r="E1709" s="217" t="s">
        <v>681</v>
      </c>
      <c r="F1709" s="112"/>
      <c r="G1709" s="112"/>
      <c r="H1709" s="112"/>
      <c r="I1709" s="41" t="s">
        <v>267</v>
      </c>
      <c r="J1709" s="41" t="s">
        <v>1110</v>
      </c>
      <c r="K1709" s="57">
        <v>30</v>
      </c>
      <c r="L1709" s="58">
        <v>30</v>
      </c>
    </row>
    <row r="1710" spans="1:12" ht="15.75">
      <c r="A1710" s="105">
        <v>1641</v>
      </c>
      <c r="B1710" s="125"/>
      <c r="C1710" s="125"/>
      <c r="D1710" s="150" t="s">
        <v>4699</v>
      </c>
      <c r="E1710" s="217" t="s">
        <v>681</v>
      </c>
      <c r="F1710" s="112"/>
      <c r="G1710" s="112"/>
      <c r="H1710" s="112"/>
      <c r="I1710" s="41" t="s">
        <v>267</v>
      </c>
      <c r="J1710" s="41" t="s">
        <v>1110</v>
      </c>
      <c r="K1710" s="57">
        <v>30</v>
      </c>
      <c r="L1710" s="58">
        <v>30</v>
      </c>
    </row>
    <row r="1711" spans="1:12" ht="15.75">
      <c r="A1711" s="105">
        <v>1642</v>
      </c>
      <c r="B1711" s="125"/>
      <c r="C1711" s="125"/>
      <c r="D1711" s="150" t="s">
        <v>4700</v>
      </c>
      <c r="E1711" s="217" t="s">
        <v>681</v>
      </c>
      <c r="F1711" s="112"/>
      <c r="G1711" s="112"/>
      <c r="H1711" s="112"/>
      <c r="I1711" s="41" t="s">
        <v>267</v>
      </c>
      <c r="J1711" s="41" t="s">
        <v>1110</v>
      </c>
      <c r="K1711" s="57">
        <v>30</v>
      </c>
      <c r="L1711" s="58">
        <v>30</v>
      </c>
    </row>
    <row r="1712" spans="1:12" ht="15.75">
      <c r="A1712" s="105">
        <v>1643</v>
      </c>
      <c r="B1712" s="125"/>
      <c r="C1712" s="125"/>
      <c r="D1712" s="150" t="s">
        <v>4701</v>
      </c>
      <c r="E1712" s="217" t="s">
        <v>681</v>
      </c>
      <c r="F1712" s="112"/>
      <c r="G1712" s="112"/>
      <c r="H1712" s="112"/>
      <c r="I1712" s="41" t="s">
        <v>267</v>
      </c>
      <c r="J1712" s="41" t="s">
        <v>1110</v>
      </c>
      <c r="K1712" s="57">
        <v>30</v>
      </c>
      <c r="L1712" s="58">
        <v>30</v>
      </c>
    </row>
    <row r="1713" spans="1:12" ht="15.75">
      <c r="A1713" s="105">
        <v>1644</v>
      </c>
      <c r="B1713" s="125"/>
      <c r="C1713" s="125"/>
      <c r="D1713" s="150" t="s">
        <v>4702</v>
      </c>
      <c r="E1713" s="217" t="s">
        <v>681</v>
      </c>
      <c r="F1713" s="112"/>
      <c r="G1713" s="112"/>
      <c r="H1713" s="112"/>
      <c r="I1713" s="41" t="s">
        <v>267</v>
      </c>
      <c r="J1713" s="41" t="s">
        <v>1110</v>
      </c>
      <c r="K1713" s="57">
        <v>30</v>
      </c>
      <c r="L1713" s="58">
        <v>30</v>
      </c>
    </row>
    <row r="1714" spans="1:12" ht="15.75">
      <c r="A1714" s="105">
        <v>1645</v>
      </c>
      <c r="B1714" s="125"/>
      <c r="C1714" s="125"/>
      <c r="D1714" s="150" t="s">
        <v>4703</v>
      </c>
      <c r="E1714" s="217" t="s">
        <v>681</v>
      </c>
      <c r="F1714" s="112"/>
      <c r="G1714" s="112"/>
      <c r="H1714" s="112"/>
      <c r="I1714" s="41" t="s">
        <v>267</v>
      </c>
      <c r="J1714" s="41" t="s">
        <v>1110</v>
      </c>
      <c r="K1714" s="57">
        <v>30</v>
      </c>
      <c r="L1714" s="58">
        <v>30</v>
      </c>
    </row>
    <row r="1715" spans="1:12" ht="15.75">
      <c r="A1715" s="105">
        <v>1646</v>
      </c>
      <c r="B1715" s="125"/>
      <c r="C1715" s="125"/>
      <c r="D1715" s="150" t="s">
        <v>2802</v>
      </c>
      <c r="E1715" s="217" t="s">
        <v>681</v>
      </c>
      <c r="F1715" s="112"/>
      <c r="G1715" s="112"/>
      <c r="H1715" s="112"/>
      <c r="I1715" s="41" t="s">
        <v>267</v>
      </c>
      <c r="J1715" s="41" t="s">
        <v>1110</v>
      </c>
      <c r="K1715" s="57">
        <v>30</v>
      </c>
      <c r="L1715" s="58">
        <v>30</v>
      </c>
    </row>
    <row r="1716" spans="1:12" ht="15.75">
      <c r="A1716" s="105">
        <v>1647</v>
      </c>
      <c r="B1716" s="125"/>
      <c r="C1716" s="125"/>
      <c r="D1716" s="150" t="s">
        <v>2803</v>
      </c>
      <c r="E1716" s="217" t="s">
        <v>681</v>
      </c>
      <c r="F1716" s="112"/>
      <c r="G1716" s="112"/>
      <c r="H1716" s="112"/>
      <c r="I1716" s="41" t="s">
        <v>267</v>
      </c>
      <c r="J1716" s="41" t="s">
        <v>1110</v>
      </c>
      <c r="K1716" s="57">
        <v>30</v>
      </c>
      <c r="L1716" s="58">
        <v>30</v>
      </c>
    </row>
    <row r="1717" spans="1:12" ht="15.75">
      <c r="A1717" s="105">
        <v>1648</v>
      </c>
      <c r="B1717" s="125"/>
      <c r="C1717" s="125"/>
      <c r="D1717" s="150" t="s">
        <v>2804</v>
      </c>
      <c r="E1717" s="217" t="s">
        <v>681</v>
      </c>
      <c r="F1717" s="112"/>
      <c r="G1717" s="112"/>
      <c r="H1717" s="112"/>
      <c r="I1717" s="41" t="s">
        <v>267</v>
      </c>
      <c r="J1717" s="41" t="s">
        <v>1110</v>
      </c>
      <c r="K1717" s="57">
        <v>30</v>
      </c>
      <c r="L1717" s="58">
        <v>30</v>
      </c>
    </row>
    <row r="1718" spans="1:12" ht="15.75">
      <c r="A1718" s="105">
        <v>1649</v>
      </c>
      <c r="B1718" s="125"/>
      <c r="C1718" s="125"/>
      <c r="D1718" s="150" t="s">
        <v>2805</v>
      </c>
      <c r="E1718" s="217" t="s">
        <v>681</v>
      </c>
      <c r="F1718" s="112"/>
      <c r="G1718" s="112"/>
      <c r="H1718" s="112"/>
      <c r="I1718" s="41" t="s">
        <v>267</v>
      </c>
      <c r="J1718" s="41" t="s">
        <v>1110</v>
      </c>
      <c r="K1718" s="57">
        <v>30</v>
      </c>
      <c r="L1718" s="58">
        <v>30</v>
      </c>
    </row>
    <row r="1719" spans="1:12" ht="15.75">
      <c r="A1719" s="105">
        <v>1647</v>
      </c>
      <c r="B1719" s="125"/>
      <c r="C1719" s="125"/>
      <c r="D1719" s="150" t="s">
        <v>5283</v>
      </c>
      <c r="E1719" s="217" t="s">
        <v>681</v>
      </c>
      <c r="F1719" s="112"/>
      <c r="G1719" s="112"/>
      <c r="H1719" s="112"/>
      <c r="I1719" s="41" t="s">
        <v>267</v>
      </c>
      <c r="J1719" s="41" t="s">
        <v>1110</v>
      </c>
      <c r="K1719" s="57">
        <v>30</v>
      </c>
      <c r="L1719" s="58">
        <v>30</v>
      </c>
    </row>
    <row r="1720" spans="1:12" ht="15.75">
      <c r="A1720" s="105">
        <v>1648</v>
      </c>
      <c r="B1720" s="125"/>
      <c r="C1720" s="125"/>
      <c r="D1720" s="150" t="s">
        <v>5284</v>
      </c>
      <c r="E1720" s="217" t="s">
        <v>681</v>
      </c>
      <c r="F1720" s="112"/>
      <c r="G1720" s="112"/>
      <c r="H1720" s="112"/>
      <c r="I1720" s="41" t="s">
        <v>267</v>
      </c>
      <c r="J1720" s="41" t="s">
        <v>1110</v>
      </c>
      <c r="K1720" s="57">
        <v>30</v>
      </c>
      <c r="L1720" s="58">
        <v>30</v>
      </c>
    </row>
    <row r="1721" spans="1:12" ht="15.75">
      <c r="A1721" s="105">
        <v>1649</v>
      </c>
      <c r="B1721" s="125"/>
      <c r="C1721" s="125"/>
      <c r="D1721" s="150" t="s">
        <v>5285</v>
      </c>
      <c r="E1721" s="217" t="s">
        <v>681</v>
      </c>
      <c r="F1721" s="112"/>
      <c r="G1721" s="112"/>
      <c r="H1721" s="112"/>
      <c r="I1721" s="41" t="s">
        <v>267</v>
      </c>
      <c r="J1721" s="41" t="s">
        <v>1110</v>
      </c>
      <c r="K1721" s="57">
        <v>30</v>
      </c>
      <c r="L1721" s="58">
        <v>30</v>
      </c>
    </row>
    <row r="1722" spans="1:12" ht="15.75">
      <c r="A1722" s="105">
        <v>1650</v>
      </c>
      <c r="B1722" s="125"/>
      <c r="C1722" s="125"/>
      <c r="D1722" s="150" t="s">
        <v>2806</v>
      </c>
      <c r="E1722" s="217" t="s">
        <v>681</v>
      </c>
      <c r="F1722" s="112"/>
      <c r="G1722" s="112"/>
      <c r="H1722" s="112"/>
      <c r="I1722" s="41" t="s">
        <v>267</v>
      </c>
      <c r="J1722" s="41" t="s">
        <v>1110</v>
      </c>
      <c r="K1722" s="57">
        <v>30</v>
      </c>
      <c r="L1722" s="58">
        <v>30</v>
      </c>
    </row>
    <row r="1723" spans="1:12" ht="15.75">
      <c r="A1723" s="105">
        <v>1651</v>
      </c>
      <c r="B1723" s="125"/>
      <c r="C1723" s="125"/>
      <c r="D1723" s="150" t="s">
        <v>2807</v>
      </c>
      <c r="E1723" s="217" t="s">
        <v>681</v>
      </c>
      <c r="F1723" s="112"/>
      <c r="G1723" s="112"/>
      <c r="H1723" s="112"/>
      <c r="I1723" s="41" t="s">
        <v>267</v>
      </c>
      <c r="J1723" s="41" t="s">
        <v>1110</v>
      </c>
      <c r="K1723" s="57">
        <v>30</v>
      </c>
      <c r="L1723" s="58">
        <v>30</v>
      </c>
    </row>
    <row r="1724" spans="1:12" ht="15.75">
      <c r="A1724" s="105">
        <v>1652</v>
      </c>
      <c r="B1724" s="125"/>
      <c r="C1724" s="125"/>
      <c r="D1724" s="150" t="s">
        <v>2808</v>
      </c>
      <c r="E1724" s="217" t="s">
        <v>681</v>
      </c>
      <c r="F1724" s="112"/>
      <c r="G1724" s="112"/>
      <c r="H1724" s="112"/>
      <c r="I1724" s="41" t="s">
        <v>267</v>
      </c>
      <c r="J1724" s="41" t="s">
        <v>1110</v>
      </c>
      <c r="K1724" s="57">
        <v>30</v>
      </c>
      <c r="L1724" s="58">
        <v>30</v>
      </c>
    </row>
    <row r="1725" spans="1:12" ht="15.75">
      <c r="A1725" s="105">
        <v>1653</v>
      </c>
      <c r="B1725" s="125"/>
      <c r="C1725" s="125"/>
      <c r="D1725" s="150" t="s">
        <v>4680</v>
      </c>
      <c r="E1725" s="217" t="s">
        <v>681</v>
      </c>
      <c r="F1725" s="112"/>
      <c r="G1725" s="112"/>
      <c r="H1725" s="112"/>
      <c r="I1725" s="41" t="s">
        <v>267</v>
      </c>
      <c r="J1725" s="41" t="s">
        <v>1110</v>
      </c>
      <c r="K1725" s="57">
        <v>30</v>
      </c>
      <c r="L1725" s="58">
        <v>30</v>
      </c>
    </row>
    <row r="1726" spans="1:12" ht="15.75">
      <c r="A1726" s="105">
        <v>1654</v>
      </c>
      <c r="B1726" s="125"/>
      <c r="C1726" s="125"/>
      <c r="D1726" s="150" t="s">
        <v>4681</v>
      </c>
      <c r="E1726" s="217" t="s">
        <v>681</v>
      </c>
      <c r="F1726" s="112"/>
      <c r="G1726" s="112"/>
      <c r="H1726" s="112"/>
      <c r="I1726" s="41" t="s">
        <v>267</v>
      </c>
      <c r="J1726" s="41" t="s">
        <v>1110</v>
      </c>
      <c r="K1726" s="57">
        <v>30</v>
      </c>
      <c r="L1726" s="58">
        <v>30</v>
      </c>
    </row>
    <row r="1727" spans="1:12" ht="15.75">
      <c r="A1727" s="105">
        <v>1655</v>
      </c>
      <c r="B1727" s="125"/>
      <c r="C1727" s="125"/>
      <c r="D1727" s="150" t="s">
        <v>4687</v>
      </c>
      <c r="E1727" s="217" t="s">
        <v>681</v>
      </c>
      <c r="F1727" s="112"/>
      <c r="G1727" s="112"/>
      <c r="H1727" s="112"/>
      <c r="I1727" s="41" t="s">
        <v>267</v>
      </c>
      <c r="J1727" s="41" t="s">
        <v>1110</v>
      </c>
      <c r="K1727" s="57">
        <v>30</v>
      </c>
      <c r="L1727" s="58">
        <v>30</v>
      </c>
    </row>
    <row r="1728" spans="1:12" ht="15.75">
      <c r="A1728" s="105">
        <v>1656</v>
      </c>
      <c r="B1728" s="125"/>
      <c r="C1728" s="125"/>
      <c r="D1728" s="150" t="s">
        <v>4695</v>
      </c>
      <c r="E1728" s="217" t="s">
        <v>681</v>
      </c>
      <c r="F1728" s="112"/>
      <c r="G1728" s="112"/>
      <c r="H1728" s="112"/>
      <c r="I1728" s="41" t="s">
        <v>267</v>
      </c>
      <c r="J1728" s="41" t="s">
        <v>1110</v>
      </c>
      <c r="K1728" s="57">
        <v>30</v>
      </c>
      <c r="L1728" s="58">
        <v>30</v>
      </c>
    </row>
    <row r="1729" spans="1:12" ht="15.75">
      <c r="A1729" s="105">
        <v>1657</v>
      </c>
      <c r="B1729" s="125"/>
      <c r="C1729" s="125"/>
      <c r="D1729" s="150" t="s">
        <v>4696</v>
      </c>
      <c r="E1729" s="217" t="s">
        <v>681</v>
      </c>
      <c r="F1729" s="112"/>
      <c r="G1729" s="112"/>
      <c r="H1729" s="112"/>
      <c r="I1729" s="41" t="s">
        <v>267</v>
      </c>
      <c r="J1729" s="41" t="s">
        <v>1110</v>
      </c>
      <c r="K1729" s="57">
        <v>30</v>
      </c>
      <c r="L1729" s="58">
        <v>30</v>
      </c>
    </row>
    <row r="1730" spans="1:12" ht="15.75">
      <c r="A1730" s="105">
        <v>1658</v>
      </c>
      <c r="B1730" s="125"/>
      <c r="C1730" s="125"/>
      <c r="D1730" s="150" t="s">
        <v>4697</v>
      </c>
      <c r="E1730" s="217" t="s">
        <v>681</v>
      </c>
      <c r="F1730" s="112"/>
      <c r="G1730" s="112"/>
      <c r="H1730" s="112"/>
      <c r="I1730" s="41" t="s">
        <v>267</v>
      </c>
      <c r="J1730" s="41" t="s">
        <v>1110</v>
      </c>
      <c r="K1730" s="57">
        <v>30</v>
      </c>
      <c r="L1730" s="58">
        <v>30</v>
      </c>
    </row>
    <row r="1731" spans="1:12" ht="15.75">
      <c r="A1731" s="105">
        <v>1659</v>
      </c>
      <c r="B1731" s="125"/>
      <c r="C1731" s="125"/>
      <c r="D1731" s="150" t="s">
        <v>4704</v>
      </c>
      <c r="E1731" s="217" t="s">
        <v>681</v>
      </c>
      <c r="F1731" s="112"/>
      <c r="G1731" s="112"/>
      <c r="H1731" s="112"/>
      <c r="I1731" s="41" t="s">
        <v>267</v>
      </c>
      <c r="J1731" s="41" t="s">
        <v>1110</v>
      </c>
      <c r="K1731" s="57">
        <v>30</v>
      </c>
      <c r="L1731" s="58">
        <v>30</v>
      </c>
    </row>
    <row r="1732" spans="1:12" ht="15.75">
      <c r="A1732" s="105">
        <v>1660</v>
      </c>
      <c r="B1732" s="125"/>
      <c r="C1732" s="125"/>
      <c r="D1732" s="150" t="s">
        <v>4705</v>
      </c>
      <c r="E1732" s="217" t="s">
        <v>681</v>
      </c>
      <c r="F1732" s="112"/>
      <c r="G1732" s="112"/>
      <c r="H1732" s="112"/>
      <c r="I1732" s="41" t="s">
        <v>267</v>
      </c>
      <c r="J1732" s="41" t="s">
        <v>1110</v>
      </c>
      <c r="K1732" s="57">
        <v>30</v>
      </c>
      <c r="L1732" s="58">
        <v>30</v>
      </c>
    </row>
    <row r="1733" spans="1:12" ht="15.75">
      <c r="A1733" s="105">
        <v>1661</v>
      </c>
      <c r="B1733" s="125"/>
      <c r="C1733" s="125"/>
      <c r="D1733" s="150" t="s">
        <v>4706</v>
      </c>
      <c r="E1733" s="217" t="s">
        <v>681</v>
      </c>
      <c r="F1733" s="112"/>
      <c r="G1733" s="112"/>
      <c r="H1733" s="112"/>
      <c r="I1733" s="41" t="s">
        <v>267</v>
      </c>
      <c r="J1733" s="41" t="s">
        <v>1110</v>
      </c>
      <c r="K1733" s="57">
        <v>30</v>
      </c>
      <c r="L1733" s="58">
        <v>30</v>
      </c>
    </row>
    <row r="1734" spans="1:12" ht="15.75">
      <c r="A1734" s="105">
        <v>1662</v>
      </c>
      <c r="B1734" s="125"/>
      <c r="C1734" s="125"/>
      <c r="D1734" s="150" t="s">
        <v>4707</v>
      </c>
      <c r="E1734" s="217" t="s">
        <v>681</v>
      </c>
      <c r="F1734" s="112"/>
      <c r="G1734" s="112"/>
      <c r="H1734" s="112"/>
      <c r="I1734" s="41" t="s">
        <v>267</v>
      </c>
      <c r="J1734" s="41" t="s">
        <v>1110</v>
      </c>
      <c r="K1734" s="57">
        <v>30</v>
      </c>
      <c r="L1734" s="58">
        <v>30</v>
      </c>
    </row>
    <row r="1735" spans="1:12" ht="15.75">
      <c r="A1735" s="105">
        <v>1663</v>
      </c>
      <c r="B1735" s="125"/>
      <c r="C1735" s="125"/>
      <c r="D1735" s="150" t="s">
        <v>4709</v>
      </c>
      <c r="E1735" s="217" t="s">
        <v>681</v>
      </c>
      <c r="F1735" s="112"/>
      <c r="G1735" s="112"/>
      <c r="H1735" s="112"/>
      <c r="I1735" s="41" t="s">
        <v>267</v>
      </c>
      <c r="J1735" s="41" t="s">
        <v>1110</v>
      </c>
      <c r="K1735" s="57">
        <v>30</v>
      </c>
      <c r="L1735" s="58">
        <v>30</v>
      </c>
    </row>
    <row r="1736" spans="1:12" ht="15.75">
      <c r="A1736" s="105">
        <v>1664</v>
      </c>
      <c r="B1736" s="125"/>
      <c r="C1736" s="125"/>
      <c r="D1736" s="150" t="s">
        <v>4708</v>
      </c>
      <c r="E1736" s="217" t="s">
        <v>681</v>
      </c>
      <c r="F1736" s="112"/>
      <c r="G1736" s="112"/>
      <c r="H1736" s="112"/>
      <c r="I1736" s="41" t="s">
        <v>267</v>
      </c>
      <c r="J1736" s="41" t="s">
        <v>1110</v>
      </c>
      <c r="K1736" s="57">
        <v>30</v>
      </c>
      <c r="L1736" s="58">
        <v>30</v>
      </c>
    </row>
    <row r="1737" spans="1:12" ht="15.75">
      <c r="A1737" s="105">
        <v>1665</v>
      </c>
      <c r="B1737" s="125"/>
      <c r="C1737" s="125"/>
      <c r="D1737" s="150" t="s">
        <v>2809</v>
      </c>
      <c r="E1737" s="217" t="s">
        <v>681</v>
      </c>
      <c r="F1737" s="112"/>
      <c r="G1737" s="112"/>
      <c r="H1737" s="112"/>
      <c r="I1737" s="41" t="s">
        <v>267</v>
      </c>
      <c r="J1737" s="41" t="s">
        <v>1110</v>
      </c>
      <c r="K1737" s="57">
        <v>30</v>
      </c>
      <c r="L1737" s="58">
        <v>30</v>
      </c>
    </row>
    <row r="1738" spans="1:12" ht="15.75">
      <c r="A1738" s="105">
        <v>1665</v>
      </c>
      <c r="B1738" s="125"/>
      <c r="C1738" s="125"/>
      <c r="D1738" s="150" t="s">
        <v>4643</v>
      </c>
      <c r="E1738" s="217" t="s">
        <v>681</v>
      </c>
      <c r="F1738" s="112"/>
      <c r="G1738" s="112"/>
      <c r="H1738" s="112"/>
      <c r="I1738" s="41" t="s">
        <v>267</v>
      </c>
      <c r="J1738" s="41" t="s">
        <v>1110</v>
      </c>
      <c r="K1738" s="57">
        <v>30</v>
      </c>
      <c r="L1738" s="58">
        <v>30</v>
      </c>
    </row>
    <row r="1739" spans="1:12" ht="15.75">
      <c r="A1739" s="105">
        <v>1665</v>
      </c>
      <c r="B1739" s="125"/>
      <c r="C1739" s="125"/>
      <c r="D1739" s="150" t="s">
        <v>4715</v>
      </c>
      <c r="E1739" s="217" t="s">
        <v>681</v>
      </c>
      <c r="F1739" s="112"/>
      <c r="G1739" s="112"/>
      <c r="H1739" s="112"/>
      <c r="I1739" s="41" t="s">
        <v>267</v>
      </c>
      <c r="J1739" s="41" t="s">
        <v>1110</v>
      </c>
      <c r="K1739" s="57">
        <v>30</v>
      </c>
      <c r="L1739" s="58">
        <v>30</v>
      </c>
    </row>
    <row r="1740" spans="1:12" ht="15.75">
      <c r="A1740" s="105">
        <v>1665</v>
      </c>
      <c r="B1740" s="125"/>
      <c r="C1740" s="125"/>
      <c r="D1740" s="150" t="s">
        <v>5305</v>
      </c>
      <c r="E1740" s="217" t="s">
        <v>681</v>
      </c>
      <c r="F1740" s="112"/>
      <c r="G1740" s="112"/>
      <c r="H1740" s="112"/>
      <c r="I1740" s="41" t="s">
        <v>267</v>
      </c>
      <c r="J1740" s="41" t="s">
        <v>1110</v>
      </c>
      <c r="K1740" s="57">
        <v>30</v>
      </c>
      <c r="L1740" s="58">
        <v>30</v>
      </c>
    </row>
    <row r="1741" spans="1:12" ht="15.75">
      <c r="A1741" s="105">
        <v>1665</v>
      </c>
      <c r="B1741" s="125"/>
      <c r="C1741" s="125"/>
      <c r="D1741" s="150" t="s">
        <v>5306</v>
      </c>
      <c r="E1741" s="217" t="s">
        <v>681</v>
      </c>
      <c r="F1741" s="112"/>
      <c r="G1741" s="112"/>
      <c r="H1741" s="112"/>
      <c r="I1741" s="41" t="s">
        <v>267</v>
      </c>
      <c r="J1741" s="41" t="s">
        <v>1110</v>
      </c>
      <c r="K1741" s="57">
        <v>30</v>
      </c>
      <c r="L1741" s="58">
        <v>30</v>
      </c>
    </row>
    <row r="1742" spans="1:12" ht="15.75">
      <c r="A1742" s="105">
        <v>1665</v>
      </c>
      <c r="B1742" s="125"/>
      <c r="C1742" s="125"/>
      <c r="D1742" s="150" t="s">
        <v>5307</v>
      </c>
      <c r="E1742" s="217" t="s">
        <v>681</v>
      </c>
      <c r="F1742" s="112"/>
      <c r="G1742" s="112"/>
      <c r="H1742" s="112"/>
      <c r="I1742" s="41" t="s">
        <v>267</v>
      </c>
      <c r="J1742" s="41" t="s">
        <v>1110</v>
      </c>
      <c r="K1742" s="57">
        <v>30</v>
      </c>
      <c r="L1742" s="58">
        <v>30</v>
      </c>
    </row>
    <row r="1743" spans="1:12" ht="15.75">
      <c r="A1743" s="105">
        <v>1665</v>
      </c>
      <c r="B1743" s="125"/>
      <c r="C1743" s="125"/>
      <c r="D1743" s="150" t="s">
        <v>5218</v>
      </c>
      <c r="E1743" s="217" t="s">
        <v>681</v>
      </c>
      <c r="F1743" s="112"/>
      <c r="G1743" s="112"/>
      <c r="H1743" s="112"/>
      <c r="I1743" s="41" t="s">
        <v>267</v>
      </c>
      <c r="J1743" s="41" t="s">
        <v>1110</v>
      </c>
      <c r="K1743" s="57">
        <v>30</v>
      </c>
      <c r="L1743" s="58">
        <v>30</v>
      </c>
    </row>
    <row r="1744" spans="1:12" ht="15.75">
      <c r="A1744" s="105">
        <v>1665</v>
      </c>
      <c r="B1744" s="125"/>
      <c r="C1744" s="125"/>
      <c r="D1744" s="150" t="s">
        <v>5187</v>
      </c>
      <c r="E1744" s="217" t="s">
        <v>681</v>
      </c>
      <c r="F1744" s="112"/>
      <c r="G1744" s="112"/>
      <c r="H1744" s="112"/>
      <c r="I1744" s="41" t="s">
        <v>267</v>
      </c>
      <c r="J1744" s="41" t="s">
        <v>1110</v>
      </c>
      <c r="K1744" s="57">
        <v>30</v>
      </c>
      <c r="L1744" s="58">
        <v>30</v>
      </c>
    </row>
    <row r="1745" spans="1:12" ht="15.75">
      <c r="A1745" s="105">
        <v>1665</v>
      </c>
      <c r="B1745" s="125"/>
      <c r="C1745" s="125"/>
      <c r="D1745" s="150" t="s">
        <v>5197</v>
      </c>
      <c r="E1745" s="217" t="s">
        <v>681</v>
      </c>
      <c r="F1745" s="112"/>
      <c r="G1745" s="112"/>
      <c r="H1745" s="112"/>
      <c r="I1745" s="41" t="s">
        <v>267</v>
      </c>
      <c r="J1745" s="41" t="s">
        <v>1110</v>
      </c>
      <c r="K1745" s="57">
        <v>30</v>
      </c>
      <c r="L1745" s="58">
        <v>30</v>
      </c>
    </row>
    <row r="1746" spans="1:12" ht="15.75">
      <c r="A1746" s="105">
        <v>1666</v>
      </c>
      <c r="B1746" s="125" t="s">
        <v>1896</v>
      </c>
      <c r="C1746" s="125"/>
      <c r="D1746" s="150" t="s">
        <v>2810</v>
      </c>
      <c r="E1746" s="217" t="s">
        <v>2811</v>
      </c>
      <c r="F1746" s="112"/>
      <c r="G1746" s="112"/>
      <c r="H1746" s="112"/>
      <c r="I1746" s="8" t="s">
        <v>1444</v>
      </c>
      <c r="J1746" s="41" t="s">
        <v>856</v>
      </c>
      <c r="K1746" s="57">
        <v>30</v>
      </c>
      <c r="L1746" s="58">
        <v>30</v>
      </c>
    </row>
    <row r="1747" spans="1:12" ht="15.75">
      <c r="A1747" s="105">
        <v>1667</v>
      </c>
      <c r="B1747" s="125" t="s">
        <v>4547</v>
      </c>
      <c r="C1747" s="125"/>
      <c r="D1747" s="150" t="s">
        <v>4618</v>
      </c>
      <c r="E1747" s="217" t="s">
        <v>2811</v>
      </c>
      <c r="F1747" s="112"/>
      <c r="G1747" s="112"/>
      <c r="H1747" s="112"/>
      <c r="I1747" s="8" t="s">
        <v>1444</v>
      </c>
      <c r="J1747" s="41" t="s">
        <v>856</v>
      </c>
      <c r="K1747" s="57">
        <v>30</v>
      </c>
      <c r="L1747" s="58">
        <v>30</v>
      </c>
    </row>
    <row r="1748" spans="1:12" ht="15.75">
      <c r="A1748" s="105">
        <v>1668</v>
      </c>
      <c r="B1748" s="125"/>
      <c r="C1748" s="125"/>
      <c r="D1748" s="150" t="s">
        <v>4617</v>
      </c>
      <c r="E1748" s="217" t="s">
        <v>2811</v>
      </c>
      <c r="F1748" s="112"/>
      <c r="G1748" s="112"/>
      <c r="H1748" s="112"/>
      <c r="I1748" s="8" t="s">
        <v>1444</v>
      </c>
      <c r="J1748" s="41" t="s">
        <v>856</v>
      </c>
      <c r="K1748" s="57">
        <v>30</v>
      </c>
      <c r="L1748" s="58">
        <v>30</v>
      </c>
    </row>
    <row r="1749" spans="1:12" ht="15.75">
      <c r="A1749" s="105">
        <v>1669</v>
      </c>
      <c r="B1749" s="125"/>
      <c r="C1749" s="125"/>
      <c r="D1749" s="150" t="s">
        <v>4617</v>
      </c>
      <c r="E1749" s="217" t="s">
        <v>2811</v>
      </c>
      <c r="F1749" s="112"/>
      <c r="G1749" s="112"/>
      <c r="H1749" s="112"/>
      <c r="I1749" s="8" t="s">
        <v>1444</v>
      </c>
      <c r="J1749" s="41" t="s">
        <v>856</v>
      </c>
      <c r="K1749" s="57">
        <v>30</v>
      </c>
      <c r="L1749" s="58">
        <v>30</v>
      </c>
    </row>
    <row r="1750" spans="1:12" ht="15.75">
      <c r="A1750" s="105">
        <v>1670</v>
      </c>
      <c r="B1750" s="125"/>
      <c r="C1750" s="125"/>
      <c r="D1750" s="150" t="s">
        <v>4617</v>
      </c>
      <c r="E1750" s="217" t="s">
        <v>2811</v>
      </c>
      <c r="F1750" s="112"/>
      <c r="G1750" s="112"/>
      <c r="H1750" s="112"/>
      <c r="I1750" s="8" t="s">
        <v>1444</v>
      </c>
      <c r="J1750" s="41" t="s">
        <v>856</v>
      </c>
      <c r="K1750" s="57">
        <v>30</v>
      </c>
      <c r="L1750" s="58">
        <v>30</v>
      </c>
    </row>
    <row r="1751" spans="1:12" ht="15.75">
      <c r="A1751" s="105">
        <v>1671</v>
      </c>
      <c r="B1751" s="125"/>
      <c r="C1751" s="125"/>
      <c r="D1751" s="150" t="s">
        <v>4617</v>
      </c>
      <c r="E1751" s="217" t="s">
        <v>2811</v>
      </c>
      <c r="F1751" s="112"/>
      <c r="G1751" s="112"/>
      <c r="H1751" s="112"/>
      <c r="I1751" s="8" t="s">
        <v>1444</v>
      </c>
      <c r="J1751" s="41" t="s">
        <v>856</v>
      </c>
      <c r="K1751" s="57">
        <v>30</v>
      </c>
      <c r="L1751" s="58">
        <v>30</v>
      </c>
    </row>
    <row r="1752" spans="1:12" ht="15.75">
      <c r="A1752" s="105">
        <v>1672</v>
      </c>
      <c r="B1752" s="125"/>
      <c r="C1752" s="125"/>
      <c r="D1752" s="150" t="s">
        <v>4617</v>
      </c>
      <c r="E1752" s="217" t="s">
        <v>2811</v>
      </c>
      <c r="F1752" s="112"/>
      <c r="G1752" s="112"/>
      <c r="H1752" s="112"/>
      <c r="I1752" s="8" t="s">
        <v>1444</v>
      </c>
      <c r="J1752" s="41" t="s">
        <v>856</v>
      </c>
      <c r="K1752" s="57">
        <v>30</v>
      </c>
      <c r="L1752" s="58">
        <v>30</v>
      </c>
    </row>
    <row r="1753" spans="1:12" ht="15.75">
      <c r="A1753" s="105">
        <v>1673</v>
      </c>
      <c r="B1753" s="125"/>
      <c r="C1753" s="125"/>
      <c r="D1753" s="150" t="s">
        <v>4617</v>
      </c>
      <c r="E1753" s="217" t="s">
        <v>2811</v>
      </c>
      <c r="F1753" s="112"/>
      <c r="G1753" s="112"/>
      <c r="H1753" s="112"/>
      <c r="I1753" s="8" t="s">
        <v>1444</v>
      </c>
      <c r="J1753" s="41" t="s">
        <v>856</v>
      </c>
      <c r="K1753" s="57">
        <v>30</v>
      </c>
      <c r="L1753" s="58">
        <v>30</v>
      </c>
    </row>
    <row r="1754" spans="1:12" ht="15.75">
      <c r="A1754" s="105">
        <v>1674</v>
      </c>
      <c r="B1754" s="125"/>
      <c r="C1754" s="125"/>
      <c r="D1754" s="152" t="s">
        <v>2812</v>
      </c>
      <c r="E1754" s="190" t="s">
        <v>2813</v>
      </c>
      <c r="F1754" s="112"/>
      <c r="G1754" s="112"/>
      <c r="H1754" s="112"/>
      <c r="I1754" s="41" t="s">
        <v>2814</v>
      </c>
      <c r="J1754" s="41" t="s">
        <v>636</v>
      </c>
      <c r="K1754" s="57">
        <v>30</v>
      </c>
      <c r="L1754" s="58">
        <v>30</v>
      </c>
    </row>
    <row r="1755" spans="1:12" ht="15.75">
      <c r="A1755" s="105">
        <v>1675</v>
      </c>
      <c r="B1755" s="125"/>
      <c r="C1755" s="125"/>
      <c r="D1755" s="41" t="s">
        <v>1535</v>
      </c>
      <c r="E1755" s="190" t="s">
        <v>2815</v>
      </c>
      <c r="F1755" s="112"/>
      <c r="G1755" s="112"/>
      <c r="H1755" s="112"/>
      <c r="I1755" s="41" t="s">
        <v>2817</v>
      </c>
      <c r="J1755" s="41" t="s">
        <v>373</v>
      </c>
      <c r="K1755" s="57">
        <v>100</v>
      </c>
      <c r="L1755" s="58">
        <v>100</v>
      </c>
    </row>
    <row r="1756" spans="1:12" ht="15.75">
      <c r="A1756" s="105">
        <v>1676</v>
      </c>
      <c r="B1756" s="125"/>
      <c r="C1756" s="125"/>
      <c r="D1756" s="41"/>
      <c r="E1756" s="190" t="s">
        <v>2815</v>
      </c>
      <c r="F1756" s="112"/>
      <c r="G1756" s="112"/>
      <c r="H1756" s="112"/>
      <c r="I1756" s="41" t="s">
        <v>2817</v>
      </c>
      <c r="J1756" s="41" t="s">
        <v>373</v>
      </c>
      <c r="K1756" s="57">
        <v>100</v>
      </c>
      <c r="L1756" s="58">
        <v>100</v>
      </c>
    </row>
    <row r="1757" spans="1:12" ht="15.75">
      <c r="A1757" s="105">
        <v>1677</v>
      </c>
      <c r="B1757" s="125"/>
      <c r="C1757" s="125"/>
      <c r="D1757" s="41" t="s">
        <v>1536</v>
      </c>
      <c r="E1757" s="190" t="s">
        <v>2815</v>
      </c>
      <c r="F1757" s="112"/>
      <c r="G1757" s="112"/>
      <c r="H1757" s="112"/>
      <c r="I1757" s="41" t="s">
        <v>2817</v>
      </c>
      <c r="J1757" s="41" t="s">
        <v>373</v>
      </c>
      <c r="K1757" s="57">
        <v>100</v>
      </c>
      <c r="L1757" s="58">
        <v>100</v>
      </c>
    </row>
    <row r="1758" spans="1:12" ht="15.75">
      <c r="A1758" s="105">
        <v>1678</v>
      </c>
      <c r="B1758" s="125"/>
      <c r="C1758" s="125"/>
      <c r="D1758" s="41"/>
      <c r="E1758" s="190" t="s">
        <v>2815</v>
      </c>
      <c r="F1758" s="112"/>
      <c r="G1758" s="112"/>
      <c r="H1758" s="112"/>
      <c r="I1758" s="41" t="s">
        <v>310</v>
      </c>
      <c r="J1758" s="41" t="s">
        <v>373</v>
      </c>
      <c r="K1758" s="57">
        <v>100</v>
      </c>
      <c r="L1758" s="58">
        <v>100</v>
      </c>
    </row>
    <row r="1759" spans="1:12" ht="15.75">
      <c r="A1759" s="105">
        <v>1679</v>
      </c>
      <c r="B1759" s="125"/>
      <c r="C1759" s="125"/>
      <c r="D1759" s="41" t="str">
        <f>"4243160311"</f>
        <v>4243160311</v>
      </c>
      <c r="E1759" s="190" t="s">
        <v>2816</v>
      </c>
      <c r="F1759" s="112"/>
      <c r="G1759" s="112"/>
      <c r="H1759" s="112"/>
      <c r="I1759" s="41" t="s">
        <v>310</v>
      </c>
      <c r="J1759" s="41" t="s">
        <v>373</v>
      </c>
      <c r="K1759" s="57">
        <v>100</v>
      </c>
      <c r="L1759" s="58">
        <v>100</v>
      </c>
    </row>
    <row r="1760" spans="1:12" ht="15.75">
      <c r="A1760" s="105">
        <v>1679</v>
      </c>
      <c r="B1760" s="125"/>
      <c r="C1760" s="125"/>
      <c r="D1760" s="41" t="str">
        <f>"424310K230"</f>
        <v>424310K230</v>
      </c>
      <c r="E1760" s="190" t="s">
        <v>2816</v>
      </c>
      <c r="F1760" s="112"/>
      <c r="G1760" s="112"/>
      <c r="H1760" s="112"/>
      <c r="I1760" s="41" t="s">
        <v>310</v>
      </c>
      <c r="J1760" s="41" t="s">
        <v>373</v>
      </c>
      <c r="K1760" s="57">
        <v>100</v>
      </c>
      <c r="L1760" s="58">
        <v>100</v>
      </c>
    </row>
    <row r="1761" spans="1:12" ht="15.75">
      <c r="A1761" s="105">
        <v>1680</v>
      </c>
      <c r="B1761" s="125"/>
      <c r="C1761" s="125"/>
      <c r="D1761" s="41" t="str">
        <f>"424310K210"</f>
        <v>424310K210</v>
      </c>
      <c r="E1761" s="190" t="s">
        <v>2815</v>
      </c>
      <c r="F1761" s="112"/>
      <c r="G1761" s="112"/>
      <c r="H1761" s="112"/>
      <c r="I1761" s="41" t="s">
        <v>310</v>
      </c>
      <c r="J1761" s="41" t="s">
        <v>373</v>
      </c>
      <c r="K1761" s="57">
        <v>100</v>
      </c>
      <c r="L1761" s="58">
        <v>100</v>
      </c>
    </row>
    <row r="1762" spans="1:12" ht="15.75">
      <c r="A1762" s="105">
        <v>1680</v>
      </c>
      <c r="B1762" s="125"/>
      <c r="C1762" s="125"/>
      <c r="D1762" s="41" t="str">
        <f>"424310K220"</f>
        <v>424310K220</v>
      </c>
      <c r="E1762" s="190" t="s">
        <v>2815</v>
      </c>
      <c r="F1762" s="112"/>
      <c r="G1762" s="112"/>
      <c r="H1762" s="112"/>
      <c r="I1762" s="41" t="s">
        <v>310</v>
      </c>
      <c r="J1762" s="41" t="s">
        <v>373</v>
      </c>
      <c r="K1762" s="57">
        <v>100</v>
      </c>
      <c r="L1762" s="58">
        <v>100</v>
      </c>
    </row>
    <row r="1763" spans="1:12" s="3" customFormat="1" ht="15">
      <c r="A1763" s="105">
        <v>735</v>
      </c>
      <c r="B1763" s="106"/>
      <c r="C1763" s="106"/>
      <c r="D1763" s="8" t="str">
        <f>"424310K250"</f>
        <v>424310K250</v>
      </c>
      <c r="E1763" s="189" t="s">
        <v>2815</v>
      </c>
      <c r="F1763" s="107"/>
      <c r="G1763" s="107" t="s">
        <v>4641</v>
      </c>
      <c r="H1763" s="107">
        <v>4200</v>
      </c>
      <c r="I1763" s="8" t="s">
        <v>310</v>
      </c>
      <c r="J1763" s="108" t="s">
        <v>373</v>
      </c>
      <c r="K1763" s="57">
        <v>100</v>
      </c>
      <c r="L1763" s="58">
        <v>100</v>
      </c>
    </row>
    <row r="1764" spans="1:12" s="3" customFormat="1" ht="15">
      <c r="A1764" s="105">
        <v>735</v>
      </c>
      <c r="B1764" s="106"/>
      <c r="C1764" s="106"/>
      <c r="D1764" s="8" t="str">
        <f>"424310K280"</f>
        <v>424310K280</v>
      </c>
      <c r="E1764" s="189" t="s">
        <v>2815</v>
      </c>
      <c r="F1764" s="107"/>
      <c r="G1764" s="107" t="s">
        <v>4660</v>
      </c>
      <c r="H1764" s="107">
        <v>4200</v>
      </c>
      <c r="I1764" s="8" t="s">
        <v>310</v>
      </c>
      <c r="J1764" s="108" t="s">
        <v>373</v>
      </c>
      <c r="K1764" s="57">
        <v>100</v>
      </c>
      <c r="L1764" s="58">
        <v>100</v>
      </c>
    </row>
    <row r="1765" spans="1:12" s="3" customFormat="1" ht="15">
      <c r="A1765" s="105">
        <v>735</v>
      </c>
      <c r="B1765" s="106"/>
      <c r="C1765" s="106"/>
      <c r="D1765" s="8" t="str">
        <f>"424310D100"</f>
        <v>424310D100</v>
      </c>
      <c r="E1765" s="189" t="s">
        <v>2815</v>
      </c>
      <c r="F1765" s="107"/>
      <c r="G1765" s="107" t="s">
        <v>4660</v>
      </c>
      <c r="H1765" s="107">
        <v>4200</v>
      </c>
      <c r="I1765" s="8" t="s">
        <v>310</v>
      </c>
      <c r="J1765" s="108" t="s">
        <v>373</v>
      </c>
      <c r="K1765" s="57">
        <v>100</v>
      </c>
      <c r="L1765" s="58">
        <v>100</v>
      </c>
    </row>
    <row r="1766" spans="1:12" s="3" customFormat="1" ht="15">
      <c r="A1766" s="105">
        <v>735</v>
      </c>
      <c r="B1766" s="106"/>
      <c r="C1766" s="106"/>
      <c r="D1766" s="8" t="str">
        <f>"424310D110"</f>
        <v>424310D110</v>
      </c>
      <c r="E1766" s="189" t="s">
        <v>2815</v>
      </c>
      <c r="F1766" s="107"/>
      <c r="G1766" s="107" t="s">
        <v>4660</v>
      </c>
      <c r="H1766" s="107">
        <v>4200</v>
      </c>
      <c r="I1766" s="8" t="s">
        <v>310</v>
      </c>
      <c r="J1766" s="108" t="s">
        <v>373</v>
      </c>
      <c r="K1766" s="57">
        <v>100</v>
      </c>
      <c r="L1766" s="58">
        <v>100</v>
      </c>
    </row>
    <row r="1767" spans="1:12" ht="15.75">
      <c r="A1767" s="105">
        <v>1681</v>
      </c>
      <c r="B1767" s="125"/>
      <c r="C1767" s="125"/>
      <c r="D1767" s="146" t="s">
        <v>2818</v>
      </c>
      <c r="E1767" s="213" t="s">
        <v>834</v>
      </c>
      <c r="F1767" s="112"/>
      <c r="G1767" s="112"/>
      <c r="H1767" s="112"/>
      <c r="I1767" s="7" t="s">
        <v>2764</v>
      </c>
      <c r="J1767" s="41" t="s">
        <v>377</v>
      </c>
      <c r="K1767" s="57">
        <v>30</v>
      </c>
      <c r="L1767" s="58">
        <v>30</v>
      </c>
    </row>
    <row r="1768" spans="1:12" ht="15.75">
      <c r="A1768" s="105">
        <v>1682</v>
      </c>
      <c r="B1768" s="125"/>
      <c r="C1768" s="125"/>
      <c r="D1768" s="146" t="s">
        <v>2819</v>
      </c>
      <c r="E1768" s="213" t="s">
        <v>834</v>
      </c>
      <c r="F1768" s="112"/>
      <c r="G1768" s="112"/>
      <c r="H1768" s="112"/>
      <c r="I1768" s="41" t="s">
        <v>2677</v>
      </c>
      <c r="J1768" s="41" t="s">
        <v>377</v>
      </c>
      <c r="K1768" s="57">
        <v>30</v>
      </c>
      <c r="L1768" s="58">
        <v>30</v>
      </c>
    </row>
    <row r="1769" spans="1:12" ht="15.75">
      <c r="A1769" s="105">
        <v>1683</v>
      </c>
      <c r="B1769" s="125"/>
      <c r="C1769" s="125"/>
      <c r="D1769" s="146" t="s">
        <v>2819</v>
      </c>
      <c r="E1769" s="213" t="s">
        <v>834</v>
      </c>
      <c r="F1769" s="112"/>
      <c r="G1769" s="112"/>
      <c r="H1769" s="112"/>
      <c r="I1769" s="41" t="s">
        <v>2677</v>
      </c>
      <c r="J1769" s="41" t="s">
        <v>377</v>
      </c>
      <c r="K1769" s="57">
        <v>30</v>
      </c>
      <c r="L1769" s="58">
        <v>30</v>
      </c>
    </row>
    <row r="1770" spans="1:12" ht="15.75">
      <c r="A1770" s="105">
        <v>1684</v>
      </c>
      <c r="B1770" s="125"/>
      <c r="C1770" s="125"/>
      <c r="D1770" s="146" t="s">
        <v>2820</v>
      </c>
      <c r="E1770" s="213" t="s">
        <v>834</v>
      </c>
      <c r="F1770" s="112"/>
      <c r="G1770" s="112"/>
      <c r="H1770" s="112"/>
      <c r="I1770" s="7" t="s">
        <v>2763</v>
      </c>
      <c r="J1770" s="41" t="s">
        <v>377</v>
      </c>
      <c r="K1770" s="57">
        <v>30</v>
      </c>
      <c r="L1770" s="58">
        <v>30</v>
      </c>
    </row>
    <row r="1771" spans="1:12" ht="15.75">
      <c r="A1771" s="105">
        <v>1685</v>
      </c>
      <c r="B1771" s="125"/>
      <c r="C1771" s="125"/>
      <c r="D1771" s="146" t="s">
        <v>2693</v>
      </c>
      <c r="E1771" s="213" t="s">
        <v>834</v>
      </c>
      <c r="F1771" s="112"/>
      <c r="G1771" s="112"/>
      <c r="H1771" s="112"/>
      <c r="I1771" s="7" t="s">
        <v>2763</v>
      </c>
      <c r="J1771" s="41" t="s">
        <v>377</v>
      </c>
      <c r="K1771" s="57">
        <v>30</v>
      </c>
      <c r="L1771" s="58">
        <v>30</v>
      </c>
    </row>
    <row r="1772" spans="1:12" ht="15.75">
      <c r="A1772" s="105">
        <v>1686</v>
      </c>
      <c r="B1772" s="125"/>
      <c r="C1772" s="125"/>
      <c r="D1772" s="152" t="s">
        <v>2821</v>
      </c>
      <c r="E1772" s="190" t="s">
        <v>2822</v>
      </c>
      <c r="F1772" s="112"/>
      <c r="G1772" s="112"/>
      <c r="H1772" s="112"/>
      <c r="I1772" s="41" t="s">
        <v>310</v>
      </c>
      <c r="J1772" s="41" t="s">
        <v>2632</v>
      </c>
      <c r="K1772" s="57">
        <v>30</v>
      </c>
      <c r="L1772" s="58">
        <v>30</v>
      </c>
    </row>
    <row r="1773" spans="1:12" ht="15.75">
      <c r="A1773" s="105">
        <v>1687</v>
      </c>
      <c r="B1773" s="125"/>
      <c r="C1773" s="125"/>
      <c r="D1773" s="152" t="s">
        <v>2823</v>
      </c>
      <c r="E1773" s="190" t="s">
        <v>2827</v>
      </c>
      <c r="F1773" s="112"/>
      <c r="G1773" s="112"/>
      <c r="H1773" s="112"/>
      <c r="I1773" s="41" t="s">
        <v>310</v>
      </c>
      <c r="J1773" s="110" t="s">
        <v>5287</v>
      </c>
      <c r="K1773" s="57">
        <v>30</v>
      </c>
      <c r="L1773" s="58">
        <v>30</v>
      </c>
    </row>
    <row r="1774" spans="1:12" ht="15.75">
      <c r="A1774" s="105">
        <v>1688</v>
      </c>
      <c r="B1774" s="125"/>
      <c r="C1774" s="125"/>
      <c r="D1774" s="152" t="s">
        <v>2823</v>
      </c>
      <c r="E1774" s="190" t="s">
        <v>2827</v>
      </c>
      <c r="F1774" s="112"/>
      <c r="G1774" s="112"/>
      <c r="H1774" s="112"/>
      <c r="I1774" s="41" t="s">
        <v>310</v>
      </c>
      <c r="J1774" s="110" t="s">
        <v>5287</v>
      </c>
      <c r="K1774" s="57">
        <v>30</v>
      </c>
      <c r="L1774" s="58">
        <v>30</v>
      </c>
    </row>
    <row r="1775" spans="1:12" ht="15.75">
      <c r="A1775" s="105">
        <v>1689</v>
      </c>
      <c r="B1775" s="125"/>
      <c r="C1775" s="125"/>
      <c r="D1775" s="152" t="s">
        <v>2824</v>
      </c>
      <c r="E1775" s="190" t="s">
        <v>2827</v>
      </c>
      <c r="F1775" s="112"/>
      <c r="G1775" s="112"/>
      <c r="H1775" s="112"/>
      <c r="I1775" s="41" t="s">
        <v>310</v>
      </c>
      <c r="J1775" s="110" t="s">
        <v>5287</v>
      </c>
      <c r="K1775" s="57">
        <v>30</v>
      </c>
      <c r="L1775" s="58">
        <v>30</v>
      </c>
    </row>
    <row r="1776" spans="1:12" ht="15.75">
      <c r="A1776" s="105">
        <v>1690</v>
      </c>
      <c r="B1776" s="125"/>
      <c r="C1776" s="125"/>
      <c r="D1776" s="152" t="s">
        <v>2824</v>
      </c>
      <c r="E1776" s="190" t="s">
        <v>2827</v>
      </c>
      <c r="F1776" s="112"/>
      <c r="G1776" s="112"/>
      <c r="H1776" s="112"/>
      <c r="I1776" s="41" t="s">
        <v>310</v>
      </c>
      <c r="J1776" s="110" t="s">
        <v>5287</v>
      </c>
      <c r="K1776" s="57">
        <v>30</v>
      </c>
      <c r="L1776" s="58">
        <v>30</v>
      </c>
    </row>
    <row r="1777" spans="1:12" ht="15.75">
      <c r="A1777" s="105">
        <v>1691</v>
      </c>
      <c r="B1777" s="125"/>
      <c r="C1777" s="125"/>
      <c r="D1777" s="152" t="s">
        <v>2825</v>
      </c>
      <c r="E1777" s="190" t="s">
        <v>2827</v>
      </c>
      <c r="F1777" s="112"/>
      <c r="G1777" s="112"/>
      <c r="H1777" s="112"/>
      <c r="I1777" s="41" t="s">
        <v>310</v>
      </c>
      <c r="J1777" s="110" t="s">
        <v>5287</v>
      </c>
      <c r="K1777" s="57">
        <v>30</v>
      </c>
      <c r="L1777" s="58">
        <v>30</v>
      </c>
    </row>
    <row r="1778" spans="1:12" ht="15.75">
      <c r="A1778" s="105">
        <v>1692</v>
      </c>
      <c r="B1778" s="125"/>
      <c r="C1778" s="125"/>
      <c r="D1778" s="152" t="s">
        <v>2825</v>
      </c>
      <c r="E1778" s="190" t="s">
        <v>2827</v>
      </c>
      <c r="F1778" s="112"/>
      <c r="G1778" s="112"/>
      <c r="H1778" s="112"/>
      <c r="I1778" s="41" t="s">
        <v>310</v>
      </c>
      <c r="J1778" s="110" t="s">
        <v>5287</v>
      </c>
      <c r="K1778" s="57">
        <v>30</v>
      </c>
      <c r="L1778" s="58">
        <v>30</v>
      </c>
    </row>
    <row r="1779" spans="1:12" ht="15.75">
      <c r="A1779" s="105">
        <v>1693</v>
      </c>
      <c r="B1779" s="125"/>
      <c r="C1779" s="125"/>
      <c r="D1779" s="152" t="s">
        <v>2825</v>
      </c>
      <c r="E1779" s="190" t="s">
        <v>2827</v>
      </c>
      <c r="F1779" s="112"/>
      <c r="G1779" s="112"/>
      <c r="H1779" s="112"/>
      <c r="I1779" s="41" t="s">
        <v>310</v>
      </c>
      <c r="J1779" s="110" t="s">
        <v>5287</v>
      </c>
      <c r="K1779" s="57">
        <v>30</v>
      </c>
      <c r="L1779" s="58">
        <v>30</v>
      </c>
    </row>
    <row r="1780" spans="1:12" ht="15.75">
      <c r="A1780" s="105">
        <v>1694</v>
      </c>
      <c r="B1780" s="125"/>
      <c r="C1780" s="125"/>
      <c r="D1780" s="152" t="s">
        <v>2826</v>
      </c>
      <c r="E1780" s="190" t="s">
        <v>2827</v>
      </c>
      <c r="F1780" s="112"/>
      <c r="G1780" s="112"/>
      <c r="H1780" s="112"/>
      <c r="I1780" s="41" t="s">
        <v>310</v>
      </c>
      <c r="J1780" s="110" t="s">
        <v>5287</v>
      </c>
      <c r="K1780" s="57">
        <v>30</v>
      </c>
      <c r="L1780" s="58">
        <v>30</v>
      </c>
    </row>
    <row r="1781" spans="1:12" ht="15.75">
      <c r="A1781" s="105">
        <v>1695</v>
      </c>
      <c r="B1781" s="125"/>
      <c r="C1781" s="125"/>
      <c r="D1781" s="152" t="s">
        <v>2826</v>
      </c>
      <c r="E1781" s="190" t="s">
        <v>2827</v>
      </c>
      <c r="F1781" s="112"/>
      <c r="G1781" s="112"/>
      <c r="H1781" s="112"/>
      <c r="I1781" s="41" t="s">
        <v>310</v>
      </c>
      <c r="J1781" s="110" t="s">
        <v>5287</v>
      </c>
      <c r="K1781" s="57">
        <v>30</v>
      </c>
      <c r="L1781" s="58">
        <v>30</v>
      </c>
    </row>
    <row r="1782" spans="1:12" ht="15.75">
      <c r="A1782" s="105">
        <v>1696</v>
      </c>
      <c r="B1782" s="125"/>
      <c r="C1782" s="125"/>
      <c r="D1782" s="152" t="s">
        <v>2826</v>
      </c>
      <c r="E1782" s="190" t="s">
        <v>2827</v>
      </c>
      <c r="F1782" s="112"/>
      <c r="G1782" s="112"/>
      <c r="H1782" s="112"/>
      <c r="I1782" s="41" t="s">
        <v>310</v>
      </c>
      <c r="J1782" s="110" t="s">
        <v>5287</v>
      </c>
      <c r="K1782" s="57">
        <v>30</v>
      </c>
      <c r="L1782" s="58">
        <v>30</v>
      </c>
    </row>
    <row r="1783" spans="1:12" ht="15.75">
      <c r="A1783" s="105">
        <v>1697</v>
      </c>
      <c r="B1783" s="125"/>
      <c r="C1783" s="125"/>
      <c r="D1783" s="41" t="s">
        <v>2828</v>
      </c>
      <c r="E1783" s="217" t="s">
        <v>681</v>
      </c>
      <c r="F1783" s="112"/>
      <c r="G1783" s="112"/>
      <c r="H1783" s="112"/>
      <c r="I1783" s="41" t="s">
        <v>267</v>
      </c>
      <c r="J1783" s="41" t="s">
        <v>1110</v>
      </c>
      <c r="K1783" s="57">
        <v>30</v>
      </c>
      <c r="L1783" s="58">
        <v>30</v>
      </c>
    </row>
    <row r="1784" spans="1:12" ht="15.75">
      <c r="A1784" s="105">
        <v>1698</v>
      </c>
      <c r="B1784" s="125"/>
      <c r="C1784" s="125"/>
      <c r="D1784" s="41" t="s">
        <v>2829</v>
      </c>
      <c r="E1784" s="217" t="s">
        <v>681</v>
      </c>
      <c r="F1784" s="112"/>
      <c r="G1784" s="112"/>
      <c r="H1784" s="112"/>
      <c r="I1784" s="41" t="s">
        <v>267</v>
      </c>
      <c r="J1784" s="41" t="s">
        <v>1110</v>
      </c>
      <c r="K1784" s="57">
        <v>30</v>
      </c>
      <c r="L1784" s="58">
        <v>30</v>
      </c>
    </row>
    <row r="1785" spans="1:12" ht="15.75">
      <c r="A1785" s="105">
        <v>1699</v>
      </c>
      <c r="B1785" s="125"/>
      <c r="C1785" s="125"/>
      <c r="D1785" s="41" t="s">
        <v>2830</v>
      </c>
      <c r="E1785" s="217" t="s">
        <v>681</v>
      </c>
      <c r="F1785" s="112"/>
      <c r="G1785" s="112"/>
      <c r="H1785" s="112"/>
      <c r="I1785" s="41" t="s">
        <v>267</v>
      </c>
      <c r="J1785" s="41" t="s">
        <v>1110</v>
      </c>
      <c r="K1785" s="57">
        <v>30</v>
      </c>
      <c r="L1785" s="58">
        <v>30</v>
      </c>
    </row>
    <row r="1786" spans="1:12" ht="15.75">
      <c r="A1786" s="105">
        <v>1700</v>
      </c>
      <c r="B1786" s="125"/>
      <c r="C1786" s="125"/>
      <c r="D1786" s="41" t="s">
        <v>2831</v>
      </c>
      <c r="E1786" s="217" t="s">
        <v>681</v>
      </c>
      <c r="F1786" s="112"/>
      <c r="G1786" s="112"/>
      <c r="H1786" s="112"/>
      <c r="I1786" s="41" t="s">
        <v>267</v>
      </c>
      <c r="J1786" s="41" t="s">
        <v>1110</v>
      </c>
      <c r="K1786" s="57">
        <v>30</v>
      </c>
      <c r="L1786" s="58">
        <v>30</v>
      </c>
    </row>
    <row r="1787" spans="1:12" ht="15.75">
      <c r="A1787" s="105">
        <v>1701</v>
      </c>
      <c r="B1787" s="125"/>
      <c r="C1787" s="125"/>
      <c r="D1787" s="41" t="s">
        <v>2832</v>
      </c>
      <c r="E1787" s="217" t="s">
        <v>681</v>
      </c>
      <c r="F1787" s="112"/>
      <c r="G1787" s="112"/>
      <c r="H1787" s="112"/>
      <c r="I1787" s="41" t="s">
        <v>267</v>
      </c>
      <c r="J1787" s="41" t="s">
        <v>1110</v>
      </c>
      <c r="K1787" s="57">
        <v>30</v>
      </c>
      <c r="L1787" s="58">
        <v>30</v>
      </c>
    </row>
    <row r="1788" spans="1:12" ht="15.75">
      <c r="A1788" s="105">
        <v>1702</v>
      </c>
      <c r="B1788" s="125"/>
      <c r="C1788" s="125"/>
      <c r="D1788" s="41" t="s">
        <v>2833</v>
      </c>
      <c r="E1788" s="217" t="s">
        <v>681</v>
      </c>
      <c r="F1788" s="112"/>
      <c r="G1788" s="112"/>
      <c r="H1788" s="112"/>
      <c r="I1788" s="41" t="s">
        <v>267</v>
      </c>
      <c r="J1788" s="41" t="s">
        <v>1110</v>
      </c>
      <c r="K1788" s="57">
        <v>30</v>
      </c>
      <c r="L1788" s="58">
        <v>30</v>
      </c>
    </row>
    <row r="1789" spans="1:12" ht="15.75">
      <c r="A1789" s="105">
        <v>1703</v>
      </c>
      <c r="B1789" s="125"/>
      <c r="C1789" s="125"/>
      <c r="D1789" s="41" t="s">
        <v>2503</v>
      </c>
      <c r="E1789" s="217" t="s">
        <v>681</v>
      </c>
      <c r="F1789" s="112"/>
      <c r="G1789" s="112"/>
      <c r="H1789" s="112"/>
      <c r="I1789" s="41" t="s">
        <v>267</v>
      </c>
      <c r="J1789" s="41" t="s">
        <v>1110</v>
      </c>
      <c r="K1789" s="57">
        <v>30</v>
      </c>
      <c r="L1789" s="58">
        <v>30</v>
      </c>
    </row>
    <row r="1790" spans="1:12" ht="15.75">
      <c r="A1790" s="105">
        <v>1704</v>
      </c>
      <c r="B1790" s="125"/>
      <c r="C1790" s="125"/>
      <c r="D1790" s="41" t="s">
        <v>2834</v>
      </c>
      <c r="E1790" s="217" t="s">
        <v>681</v>
      </c>
      <c r="F1790" s="112"/>
      <c r="G1790" s="112"/>
      <c r="H1790" s="112"/>
      <c r="I1790" s="41" t="s">
        <v>267</v>
      </c>
      <c r="J1790" s="41" t="s">
        <v>1110</v>
      </c>
      <c r="K1790" s="57">
        <v>30</v>
      </c>
      <c r="L1790" s="58">
        <v>30</v>
      </c>
    </row>
    <row r="1791" spans="1:12" ht="15.75">
      <c r="A1791" s="105">
        <v>1705</v>
      </c>
      <c r="B1791" s="125"/>
      <c r="C1791" s="125"/>
      <c r="D1791" s="41" t="s">
        <v>2835</v>
      </c>
      <c r="E1791" s="217" t="s">
        <v>681</v>
      </c>
      <c r="F1791" s="112"/>
      <c r="G1791" s="112"/>
      <c r="H1791" s="112"/>
      <c r="I1791" s="41" t="s">
        <v>267</v>
      </c>
      <c r="J1791" s="41" t="s">
        <v>1110</v>
      </c>
      <c r="K1791" s="57">
        <v>30</v>
      </c>
      <c r="L1791" s="58">
        <v>30</v>
      </c>
    </row>
    <row r="1792" spans="1:12" ht="15.75">
      <c r="A1792" s="105">
        <v>1706</v>
      </c>
      <c r="B1792" s="125"/>
      <c r="C1792" s="125"/>
      <c r="D1792" s="41" t="s">
        <v>2836</v>
      </c>
      <c r="E1792" s="217" t="s">
        <v>681</v>
      </c>
      <c r="F1792" s="112"/>
      <c r="G1792" s="112"/>
      <c r="H1792" s="112"/>
      <c r="I1792" s="41" t="s">
        <v>267</v>
      </c>
      <c r="J1792" s="41" t="s">
        <v>1110</v>
      </c>
      <c r="K1792" s="57">
        <v>30</v>
      </c>
      <c r="L1792" s="58">
        <v>30</v>
      </c>
    </row>
    <row r="1793" spans="1:12" ht="15.75">
      <c r="A1793" s="105">
        <v>1707</v>
      </c>
      <c r="B1793" s="125"/>
      <c r="C1793" s="125"/>
      <c r="D1793" s="41" t="s">
        <v>2837</v>
      </c>
      <c r="E1793" s="217" t="s">
        <v>681</v>
      </c>
      <c r="F1793" s="112"/>
      <c r="G1793" s="112"/>
      <c r="H1793" s="112"/>
      <c r="I1793" s="41" t="s">
        <v>267</v>
      </c>
      <c r="J1793" s="41" t="s">
        <v>1110</v>
      </c>
      <c r="K1793" s="57">
        <v>30</v>
      </c>
      <c r="L1793" s="58">
        <v>30</v>
      </c>
    </row>
    <row r="1794" spans="1:12" ht="15.75">
      <c r="A1794" s="105">
        <v>1708</v>
      </c>
      <c r="B1794" s="125"/>
      <c r="C1794" s="125"/>
      <c r="D1794" s="41" t="s">
        <v>2838</v>
      </c>
      <c r="E1794" s="217" t="s">
        <v>681</v>
      </c>
      <c r="F1794" s="112"/>
      <c r="G1794" s="112"/>
      <c r="H1794" s="112"/>
      <c r="I1794" s="41" t="s">
        <v>267</v>
      </c>
      <c r="J1794" s="41" t="s">
        <v>1110</v>
      </c>
      <c r="K1794" s="57">
        <v>30</v>
      </c>
      <c r="L1794" s="58">
        <v>30</v>
      </c>
    </row>
    <row r="1795" spans="1:12" ht="15.75">
      <c r="A1795" s="105">
        <v>1709</v>
      </c>
      <c r="B1795" s="125"/>
      <c r="C1795" s="125"/>
      <c r="D1795" s="41" t="s">
        <v>2839</v>
      </c>
      <c r="E1795" s="217" t="s">
        <v>681</v>
      </c>
      <c r="F1795" s="112"/>
      <c r="G1795" s="112"/>
      <c r="H1795" s="112"/>
      <c r="I1795" s="41" t="s">
        <v>267</v>
      </c>
      <c r="J1795" s="41" t="s">
        <v>1110</v>
      </c>
      <c r="K1795" s="57">
        <v>30</v>
      </c>
      <c r="L1795" s="58">
        <v>30</v>
      </c>
    </row>
    <row r="1796" spans="1:12" ht="15.75">
      <c r="A1796" s="105">
        <v>1710</v>
      </c>
      <c r="B1796" s="125"/>
      <c r="C1796" s="125"/>
      <c r="D1796" s="41" t="s">
        <v>2840</v>
      </c>
      <c r="E1796" s="217" t="s">
        <v>681</v>
      </c>
      <c r="F1796" s="112"/>
      <c r="G1796" s="112"/>
      <c r="H1796" s="112"/>
      <c r="I1796" s="41" t="s">
        <v>267</v>
      </c>
      <c r="J1796" s="41" t="s">
        <v>1110</v>
      </c>
      <c r="K1796" s="57">
        <v>30</v>
      </c>
      <c r="L1796" s="58">
        <v>30</v>
      </c>
    </row>
    <row r="1797" spans="1:12" ht="15.75">
      <c r="A1797" s="105">
        <v>1711</v>
      </c>
      <c r="B1797" s="125"/>
      <c r="C1797" s="125"/>
      <c r="D1797" s="41" t="s">
        <v>2841</v>
      </c>
      <c r="E1797" s="217" t="s">
        <v>681</v>
      </c>
      <c r="F1797" s="112"/>
      <c r="G1797" s="112"/>
      <c r="H1797" s="112"/>
      <c r="I1797" s="41" t="s">
        <v>267</v>
      </c>
      <c r="J1797" s="41" t="s">
        <v>1110</v>
      </c>
      <c r="K1797" s="57">
        <v>30</v>
      </c>
      <c r="L1797" s="58">
        <v>30</v>
      </c>
    </row>
    <row r="1798" spans="1:12" ht="15.75">
      <c r="A1798" s="105">
        <v>1712</v>
      </c>
      <c r="B1798" s="125"/>
      <c r="C1798" s="125"/>
      <c r="D1798" s="41" t="s">
        <v>2842</v>
      </c>
      <c r="E1798" s="217" t="s">
        <v>681</v>
      </c>
      <c r="F1798" s="112"/>
      <c r="G1798" s="112"/>
      <c r="H1798" s="112"/>
      <c r="I1798" s="41" t="s">
        <v>267</v>
      </c>
      <c r="J1798" s="41" t="s">
        <v>1110</v>
      </c>
      <c r="K1798" s="57">
        <v>30</v>
      </c>
      <c r="L1798" s="58">
        <v>30</v>
      </c>
    </row>
    <row r="1799" spans="1:12" ht="15.75">
      <c r="A1799" s="105">
        <v>1713</v>
      </c>
      <c r="B1799" s="125"/>
      <c r="C1799" s="125"/>
      <c r="D1799" s="41" t="s">
        <v>2843</v>
      </c>
      <c r="E1799" s="217" t="s">
        <v>681</v>
      </c>
      <c r="F1799" s="112"/>
      <c r="G1799" s="112"/>
      <c r="H1799" s="112"/>
      <c r="I1799" s="41" t="s">
        <v>267</v>
      </c>
      <c r="J1799" s="41" t="s">
        <v>1110</v>
      </c>
      <c r="K1799" s="57">
        <v>30</v>
      </c>
      <c r="L1799" s="58">
        <v>30</v>
      </c>
    </row>
    <row r="1800" spans="1:12" ht="15.75">
      <c r="A1800" s="105">
        <v>1714</v>
      </c>
      <c r="B1800" s="125"/>
      <c r="C1800" s="125"/>
      <c r="D1800" s="41" t="s">
        <v>2844</v>
      </c>
      <c r="E1800" s="217" t="s">
        <v>681</v>
      </c>
      <c r="F1800" s="112"/>
      <c r="G1800" s="112"/>
      <c r="H1800" s="112"/>
      <c r="I1800" s="41" t="s">
        <v>267</v>
      </c>
      <c r="J1800" s="41" t="s">
        <v>1110</v>
      </c>
      <c r="K1800" s="57">
        <v>30</v>
      </c>
      <c r="L1800" s="58">
        <v>30</v>
      </c>
    </row>
    <row r="1801" spans="1:12" ht="15.75">
      <c r="A1801" s="105">
        <v>1715</v>
      </c>
      <c r="B1801" s="125"/>
      <c r="C1801" s="125"/>
      <c r="D1801" s="41" t="s">
        <v>2845</v>
      </c>
      <c r="E1801" s="217" t="s">
        <v>681</v>
      </c>
      <c r="F1801" s="112"/>
      <c r="G1801" s="112"/>
      <c r="H1801" s="112"/>
      <c r="I1801" s="41" t="s">
        <v>267</v>
      </c>
      <c r="J1801" s="41" t="s">
        <v>1110</v>
      </c>
      <c r="K1801" s="57">
        <v>30</v>
      </c>
      <c r="L1801" s="58">
        <v>30</v>
      </c>
    </row>
    <row r="1802" spans="1:12" ht="15.75">
      <c r="A1802" s="105">
        <v>1716</v>
      </c>
      <c r="B1802" s="125"/>
      <c r="C1802" s="125"/>
      <c r="D1802" s="41" t="s">
        <v>1350</v>
      </c>
      <c r="E1802" s="217" t="s">
        <v>681</v>
      </c>
      <c r="F1802" s="112"/>
      <c r="G1802" s="112"/>
      <c r="H1802" s="112"/>
      <c r="I1802" s="41" t="s">
        <v>267</v>
      </c>
      <c r="J1802" s="41" t="s">
        <v>1110</v>
      </c>
      <c r="K1802" s="57">
        <v>30</v>
      </c>
      <c r="L1802" s="58">
        <v>30</v>
      </c>
    </row>
    <row r="1803" spans="1:12" ht="15.75">
      <c r="A1803" s="105">
        <v>1717</v>
      </c>
      <c r="B1803" s="125"/>
      <c r="C1803" s="125"/>
      <c r="D1803" s="41" t="s">
        <v>2846</v>
      </c>
      <c r="E1803" s="217" t="s">
        <v>681</v>
      </c>
      <c r="F1803" s="112"/>
      <c r="G1803" s="112"/>
      <c r="H1803" s="112"/>
      <c r="I1803" s="41" t="s">
        <v>267</v>
      </c>
      <c r="J1803" s="41" t="s">
        <v>1110</v>
      </c>
      <c r="K1803" s="57">
        <v>30</v>
      </c>
      <c r="L1803" s="58">
        <v>30</v>
      </c>
    </row>
    <row r="1804" spans="1:12" ht="15.75">
      <c r="A1804" s="105">
        <v>1718</v>
      </c>
      <c r="B1804" s="125"/>
      <c r="C1804" s="125"/>
      <c r="D1804" s="41" t="s">
        <v>2847</v>
      </c>
      <c r="E1804" s="217" t="s">
        <v>681</v>
      </c>
      <c r="F1804" s="112"/>
      <c r="G1804" s="112"/>
      <c r="H1804" s="112"/>
      <c r="I1804" s="41" t="s">
        <v>267</v>
      </c>
      <c r="J1804" s="41" t="s">
        <v>1110</v>
      </c>
      <c r="K1804" s="57">
        <v>30</v>
      </c>
      <c r="L1804" s="58">
        <v>30</v>
      </c>
    </row>
    <row r="1805" spans="1:12" ht="15.75">
      <c r="A1805" s="105">
        <v>1719</v>
      </c>
      <c r="B1805" s="125"/>
      <c r="C1805" s="125"/>
      <c r="D1805" s="41" t="s">
        <v>2848</v>
      </c>
      <c r="E1805" s="217" t="s">
        <v>681</v>
      </c>
      <c r="F1805" s="112"/>
      <c r="G1805" s="112"/>
      <c r="H1805" s="112"/>
      <c r="I1805" s="41" t="s">
        <v>267</v>
      </c>
      <c r="J1805" s="41" t="s">
        <v>1110</v>
      </c>
      <c r="K1805" s="57">
        <v>30</v>
      </c>
      <c r="L1805" s="58">
        <v>30</v>
      </c>
    </row>
    <row r="1806" spans="1:12" ht="15.75">
      <c r="A1806" s="105">
        <v>1720</v>
      </c>
      <c r="B1806" s="125"/>
      <c r="C1806" s="125"/>
      <c r="D1806" s="41" t="s">
        <v>1272</v>
      </c>
      <c r="E1806" s="217" t="s">
        <v>681</v>
      </c>
      <c r="F1806" s="112"/>
      <c r="G1806" s="112"/>
      <c r="H1806" s="112"/>
      <c r="I1806" s="41" t="s">
        <v>267</v>
      </c>
      <c r="J1806" s="41" t="s">
        <v>1110</v>
      </c>
      <c r="K1806" s="57">
        <v>30</v>
      </c>
      <c r="L1806" s="58">
        <v>30</v>
      </c>
    </row>
    <row r="1807" spans="1:12" ht="15.75">
      <c r="A1807" s="105">
        <v>1721</v>
      </c>
      <c r="B1807" s="125"/>
      <c r="C1807" s="125"/>
      <c r="D1807" s="41" t="s">
        <v>2849</v>
      </c>
      <c r="E1807" s="217" t="s">
        <v>681</v>
      </c>
      <c r="F1807" s="112"/>
      <c r="G1807" s="112"/>
      <c r="H1807" s="112"/>
      <c r="I1807" s="41" t="s">
        <v>267</v>
      </c>
      <c r="J1807" s="41" t="s">
        <v>1110</v>
      </c>
      <c r="K1807" s="57">
        <v>30</v>
      </c>
      <c r="L1807" s="58">
        <v>30</v>
      </c>
    </row>
    <row r="1808" spans="1:12" ht="15.75">
      <c r="A1808" s="105">
        <v>1722</v>
      </c>
      <c r="B1808" s="125"/>
      <c r="C1808" s="125"/>
      <c r="D1808" s="41" t="s">
        <v>2850</v>
      </c>
      <c r="E1808" s="217" t="s">
        <v>681</v>
      </c>
      <c r="F1808" s="112"/>
      <c r="G1808" s="112"/>
      <c r="H1808" s="112"/>
      <c r="I1808" s="41" t="s">
        <v>267</v>
      </c>
      <c r="J1808" s="41" t="s">
        <v>1110</v>
      </c>
      <c r="K1808" s="57">
        <v>30</v>
      </c>
      <c r="L1808" s="58">
        <v>30</v>
      </c>
    </row>
    <row r="1809" spans="1:12" ht="15.75">
      <c r="A1809" s="105">
        <v>1723</v>
      </c>
      <c r="B1809" s="125"/>
      <c r="C1809" s="125"/>
      <c r="D1809" s="41" t="s">
        <v>2851</v>
      </c>
      <c r="E1809" s="217" t="s">
        <v>681</v>
      </c>
      <c r="F1809" s="112"/>
      <c r="G1809" s="112"/>
      <c r="H1809" s="112"/>
      <c r="I1809" s="41" t="s">
        <v>267</v>
      </c>
      <c r="J1809" s="41" t="s">
        <v>1110</v>
      </c>
      <c r="K1809" s="57">
        <v>30</v>
      </c>
      <c r="L1809" s="58">
        <v>30</v>
      </c>
    </row>
    <row r="1810" spans="1:12" ht="15.75">
      <c r="A1810" s="105">
        <v>1724</v>
      </c>
      <c r="B1810" s="125"/>
      <c r="C1810" s="125"/>
      <c r="D1810" s="41" t="s">
        <v>2852</v>
      </c>
      <c r="E1810" s="217" t="s">
        <v>681</v>
      </c>
      <c r="F1810" s="112"/>
      <c r="G1810" s="112"/>
      <c r="H1810" s="112"/>
      <c r="I1810" s="41" t="s">
        <v>267</v>
      </c>
      <c r="J1810" s="41" t="s">
        <v>1110</v>
      </c>
      <c r="K1810" s="57">
        <v>30</v>
      </c>
      <c r="L1810" s="58">
        <v>30</v>
      </c>
    </row>
    <row r="1811" spans="1:12" ht="15.75">
      <c r="A1811" s="105">
        <v>1725</v>
      </c>
      <c r="B1811" s="125"/>
      <c r="C1811" s="125"/>
      <c r="D1811" s="41" t="s">
        <v>2853</v>
      </c>
      <c r="E1811" s="217" t="s">
        <v>681</v>
      </c>
      <c r="F1811" s="112"/>
      <c r="G1811" s="112"/>
      <c r="H1811" s="112"/>
      <c r="I1811" s="41" t="s">
        <v>267</v>
      </c>
      <c r="J1811" s="41" t="s">
        <v>1110</v>
      </c>
      <c r="K1811" s="57">
        <v>30</v>
      </c>
      <c r="L1811" s="58">
        <v>30</v>
      </c>
    </row>
    <row r="1812" spans="1:12" ht="15.75">
      <c r="A1812" s="105">
        <v>1726</v>
      </c>
      <c r="B1812" s="125"/>
      <c r="C1812" s="125"/>
      <c r="D1812" s="41" t="s">
        <v>2854</v>
      </c>
      <c r="E1812" s="217" t="s">
        <v>681</v>
      </c>
      <c r="F1812" s="112"/>
      <c r="G1812" s="112"/>
      <c r="H1812" s="112"/>
      <c r="I1812" s="41" t="s">
        <v>267</v>
      </c>
      <c r="J1812" s="41" t="s">
        <v>1110</v>
      </c>
      <c r="K1812" s="57">
        <v>30</v>
      </c>
      <c r="L1812" s="58">
        <v>30</v>
      </c>
    </row>
    <row r="1813" spans="1:12" ht="15.75">
      <c r="A1813" s="105">
        <v>1727</v>
      </c>
      <c r="B1813" s="125"/>
      <c r="C1813" s="125"/>
      <c r="D1813" s="41" t="s">
        <v>1273</v>
      </c>
      <c r="E1813" s="217" t="s">
        <v>681</v>
      </c>
      <c r="F1813" s="112"/>
      <c r="G1813" s="112"/>
      <c r="H1813" s="112"/>
      <c r="I1813" s="41" t="s">
        <v>267</v>
      </c>
      <c r="J1813" s="41" t="s">
        <v>1110</v>
      </c>
      <c r="K1813" s="57">
        <v>30</v>
      </c>
      <c r="L1813" s="58">
        <v>30</v>
      </c>
    </row>
    <row r="1814" spans="1:12" ht="15.75">
      <c r="A1814" s="105">
        <v>1728</v>
      </c>
      <c r="B1814" s="125"/>
      <c r="C1814" s="125"/>
      <c r="D1814" s="41" t="s">
        <v>2855</v>
      </c>
      <c r="E1814" s="217" t="s">
        <v>681</v>
      </c>
      <c r="F1814" s="112"/>
      <c r="G1814" s="112"/>
      <c r="H1814" s="112"/>
      <c r="I1814" s="41" t="s">
        <v>267</v>
      </c>
      <c r="J1814" s="41" t="s">
        <v>1110</v>
      </c>
      <c r="K1814" s="57">
        <v>30</v>
      </c>
      <c r="L1814" s="58">
        <v>30</v>
      </c>
    </row>
    <row r="1815" spans="1:12" ht="15.75">
      <c r="A1815" s="105">
        <v>1729</v>
      </c>
      <c r="B1815" s="125"/>
      <c r="C1815" s="125"/>
      <c r="D1815" s="41" t="s">
        <v>2766</v>
      </c>
      <c r="E1815" s="217" t="s">
        <v>681</v>
      </c>
      <c r="F1815" s="112"/>
      <c r="G1815" s="112"/>
      <c r="H1815" s="112"/>
      <c r="I1815" s="41" t="s">
        <v>267</v>
      </c>
      <c r="J1815" s="41" t="s">
        <v>1110</v>
      </c>
      <c r="K1815" s="57">
        <v>30</v>
      </c>
      <c r="L1815" s="58">
        <v>30</v>
      </c>
    </row>
    <row r="1816" spans="1:12" ht="15.75">
      <c r="A1816" s="105">
        <v>1730</v>
      </c>
      <c r="B1816" s="125"/>
      <c r="C1816" s="125"/>
      <c r="D1816" s="41" t="s">
        <v>2856</v>
      </c>
      <c r="E1816" s="217" t="s">
        <v>681</v>
      </c>
      <c r="F1816" s="112"/>
      <c r="G1816" s="112"/>
      <c r="H1816" s="112"/>
      <c r="I1816" s="41" t="s">
        <v>267</v>
      </c>
      <c r="J1816" s="41" t="s">
        <v>1110</v>
      </c>
      <c r="K1816" s="57">
        <v>30</v>
      </c>
      <c r="L1816" s="58">
        <v>30</v>
      </c>
    </row>
    <row r="1817" spans="1:12" ht="15.75">
      <c r="A1817" s="105">
        <v>1731</v>
      </c>
      <c r="B1817" s="125"/>
      <c r="C1817" s="125"/>
      <c r="D1817" s="41" t="s">
        <v>2857</v>
      </c>
      <c r="E1817" s="217" t="s">
        <v>681</v>
      </c>
      <c r="F1817" s="112"/>
      <c r="G1817" s="112"/>
      <c r="H1817" s="112"/>
      <c r="I1817" s="41" t="s">
        <v>267</v>
      </c>
      <c r="J1817" s="41" t="s">
        <v>1110</v>
      </c>
      <c r="K1817" s="57">
        <v>30</v>
      </c>
      <c r="L1817" s="58">
        <v>30</v>
      </c>
    </row>
    <row r="1818" spans="1:12" ht="15.75">
      <c r="A1818" s="105">
        <v>1732</v>
      </c>
      <c r="B1818" s="125"/>
      <c r="C1818" s="125"/>
      <c r="D1818" s="41" t="s">
        <v>2858</v>
      </c>
      <c r="E1818" s="217" t="s">
        <v>681</v>
      </c>
      <c r="F1818" s="112"/>
      <c r="G1818" s="112"/>
      <c r="H1818" s="112"/>
      <c r="I1818" s="41" t="s">
        <v>267</v>
      </c>
      <c r="J1818" s="41" t="s">
        <v>1110</v>
      </c>
      <c r="K1818" s="57">
        <v>30</v>
      </c>
      <c r="L1818" s="58">
        <v>30</v>
      </c>
    </row>
    <row r="1819" spans="1:12" ht="15.75">
      <c r="A1819" s="105">
        <v>1733</v>
      </c>
      <c r="B1819" s="125"/>
      <c r="C1819" s="125"/>
      <c r="D1819" s="41" t="s">
        <v>2859</v>
      </c>
      <c r="E1819" s="217" t="s">
        <v>681</v>
      </c>
      <c r="F1819" s="112"/>
      <c r="G1819" s="112"/>
      <c r="H1819" s="112"/>
      <c r="I1819" s="41" t="s">
        <v>267</v>
      </c>
      <c r="J1819" s="41" t="s">
        <v>1110</v>
      </c>
      <c r="K1819" s="57">
        <v>30</v>
      </c>
      <c r="L1819" s="58">
        <v>30</v>
      </c>
    </row>
    <row r="1820" spans="1:12" ht="15.75">
      <c r="A1820" s="105">
        <v>1734</v>
      </c>
      <c r="B1820" s="125"/>
      <c r="C1820" s="125"/>
      <c r="D1820" s="41" t="s">
        <v>2860</v>
      </c>
      <c r="E1820" s="217" t="s">
        <v>681</v>
      </c>
      <c r="F1820" s="112"/>
      <c r="G1820" s="112"/>
      <c r="H1820" s="112"/>
      <c r="I1820" s="41" t="s">
        <v>267</v>
      </c>
      <c r="J1820" s="41" t="s">
        <v>1110</v>
      </c>
      <c r="K1820" s="57">
        <v>30</v>
      </c>
      <c r="L1820" s="58">
        <v>30</v>
      </c>
    </row>
    <row r="1821" spans="1:12" ht="15.75">
      <c r="A1821" s="105">
        <v>1735</v>
      </c>
      <c r="B1821" s="125"/>
      <c r="C1821" s="125"/>
      <c r="D1821" s="41" t="s">
        <v>2861</v>
      </c>
      <c r="E1821" s="217" t="s">
        <v>681</v>
      </c>
      <c r="F1821" s="112"/>
      <c r="G1821" s="112"/>
      <c r="H1821" s="112"/>
      <c r="I1821" s="41" t="s">
        <v>267</v>
      </c>
      <c r="J1821" s="41" t="s">
        <v>1110</v>
      </c>
      <c r="K1821" s="57">
        <v>30</v>
      </c>
      <c r="L1821" s="58">
        <v>30</v>
      </c>
    </row>
    <row r="1822" spans="1:12" ht="15.75">
      <c r="A1822" s="105">
        <v>1736</v>
      </c>
      <c r="B1822" s="125"/>
      <c r="C1822" s="125"/>
      <c r="D1822" s="41" t="s">
        <v>2862</v>
      </c>
      <c r="E1822" s="217" t="s">
        <v>681</v>
      </c>
      <c r="F1822" s="112"/>
      <c r="G1822" s="112"/>
      <c r="H1822" s="112"/>
      <c r="I1822" s="41" t="s">
        <v>267</v>
      </c>
      <c r="J1822" s="41" t="s">
        <v>1110</v>
      </c>
      <c r="K1822" s="57">
        <v>30</v>
      </c>
      <c r="L1822" s="58">
        <v>30</v>
      </c>
    </row>
    <row r="1823" spans="1:12" ht="15.75">
      <c r="A1823" s="105">
        <v>1737</v>
      </c>
      <c r="B1823" s="125"/>
      <c r="C1823" s="125"/>
      <c r="D1823" s="41" t="s">
        <v>2863</v>
      </c>
      <c r="E1823" s="217" t="s">
        <v>681</v>
      </c>
      <c r="F1823" s="112"/>
      <c r="G1823" s="112"/>
      <c r="H1823" s="112"/>
      <c r="I1823" s="41" t="s">
        <v>267</v>
      </c>
      <c r="J1823" s="41" t="s">
        <v>1110</v>
      </c>
      <c r="K1823" s="57">
        <v>30</v>
      </c>
      <c r="L1823" s="58">
        <v>30</v>
      </c>
    </row>
    <row r="1824" spans="1:12" ht="15.75">
      <c r="A1824" s="105">
        <v>1738</v>
      </c>
      <c r="B1824" s="125"/>
      <c r="C1824" s="125"/>
      <c r="D1824" s="41" t="s">
        <v>2864</v>
      </c>
      <c r="E1824" s="217" t="s">
        <v>681</v>
      </c>
      <c r="F1824" s="112"/>
      <c r="G1824" s="112"/>
      <c r="H1824" s="112"/>
      <c r="I1824" s="41" t="s">
        <v>267</v>
      </c>
      <c r="J1824" s="41" t="s">
        <v>1110</v>
      </c>
      <c r="K1824" s="57">
        <v>30</v>
      </c>
      <c r="L1824" s="58">
        <v>30</v>
      </c>
    </row>
    <row r="1825" spans="1:12" ht="15.75">
      <c r="A1825" s="105">
        <v>1739</v>
      </c>
      <c r="B1825" s="125"/>
      <c r="C1825" s="125"/>
      <c r="D1825" s="41" t="s">
        <v>2865</v>
      </c>
      <c r="E1825" s="217" t="s">
        <v>681</v>
      </c>
      <c r="F1825" s="112"/>
      <c r="G1825" s="112"/>
      <c r="H1825" s="112"/>
      <c r="I1825" s="41" t="s">
        <v>267</v>
      </c>
      <c r="J1825" s="41" t="s">
        <v>1110</v>
      </c>
      <c r="K1825" s="57">
        <v>30</v>
      </c>
      <c r="L1825" s="58">
        <v>30</v>
      </c>
    </row>
    <row r="1826" spans="1:12" ht="15.75">
      <c r="A1826" s="105">
        <v>1740</v>
      </c>
      <c r="B1826" s="125"/>
      <c r="C1826" s="125"/>
      <c r="D1826" s="41" t="s">
        <v>2636</v>
      </c>
      <c r="E1826" s="217" t="s">
        <v>681</v>
      </c>
      <c r="F1826" s="112"/>
      <c r="G1826" s="112"/>
      <c r="H1826" s="112"/>
      <c r="I1826" s="41" t="s">
        <v>267</v>
      </c>
      <c r="J1826" s="41" t="s">
        <v>1110</v>
      </c>
      <c r="K1826" s="57">
        <v>30</v>
      </c>
      <c r="L1826" s="58">
        <v>30</v>
      </c>
    </row>
    <row r="1827" spans="1:12" ht="15.75">
      <c r="A1827" s="105">
        <v>1741</v>
      </c>
      <c r="B1827" s="125"/>
      <c r="C1827" s="125"/>
      <c r="D1827" s="41" t="s">
        <v>2866</v>
      </c>
      <c r="E1827" s="217" t="s">
        <v>681</v>
      </c>
      <c r="F1827" s="112"/>
      <c r="G1827" s="112"/>
      <c r="H1827" s="112"/>
      <c r="I1827" s="41" t="s">
        <v>267</v>
      </c>
      <c r="J1827" s="41" t="s">
        <v>1110</v>
      </c>
      <c r="K1827" s="57">
        <v>30</v>
      </c>
      <c r="L1827" s="58">
        <v>30</v>
      </c>
    </row>
    <row r="1828" spans="1:12" ht="15.75">
      <c r="A1828" s="105">
        <v>1742</v>
      </c>
      <c r="B1828" s="125"/>
      <c r="C1828" s="125"/>
      <c r="D1828" s="41" t="s">
        <v>2867</v>
      </c>
      <c r="E1828" s="217" t="s">
        <v>681</v>
      </c>
      <c r="F1828" s="112"/>
      <c r="G1828" s="112"/>
      <c r="H1828" s="112"/>
      <c r="I1828" s="41" t="s">
        <v>267</v>
      </c>
      <c r="J1828" s="41" t="s">
        <v>1110</v>
      </c>
      <c r="K1828" s="57">
        <v>30</v>
      </c>
      <c r="L1828" s="58">
        <v>30</v>
      </c>
    </row>
    <row r="1829" spans="1:12" ht="15.75">
      <c r="A1829" s="105">
        <v>1743</v>
      </c>
      <c r="B1829" s="125"/>
      <c r="C1829" s="125"/>
      <c r="D1829" s="41" t="s">
        <v>2868</v>
      </c>
      <c r="E1829" s="217" t="s">
        <v>681</v>
      </c>
      <c r="F1829" s="112"/>
      <c r="G1829" s="112"/>
      <c r="H1829" s="112"/>
      <c r="I1829" s="41" t="s">
        <v>267</v>
      </c>
      <c r="J1829" s="41" t="s">
        <v>1110</v>
      </c>
      <c r="K1829" s="57">
        <v>30</v>
      </c>
      <c r="L1829" s="58">
        <v>30</v>
      </c>
    </row>
    <row r="1830" spans="1:12" ht="15.75">
      <c r="A1830" s="105">
        <v>1744</v>
      </c>
      <c r="B1830" s="125"/>
      <c r="C1830" s="125"/>
      <c r="D1830" s="41" t="s">
        <v>2869</v>
      </c>
      <c r="E1830" s="217" t="s">
        <v>681</v>
      </c>
      <c r="F1830" s="112"/>
      <c r="G1830" s="112"/>
      <c r="H1830" s="112"/>
      <c r="I1830" s="41" t="s">
        <v>267</v>
      </c>
      <c r="J1830" s="41" t="s">
        <v>1110</v>
      </c>
      <c r="K1830" s="57">
        <v>30</v>
      </c>
      <c r="L1830" s="58">
        <v>30</v>
      </c>
    </row>
    <row r="1831" spans="1:12" ht="15.75">
      <c r="A1831" s="105">
        <v>1745</v>
      </c>
      <c r="B1831" s="125"/>
      <c r="C1831" s="125"/>
      <c r="D1831" s="41" t="s">
        <v>2870</v>
      </c>
      <c r="E1831" s="217" t="s">
        <v>681</v>
      </c>
      <c r="F1831" s="112"/>
      <c r="G1831" s="112"/>
      <c r="H1831" s="112"/>
      <c r="I1831" s="41" t="s">
        <v>267</v>
      </c>
      <c r="J1831" s="41" t="s">
        <v>1110</v>
      </c>
      <c r="K1831" s="57">
        <v>30</v>
      </c>
      <c r="L1831" s="58">
        <v>30</v>
      </c>
    </row>
    <row r="1832" spans="1:12" ht="15.75">
      <c r="A1832" s="105">
        <v>1746</v>
      </c>
      <c r="B1832" s="125"/>
      <c r="C1832" s="125"/>
      <c r="D1832" s="41" t="s">
        <v>2505</v>
      </c>
      <c r="E1832" s="217" t="s">
        <v>681</v>
      </c>
      <c r="F1832" s="112"/>
      <c r="G1832" s="112"/>
      <c r="H1832" s="112"/>
      <c r="I1832" s="41" t="s">
        <v>267</v>
      </c>
      <c r="J1832" s="41" t="s">
        <v>1110</v>
      </c>
      <c r="K1832" s="57">
        <v>30</v>
      </c>
      <c r="L1832" s="58">
        <v>30</v>
      </c>
    </row>
    <row r="1833" spans="1:12" ht="15.75">
      <c r="A1833" s="105">
        <v>1747</v>
      </c>
      <c r="B1833" s="125"/>
      <c r="C1833" s="125"/>
      <c r="D1833" s="41" t="s">
        <v>2871</v>
      </c>
      <c r="E1833" s="217" t="s">
        <v>681</v>
      </c>
      <c r="F1833" s="112"/>
      <c r="G1833" s="112"/>
      <c r="H1833" s="112"/>
      <c r="I1833" s="41" t="s">
        <v>267</v>
      </c>
      <c r="J1833" s="41" t="s">
        <v>1110</v>
      </c>
      <c r="K1833" s="57">
        <v>30</v>
      </c>
      <c r="L1833" s="58">
        <v>30</v>
      </c>
    </row>
    <row r="1834" spans="1:12" ht="15.75">
      <c r="A1834" s="105">
        <v>1748</v>
      </c>
      <c r="B1834" s="125"/>
      <c r="C1834" s="125"/>
      <c r="D1834" s="41" t="s">
        <v>2872</v>
      </c>
      <c r="E1834" s="217" t="s">
        <v>681</v>
      </c>
      <c r="F1834" s="112"/>
      <c r="G1834" s="112"/>
      <c r="H1834" s="112"/>
      <c r="I1834" s="41" t="s">
        <v>267</v>
      </c>
      <c r="J1834" s="41" t="s">
        <v>1110</v>
      </c>
      <c r="K1834" s="57">
        <v>30</v>
      </c>
      <c r="L1834" s="58">
        <v>30</v>
      </c>
    </row>
    <row r="1835" spans="1:12" ht="15.75">
      <c r="A1835" s="105">
        <v>1749</v>
      </c>
      <c r="B1835" s="125"/>
      <c r="C1835" s="125"/>
      <c r="D1835" s="41" t="s">
        <v>217</v>
      </c>
      <c r="E1835" s="217" t="s">
        <v>681</v>
      </c>
      <c r="F1835" s="112"/>
      <c r="G1835" s="112"/>
      <c r="H1835" s="112"/>
      <c r="I1835" s="41" t="s">
        <v>267</v>
      </c>
      <c r="J1835" s="41" t="s">
        <v>1110</v>
      </c>
      <c r="K1835" s="57">
        <v>30</v>
      </c>
      <c r="L1835" s="58">
        <v>30</v>
      </c>
    </row>
    <row r="1836" spans="1:12" ht="15.75">
      <c r="A1836" s="105">
        <v>1750</v>
      </c>
      <c r="B1836" s="125"/>
      <c r="C1836" s="125"/>
      <c r="D1836" s="41" t="s">
        <v>2873</v>
      </c>
      <c r="E1836" s="217" t="s">
        <v>681</v>
      </c>
      <c r="F1836" s="112"/>
      <c r="G1836" s="112"/>
      <c r="H1836" s="112"/>
      <c r="I1836" s="41" t="s">
        <v>267</v>
      </c>
      <c r="J1836" s="41" t="s">
        <v>1110</v>
      </c>
      <c r="K1836" s="57">
        <v>30</v>
      </c>
      <c r="L1836" s="58">
        <v>30</v>
      </c>
    </row>
    <row r="1837" spans="1:12" ht="15.75">
      <c r="A1837" s="105">
        <v>1751</v>
      </c>
      <c r="B1837" s="125"/>
      <c r="C1837" s="125"/>
      <c r="D1837" s="41" t="s">
        <v>2874</v>
      </c>
      <c r="E1837" s="217" t="s">
        <v>681</v>
      </c>
      <c r="F1837" s="112"/>
      <c r="G1837" s="112"/>
      <c r="H1837" s="112"/>
      <c r="I1837" s="41" t="s">
        <v>267</v>
      </c>
      <c r="J1837" s="41" t="s">
        <v>1110</v>
      </c>
      <c r="K1837" s="57">
        <v>30</v>
      </c>
      <c r="L1837" s="58">
        <v>30</v>
      </c>
    </row>
    <row r="1838" spans="1:12" ht="15.75">
      <c r="A1838" s="105">
        <v>1752</v>
      </c>
      <c r="B1838" s="125"/>
      <c r="C1838" s="125"/>
      <c r="D1838" s="41" t="s">
        <v>2875</v>
      </c>
      <c r="E1838" s="217" t="s">
        <v>681</v>
      </c>
      <c r="F1838" s="112"/>
      <c r="G1838" s="112"/>
      <c r="H1838" s="112"/>
      <c r="I1838" s="41" t="s">
        <v>267</v>
      </c>
      <c r="J1838" s="41" t="s">
        <v>1110</v>
      </c>
      <c r="K1838" s="57">
        <v>30</v>
      </c>
      <c r="L1838" s="58">
        <v>30</v>
      </c>
    </row>
    <row r="1839" spans="1:12" ht="15.75">
      <c r="A1839" s="105">
        <v>1753</v>
      </c>
      <c r="B1839" s="125"/>
      <c r="C1839" s="125"/>
      <c r="D1839" s="41" t="s">
        <v>2876</v>
      </c>
      <c r="E1839" s="217" t="s">
        <v>681</v>
      </c>
      <c r="F1839" s="112"/>
      <c r="G1839" s="112"/>
      <c r="H1839" s="112"/>
      <c r="I1839" s="41" t="s">
        <v>267</v>
      </c>
      <c r="J1839" s="41" t="s">
        <v>1110</v>
      </c>
      <c r="K1839" s="57">
        <v>30</v>
      </c>
      <c r="L1839" s="58">
        <v>30</v>
      </c>
    </row>
    <row r="1840" spans="1:12" ht="15.75">
      <c r="A1840" s="105">
        <v>1754</v>
      </c>
      <c r="B1840" s="125"/>
      <c r="C1840" s="125"/>
      <c r="D1840" s="41" t="s">
        <v>2877</v>
      </c>
      <c r="E1840" s="217" t="s">
        <v>681</v>
      </c>
      <c r="F1840" s="112"/>
      <c r="G1840" s="112"/>
      <c r="H1840" s="112"/>
      <c r="I1840" s="41" t="s">
        <v>267</v>
      </c>
      <c r="J1840" s="41" t="s">
        <v>1110</v>
      </c>
      <c r="K1840" s="57">
        <v>30</v>
      </c>
      <c r="L1840" s="58">
        <v>30</v>
      </c>
    </row>
    <row r="1841" spans="1:12" ht="15.75">
      <c r="A1841" s="105">
        <v>1755</v>
      </c>
      <c r="B1841" s="125"/>
      <c r="C1841" s="125"/>
      <c r="D1841" s="41" t="s">
        <v>2878</v>
      </c>
      <c r="E1841" s="217" t="s">
        <v>681</v>
      </c>
      <c r="F1841" s="112"/>
      <c r="G1841" s="112"/>
      <c r="H1841" s="112"/>
      <c r="I1841" s="41" t="s">
        <v>267</v>
      </c>
      <c r="J1841" s="41" t="s">
        <v>1110</v>
      </c>
      <c r="K1841" s="57">
        <v>30</v>
      </c>
      <c r="L1841" s="58">
        <v>30</v>
      </c>
    </row>
    <row r="1842" spans="1:12" ht="15.75">
      <c r="A1842" s="105">
        <v>1756</v>
      </c>
      <c r="B1842" s="125"/>
      <c r="C1842" s="125"/>
      <c r="D1842" s="41" t="s">
        <v>2879</v>
      </c>
      <c r="E1842" s="217" t="s">
        <v>681</v>
      </c>
      <c r="F1842" s="112"/>
      <c r="G1842" s="112"/>
      <c r="H1842" s="112"/>
      <c r="I1842" s="41" t="s">
        <v>267</v>
      </c>
      <c r="J1842" s="41" t="s">
        <v>1110</v>
      </c>
      <c r="K1842" s="57">
        <v>30</v>
      </c>
      <c r="L1842" s="58">
        <v>30</v>
      </c>
    </row>
    <row r="1843" spans="1:12" ht="15.75">
      <c r="A1843" s="105">
        <v>1757</v>
      </c>
      <c r="B1843" s="125"/>
      <c r="C1843" s="125"/>
      <c r="D1843" s="41" t="s">
        <v>2661</v>
      </c>
      <c r="E1843" s="217" t="s">
        <v>681</v>
      </c>
      <c r="F1843" s="112"/>
      <c r="G1843" s="112"/>
      <c r="H1843" s="112"/>
      <c r="I1843" s="41" t="s">
        <v>267</v>
      </c>
      <c r="J1843" s="41" t="s">
        <v>1110</v>
      </c>
      <c r="K1843" s="57">
        <v>30</v>
      </c>
      <c r="L1843" s="58">
        <v>30</v>
      </c>
    </row>
    <row r="1844" spans="1:12" ht="15.75">
      <c r="A1844" s="105">
        <v>1758</v>
      </c>
      <c r="B1844" s="125"/>
      <c r="C1844" s="125"/>
      <c r="D1844" s="41" t="s">
        <v>2880</v>
      </c>
      <c r="E1844" s="217" t="s">
        <v>681</v>
      </c>
      <c r="F1844" s="112"/>
      <c r="G1844" s="112"/>
      <c r="H1844" s="112"/>
      <c r="I1844" s="41" t="s">
        <v>267</v>
      </c>
      <c r="J1844" s="41" t="s">
        <v>1110</v>
      </c>
      <c r="K1844" s="57">
        <v>30</v>
      </c>
      <c r="L1844" s="58">
        <v>30</v>
      </c>
    </row>
    <row r="1845" spans="1:12" ht="15.75">
      <c r="A1845" s="105">
        <v>1759</v>
      </c>
      <c r="B1845" s="125"/>
      <c r="C1845" s="125"/>
      <c r="D1845" s="41" t="s">
        <v>2881</v>
      </c>
      <c r="E1845" s="217" t="s">
        <v>681</v>
      </c>
      <c r="F1845" s="112"/>
      <c r="G1845" s="112"/>
      <c r="H1845" s="112"/>
      <c r="I1845" s="41" t="s">
        <v>267</v>
      </c>
      <c r="J1845" s="41" t="s">
        <v>1110</v>
      </c>
      <c r="K1845" s="57">
        <v>30</v>
      </c>
      <c r="L1845" s="58">
        <v>30</v>
      </c>
    </row>
    <row r="1846" spans="1:12" ht="15.75">
      <c r="A1846" s="105">
        <v>1760</v>
      </c>
      <c r="B1846" s="125"/>
      <c r="C1846" s="125"/>
      <c r="D1846" s="41" t="s">
        <v>2882</v>
      </c>
      <c r="E1846" s="217" t="s">
        <v>681</v>
      </c>
      <c r="F1846" s="112"/>
      <c r="G1846" s="112"/>
      <c r="H1846" s="112"/>
      <c r="I1846" s="41" t="s">
        <v>267</v>
      </c>
      <c r="J1846" s="41" t="s">
        <v>1110</v>
      </c>
      <c r="K1846" s="57">
        <v>30</v>
      </c>
      <c r="L1846" s="58">
        <v>30</v>
      </c>
    </row>
    <row r="1847" spans="1:12" ht="15.75">
      <c r="A1847" s="105">
        <v>1761</v>
      </c>
      <c r="B1847" s="125"/>
      <c r="C1847" s="125"/>
      <c r="D1847" s="41" t="s">
        <v>2828</v>
      </c>
      <c r="E1847" s="217" t="s">
        <v>681</v>
      </c>
      <c r="F1847" s="112"/>
      <c r="G1847" s="112"/>
      <c r="H1847" s="112"/>
      <c r="I1847" s="41" t="s">
        <v>267</v>
      </c>
      <c r="J1847" s="41" t="s">
        <v>1110</v>
      </c>
      <c r="K1847" s="57">
        <v>30</v>
      </c>
      <c r="L1847" s="58">
        <v>30</v>
      </c>
    </row>
    <row r="1848" spans="1:12" ht="15.75">
      <c r="A1848" s="105">
        <v>1762</v>
      </c>
      <c r="B1848" s="125"/>
      <c r="C1848" s="125"/>
      <c r="D1848" s="41" t="s">
        <v>2829</v>
      </c>
      <c r="E1848" s="217" t="s">
        <v>681</v>
      </c>
      <c r="F1848" s="112"/>
      <c r="G1848" s="112"/>
      <c r="H1848" s="112"/>
      <c r="I1848" s="41" t="s">
        <v>267</v>
      </c>
      <c r="J1848" s="41" t="s">
        <v>1110</v>
      </c>
      <c r="K1848" s="57">
        <v>30</v>
      </c>
      <c r="L1848" s="58">
        <v>30</v>
      </c>
    </row>
    <row r="1849" spans="1:12" ht="15.75">
      <c r="A1849" s="105">
        <v>1763</v>
      </c>
      <c r="B1849" s="125"/>
      <c r="C1849" s="125"/>
      <c r="D1849" s="41" t="s">
        <v>2830</v>
      </c>
      <c r="E1849" s="217" t="s">
        <v>681</v>
      </c>
      <c r="F1849" s="112"/>
      <c r="G1849" s="112"/>
      <c r="H1849" s="112"/>
      <c r="I1849" s="41" t="s">
        <v>267</v>
      </c>
      <c r="J1849" s="41" t="s">
        <v>1110</v>
      </c>
      <c r="K1849" s="57">
        <v>30</v>
      </c>
      <c r="L1849" s="58">
        <v>30</v>
      </c>
    </row>
    <row r="1850" spans="1:12" ht="15.75">
      <c r="A1850" s="105">
        <v>1764</v>
      </c>
      <c r="B1850" s="125"/>
      <c r="C1850" s="125"/>
      <c r="D1850" s="41" t="s">
        <v>2831</v>
      </c>
      <c r="E1850" s="217" t="s">
        <v>681</v>
      </c>
      <c r="F1850" s="112"/>
      <c r="G1850" s="112"/>
      <c r="H1850" s="112"/>
      <c r="I1850" s="41" t="s">
        <v>267</v>
      </c>
      <c r="J1850" s="41" t="s">
        <v>1110</v>
      </c>
      <c r="K1850" s="57">
        <v>30</v>
      </c>
      <c r="L1850" s="58">
        <v>30</v>
      </c>
    </row>
    <row r="1851" spans="1:12" ht="15.75">
      <c r="A1851" s="105">
        <v>1765</v>
      </c>
      <c r="B1851" s="125"/>
      <c r="C1851" s="125"/>
      <c r="D1851" s="41" t="s">
        <v>2832</v>
      </c>
      <c r="E1851" s="217" t="s">
        <v>681</v>
      </c>
      <c r="F1851" s="112"/>
      <c r="G1851" s="112"/>
      <c r="H1851" s="112"/>
      <c r="I1851" s="41" t="s">
        <v>267</v>
      </c>
      <c r="J1851" s="41" t="s">
        <v>1110</v>
      </c>
      <c r="K1851" s="57">
        <v>30</v>
      </c>
      <c r="L1851" s="58">
        <v>30</v>
      </c>
    </row>
    <row r="1852" spans="1:12" ht="15.75">
      <c r="A1852" s="105">
        <v>1766</v>
      </c>
      <c r="B1852" s="125"/>
      <c r="C1852" s="125"/>
      <c r="D1852" s="41" t="s">
        <v>2833</v>
      </c>
      <c r="E1852" s="217" t="s">
        <v>681</v>
      </c>
      <c r="F1852" s="112"/>
      <c r="G1852" s="112"/>
      <c r="H1852" s="112"/>
      <c r="I1852" s="41" t="s">
        <v>267</v>
      </c>
      <c r="J1852" s="41" t="s">
        <v>1110</v>
      </c>
      <c r="K1852" s="57">
        <v>30</v>
      </c>
      <c r="L1852" s="58">
        <v>30</v>
      </c>
    </row>
    <row r="1853" spans="1:12" ht="15.75">
      <c r="A1853" s="105">
        <v>1767</v>
      </c>
      <c r="B1853" s="125"/>
      <c r="C1853" s="125"/>
      <c r="D1853" s="41" t="s">
        <v>2503</v>
      </c>
      <c r="E1853" s="217" t="s">
        <v>681</v>
      </c>
      <c r="F1853" s="112"/>
      <c r="G1853" s="112"/>
      <c r="H1853" s="112"/>
      <c r="I1853" s="41" t="s">
        <v>267</v>
      </c>
      <c r="J1853" s="41" t="s">
        <v>1110</v>
      </c>
      <c r="K1853" s="57">
        <v>30</v>
      </c>
      <c r="L1853" s="58">
        <v>30</v>
      </c>
    </row>
    <row r="1854" spans="1:12" ht="15.75">
      <c r="A1854" s="105">
        <v>1768</v>
      </c>
      <c r="B1854" s="125"/>
      <c r="C1854" s="125"/>
      <c r="D1854" s="41" t="s">
        <v>2834</v>
      </c>
      <c r="E1854" s="217" t="s">
        <v>681</v>
      </c>
      <c r="F1854" s="112"/>
      <c r="G1854" s="112"/>
      <c r="H1854" s="112"/>
      <c r="I1854" s="41" t="s">
        <v>267</v>
      </c>
      <c r="J1854" s="41" t="s">
        <v>1110</v>
      </c>
      <c r="K1854" s="57">
        <v>30</v>
      </c>
      <c r="L1854" s="58">
        <v>30</v>
      </c>
    </row>
    <row r="1855" spans="1:12" ht="15.75">
      <c r="A1855" s="105">
        <v>1769</v>
      </c>
      <c r="B1855" s="125"/>
      <c r="C1855" s="125"/>
      <c r="D1855" s="41" t="s">
        <v>2835</v>
      </c>
      <c r="E1855" s="217" t="s">
        <v>681</v>
      </c>
      <c r="F1855" s="112"/>
      <c r="G1855" s="112"/>
      <c r="H1855" s="112"/>
      <c r="I1855" s="41" t="s">
        <v>267</v>
      </c>
      <c r="J1855" s="41" t="s">
        <v>1110</v>
      </c>
      <c r="K1855" s="57">
        <v>30</v>
      </c>
      <c r="L1855" s="58">
        <v>30</v>
      </c>
    </row>
    <row r="1856" spans="1:12" ht="15.75">
      <c r="A1856" s="105">
        <v>1770</v>
      </c>
      <c r="B1856" s="125"/>
      <c r="C1856" s="125"/>
      <c r="D1856" s="41" t="s">
        <v>2836</v>
      </c>
      <c r="E1856" s="217" t="s">
        <v>681</v>
      </c>
      <c r="F1856" s="112"/>
      <c r="G1856" s="112"/>
      <c r="H1856" s="112"/>
      <c r="I1856" s="41" t="s">
        <v>267</v>
      </c>
      <c r="J1856" s="41" t="s">
        <v>1110</v>
      </c>
      <c r="K1856" s="57">
        <v>30</v>
      </c>
      <c r="L1856" s="58">
        <v>30</v>
      </c>
    </row>
    <row r="1857" spans="1:12" ht="15.75">
      <c r="A1857" s="105">
        <v>1771</v>
      </c>
      <c r="B1857" s="125"/>
      <c r="C1857" s="125"/>
      <c r="D1857" s="41" t="s">
        <v>2837</v>
      </c>
      <c r="E1857" s="217" t="s">
        <v>681</v>
      </c>
      <c r="F1857" s="112"/>
      <c r="G1857" s="112"/>
      <c r="H1857" s="112"/>
      <c r="I1857" s="41" t="s">
        <v>267</v>
      </c>
      <c r="J1857" s="41" t="s">
        <v>1110</v>
      </c>
      <c r="K1857" s="57">
        <v>30</v>
      </c>
      <c r="L1857" s="58">
        <v>30</v>
      </c>
    </row>
    <row r="1858" spans="1:12" ht="15.75">
      <c r="A1858" s="105">
        <v>1772</v>
      </c>
      <c r="B1858" s="125"/>
      <c r="C1858" s="125"/>
      <c r="D1858" s="41" t="s">
        <v>2838</v>
      </c>
      <c r="E1858" s="217" t="s">
        <v>681</v>
      </c>
      <c r="F1858" s="112"/>
      <c r="G1858" s="112"/>
      <c r="H1858" s="112"/>
      <c r="I1858" s="41" t="s">
        <v>267</v>
      </c>
      <c r="J1858" s="41" t="s">
        <v>1110</v>
      </c>
      <c r="K1858" s="57">
        <v>30</v>
      </c>
      <c r="L1858" s="58">
        <v>30</v>
      </c>
    </row>
    <row r="1859" spans="1:12" ht="15.75">
      <c r="A1859" s="105">
        <v>1773</v>
      </c>
      <c r="B1859" s="125"/>
      <c r="C1859" s="125"/>
      <c r="D1859" s="41" t="s">
        <v>2839</v>
      </c>
      <c r="E1859" s="217" t="s">
        <v>681</v>
      </c>
      <c r="F1859" s="112"/>
      <c r="G1859" s="112"/>
      <c r="H1859" s="112"/>
      <c r="I1859" s="41" t="s">
        <v>267</v>
      </c>
      <c r="J1859" s="41" t="s">
        <v>1110</v>
      </c>
      <c r="K1859" s="57">
        <v>30</v>
      </c>
      <c r="L1859" s="58">
        <v>30</v>
      </c>
    </row>
    <row r="1860" spans="1:12" ht="15.75">
      <c r="A1860" s="105">
        <v>1774</v>
      </c>
      <c r="B1860" s="125"/>
      <c r="C1860" s="125"/>
      <c r="D1860" s="41" t="s">
        <v>2840</v>
      </c>
      <c r="E1860" s="217" t="s">
        <v>681</v>
      </c>
      <c r="F1860" s="112"/>
      <c r="G1860" s="112"/>
      <c r="H1860" s="112"/>
      <c r="I1860" s="41" t="s">
        <v>267</v>
      </c>
      <c r="J1860" s="41" t="s">
        <v>1110</v>
      </c>
      <c r="K1860" s="57">
        <v>30</v>
      </c>
      <c r="L1860" s="58">
        <v>30</v>
      </c>
    </row>
    <row r="1861" spans="1:12" ht="15.75">
      <c r="A1861" s="105">
        <v>1775</v>
      </c>
      <c r="B1861" s="125"/>
      <c r="C1861" s="125"/>
      <c r="D1861" s="41" t="s">
        <v>2841</v>
      </c>
      <c r="E1861" s="217" t="s">
        <v>681</v>
      </c>
      <c r="F1861" s="112"/>
      <c r="G1861" s="112"/>
      <c r="H1861" s="112"/>
      <c r="I1861" s="41" t="s">
        <v>267</v>
      </c>
      <c r="J1861" s="41" t="s">
        <v>1110</v>
      </c>
      <c r="K1861" s="57">
        <v>30</v>
      </c>
      <c r="L1861" s="58">
        <v>30</v>
      </c>
    </row>
    <row r="1862" spans="1:12" ht="15.75">
      <c r="A1862" s="105">
        <v>1776</v>
      </c>
      <c r="B1862" s="125"/>
      <c r="C1862" s="125"/>
      <c r="D1862" s="41" t="s">
        <v>2842</v>
      </c>
      <c r="E1862" s="217" t="s">
        <v>681</v>
      </c>
      <c r="F1862" s="112"/>
      <c r="G1862" s="112"/>
      <c r="H1862" s="112"/>
      <c r="I1862" s="41" t="s">
        <v>267</v>
      </c>
      <c r="J1862" s="41" t="s">
        <v>1110</v>
      </c>
      <c r="K1862" s="57">
        <v>30</v>
      </c>
      <c r="L1862" s="58">
        <v>30</v>
      </c>
    </row>
    <row r="1863" spans="1:12" ht="15.75">
      <c r="A1863" s="105">
        <v>1777</v>
      </c>
      <c r="B1863" s="125"/>
      <c r="C1863" s="125"/>
      <c r="D1863" s="41" t="s">
        <v>2843</v>
      </c>
      <c r="E1863" s="217" t="s">
        <v>681</v>
      </c>
      <c r="F1863" s="112"/>
      <c r="G1863" s="112"/>
      <c r="H1863" s="112"/>
      <c r="I1863" s="41" t="s">
        <v>267</v>
      </c>
      <c r="J1863" s="41" t="s">
        <v>1110</v>
      </c>
      <c r="K1863" s="57">
        <v>30</v>
      </c>
      <c r="L1863" s="58">
        <v>30</v>
      </c>
    </row>
    <row r="1864" spans="1:12" ht="15.75">
      <c r="A1864" s="105">
        <v>1778</v>
      </c>
      <c r="B1864" s="125"/>
      <c r="C1864" s="125"/>
      <c r="D1864" s="41" t="s">
        <v>2844</v>
      </c>
      <c r="E1864" s="217" t="s">
        <v>681</v>
      </c>
      <c r="F1864" s="112"/>
      <c r="G1864" s="112"/>
      <c r="H1864" s="112"/>
      <c r="I1864" s="41" t="s">
        <v>267</v>
      </c>
      <c r="J1864" s="41" t="s">
        <v>1110</v>
      </c>
      <c r="K1864" s="57">
        <v>30</v>
      </c>
      <c r="L1864" s="58">
        <v>30</v>
      </c>
    </row>
    <row r="1865" spans="1:12" ht="15.75">
      <c r="A1865" s="105">
        <v>1779</v>
      </c>
      <c r="B1865" s="125"/>
      <c r="C1865" s="125"/>
      <c r="D1865" s="41" t="s">
        <v>2845</v>
      </c>
      <c r="E1865" s="217" t="s">
        <v>681</v>
      </c>
      <c r="F1865" s="112"/>
      <c r="G1865" s="112"/>
      <c r="H1865" s="112"/>
      <c r="I1865" s="41" t="s">
        <v>267</v>
      </c>
      <c r="J1865" s="41" t="s">
        <v>1110</v>
      </c>
      <c r="K1865" s="57">
        <v>30</v>
      </c>
      <c r="L1865" s="58">
        <v>30</v>
      </c>
    </row>
    <row r="1866" spans="1:12" ht="15.75">
      <c r="A1866" s="105">
        <v>1780</v>
      </c>
      <c r="B1866" s="125"/>
      <c r="C1866" s="125"/>
      <c r="D1866" s="41" t="s">
        <v>1350</v>
      </c>
      <c r="E1866" s="217" t="s">
        <v>681</v>
      </c>
      <c r="F1866" s="112"/>
      <c r="G1866" s="112"/>
      <c r="H1866" s="112"/>
      <c r="I1866" s="41" t="s">
        <v>267</v>
      </c>
      <c r="J1866" s="41" t="s">
        <v>1110</v>
      </c>
      <c r="K1866" s="57">
        <v>30</v>
      </c>
      <c r="L1866" s="58">
        <v>30</v>
      </c>
    </row>
    <row r="1867" spans="1:12" ht="15.75">
      <c r="A1867" s="105">
        <v>1781</v>
      </c>
      <c r="B1867" s="125"/>
      <c r="C1867" s="125"/>
      <c r="D1867" s="41" t="s">
        <v>2846</v>
      </c>
      <c r="E1867" s="217" t="s">
        <v>681</v>
      </c>
      <c r="F1867" s="112"/>
      <c r="G1867" s="112"/>
      <c r="H1867" s="112"/>
      <c r="I1867" s="41" t="s">
        <v>267</v>
      </c>
      <c r="J1867" s="41" t="s">
        <v>1110</v>
      </c>
      <c r="K1867" s="57">
        <v>30</v>
      </c>
      <c r="L1867" s="58">
        <v>30</v>
      </c>
    </row>
    <row r="1868" spans="1:12" ht="15.75">
      <c r="A1868" s="105">
        <v>1782</v>
      </c>
      <c r="B1868" s="125"/>
      <c r="C1868" s="125"/>
      <c r="D1868" s="41" t="s">
        <v>2847</v>
      </c>
      <c r="E1868" s="217" t="s">
        <v>681</v>
      </c>
      <c r="F1868" s="112"/>
      <c r="G1868" s="112"/>
      <c r="H1868" s="112"/>
      <c r="I1868" s="41" t="s">
        <v>267</v>
      </c>
      <c r="J1868" s="41" t="s">
        <v>1110</v>
      </c>
      <c r="K1868" s="57">
        <v>30</v>
      </c>
      <c r="L1868" s="58">
        <v>30</v>
      </c>
    </row>
    <row r="1869" spans="1:12" ht="15.75">
      <c r="A1869" s="105">
        <v>1783</v>
      </c>
      <c r="B1869" s="125"/>
      <c r="C1869" s="125"/>
      <c r="D1869" s="41" t="s">
        <v>2848</v>
      </c>
      <c r="E1869" s="217" t="s">
        <v>681</v>
      </c>
      <c r="F1869" s="112"/>
      <c r="G1869" s="112"/>
      <c r="H1869" s="112"/>
      <c r="I1869" s="41" t="s">
        <v>267</v>
      </c>
      <c r="J1869" s="41" t="s">
        <v>1110</v>
      </c>
      <c r="K1869" s="57">
        <v>30</v>
      </c>
      <c r="L1869" s="58">
        <v>30</v>
      </c>
    </row>
    <row r="1870" spans="1:12" ht="15.75">
      <c r="A1870" s="105">
        <v>1784</v>
      </c>
      <c r="B1870" s="125"/>
      <c r="C1870" s="125"/>
      <c r="D1870" s="41" t="s">
        <v>1272</v>
      </c>
      <c r="E1870" s="217" t="s">
        <v>681</v>
      </c>
      <c r="F1870" s="112"/>
      <c r="G1870" s="112"/>
      <c r="H1870" s="112"/>
      <c r="I1870" s="41" t="s">
        <v>267</v>
      </c>
      <c r="J1870" s="41" t="s">
        <v>1110</v>
      </c>
      <c r="K1870" s="57">
        <v>30</v>
      </c>
      <c r="L1870" s="58">
        <v>30</v>
      </c>
    </row>
    <row r="1871" spans="1:12" ht="15.75">
      <c r="A1871" s="105">
        <v>1785</v>
      </c>
      <c r="B1871" s="125"/>
      <c r="C1871" s="125"/>
      <c r="D1871" s="41" t="s">
        <v>2849</v>
      </c>
      <c r="E1871" s="217" t="s">
        <v>681</v>
      </c>
      <c r="F1871" s="112"/>
      <c r="G1871" s="112"/>
      <c r="H1871" s="112"/>
      <c r="I1871" s="41" t="s">
        <v>267</v>
      </c>
      <c r="J1871" s="41" t="s">
        <v>1110</v>
      </c>
      <c r="K1871" s="57">
        <v>30</v>
      </c>
      <c r="L1871" s="58">
        <v>30</v>
      </c>
    </row>
    <row r="1872" spans="1:12" ht="15.75">
      <c r="A1872" s="105">
        <v>1786</v>
      </c>
      <c r="B1872" s="125"/>
      <c r="C1872" s="125"/>
      <c r="D1872" s="41" t="s">
        <v>2850</v>
      </c>
      <c r="E1872" s="217" t="s">
        <v>681</v>
      </c>
      <c r="F1872" s="112"/>
      <c r="G1872" s="112"/>
      <c r="H1872" s="112"/>
      <c r="I1872" s="41" t="s">
        <v>267</v>
      </c>
      <c r="J1872" s="41" t="s">
        <v>1110</v>
      </c>
      <c r="K1872" s="57">
        <v>30</v>
      </c>
      <c r="L1872" s="58">
        <v>30</v>
      </c>
    </row>
    <row r="1873" spans="1:12" ht="15.75">
      <c r="A1873" s="105">
        <v>1787</v>
      </c>
      <c r="B1873" s="125"/>
      <c r="C1873" s="125"/>
      <c r="D1873" s="41" t="s">
        <v>2851</v>
      </c>
      <c r="E1873" s="217" t="s">
        <v>681</v>
      </c>
      <c r="F1873" s="112"/>
      <c r="G1873" s="112"/>
      <c r="H1873" s="112"/>
      <c r="I1873" s="41" t="s">
        <v>267</v>
      </c>
      <c r="J1873" s="41" t="s">
        <v>1110</v>
      </c>
      <c r="K1873" s="57">
        <v>30</v>
      </c>
      <c r="L1873" s="58">
        <v>30</v>
      </c>
    </row>
    <row r="1874" spans="1:12" ht="15.75">
      <c r="A1874" s="105">
        <v>1788</v>
      </c>
      <c r="B1874" s="125"/>
      <c r="C1874" s="125"/>
      <c r="D1874" s="41" t="s">
        <v>2852</v>
      </c>
      <c r="E1874" s="217" t="s">
        <v>681</v>
      </c>
      <c r="F1874" s="112"/>
      <c r="G1874" s="112"/>
      <c r="H1874" s="112"/>
      <c r="I1874" s="41" t="s">
        <v>267</v>
      </c>
      <c r="J1874" s="41" t="s">
        <v>1110</v>
      </c>
      <c r="K1874" s="57">
        <v>30</v>
      </c>
      <c r="L1874" s="58">
        <v>30</v>
      </c>
    </row>
    <row r="1875" spans="1:12" ht="15.75">
      <c r="A1875" s="105">
        <v>1789</v>
      </c>
      <c r="B1875" s="125"/>
      <c r="C1875" s="125"/>
      <c r="D1875" s="41" t="s">
        <v>2853</v>
      </c>
      <c r="E1875" s="217" t="s">
        <v>681</v>
      </c>
      <c r="F1875" s="112"/>
      <c r="G1875" s="112"/>
      <c r="H1875" s="112"/>
      <c r="I1875" s="41" t="s">
        <v>267</v>
      </c>
      <c r="J1875" s="41" t="s">
        <v>1110</v>
      </c>
      <c r="K1875" s="57">
        <v>30</v>
      </c>
      <c r="L1875" s="58">
        <v>30</v>
      </c>
    </row>
    <row r="1876" spans="1:12" ht="15.75">
      <c r="A1876" s="105">
        <v>1790</v>
      </c>
      <c r="B1876" s="125"/>
      <c r="C1876" s="125"/>
      <c r="D1876" s="41" t="s">
        <v>2854</v>
      </c>
      <c r="E1876" s="217" t="s">
        <v>681</v>
      </c>
      <c r="F1876" s="112"/>
      <c r="G1876" s="112"/>
      <c r="H1876" s="112"/>
      <c r="I1876" s="41" t="s">
        <v>267</v>
      </c>
      <c r="J1876" s="41" t="s">
        <v>1110</v>
      </c>
      <c r="K1876" s="57">
        <v>30</v>
      </c>
      <c r="L1876" s="58">
        <v>30</v>
      </c>
    </row>
    <row r="1877" spans="1:12" ht="15.75">
      <c r="A1877" s="105">
        <v>1791</v>
      </c>
      <c r="B1877" s="125"/>
      <c r="C1877" s="125"/>
      <c r="D1877" s="41" t="s">
        <v>1273</v>
      </c>
      <c r="E1877" s="217" t="s">
        <v>681</v>
      </c>
      <c r="F1877" s="112"/>
      <c r="G1877" s="112"/>
      <c r="H1877" s="112"/>
      <c r="I1877" s="41" t="s">
        <v>267</v>
      </c>
      <c r="J1877" s="41" t="s">
        <v>1110</v>
      </c>
      <c r="K1877" s="57">
        <v>30</v>
      </c>
      <c r="L1877" s="58">
        <v>30</v>
      </c>
    </row>
    <row r="1878" spans="1:12" ht="15.75">
      <c r="A1878" s="105">
        <v>1792</v>
      </c>
      <c r="B1878" s="125"/>
      <c r="C1878" s="125"/>
      <c r="D1878" s="41" t="s">
        <v>2855</v>
      </c>
      <c r="E1878" s="217" t="s">
        <v>681</v>
      </c>
      <c r="F1878" s="112"/>
      <c r="G1878" s="112"/>
      <c r="H1878" s="112"/>
      <c r="I1878" s="41" t="s">
        <v>267</v>
      </c>
      <c r="J1878" s="41" t="s">
        <v>1110</v>
      </c>
      <c r="K1878" s="57">
        <v>30</v>
      </c>
      <c r="L1878" s="58">
        <v>30</v>
      </c>
    </row>
    <row r="1879" spans="1:12" ht="15.75">
      <c r="A1879" s="105">
        <v>1793</v>
      </c>
      <c r="B1879" s="125"/>
      <c r="C1879" s="125"/>
      <c r="D1879" s="41" t="s">
        <v>2766</v>
      </c>
      <c r="E1879" s="217" t="s">
        <v>681</v>
      </c>
      <c r="F1879" s="112"/>
      <c r="G1879" s="112"/>
      <c r="H1879" s="112"/>
      <c r="I1879" s="41" t="s">
        <v>267</v>
      </c>
      <c r="J1879" s="41" t="s">
        <v>1110</v>
      </c>
      <c r="K1879" s="57">
        <v>30</v>
      </c>
      <c r="L1879" s="58">
        <v>30</v>
      </c>
    </row>
    <row r="1880" spans="1:12" ht="15.75">
      <c r="A1880" s="105">
        <v>1794</v>
      </c>
      <c r="B1880" s="125"/>
      <c r="C1880" s="125"/>
      <c r="D1880" s="41" t="s">
        <v>2856</v>
      </c>
      <c r="E1880" s="217" t="s">
        <v>681</v>
      </c>
      <c r="F1880" s="112"/>
      <c r="G1880" s="112"/>
      <c r="H1880" s="112"/>
      <c r="I1880" s="41" t="s">
        <v>267</v>
      </c>
      <c r="J1880" s="41" t="s">
        <v>1110</v>
      </c>
      <c r="K1880" s="57">
        <v>30</v>
      </c>
      <c r="L1880" s="58">
        <v>30</v>
      </c>
    </row>
    <row r="1881" spans="1:12" ht="15.75">
      <c r="A1881" s="105">
        <v>1795</v>
      </c>
      <c r="B1881" s="125"/>
      <c r="C1881" s="125"/>
      <c r="D1881" s="41" t="s">
        <v>2857</v>
      </c>
      <c r="E1881" s="217" t="s">
        <v>681</v>
      </c>
      <c r="F1881" s="112"/>
      <c r="G1881" s="112"/>
      <c r="H1881" s="112"/>
      <c r="I1881" s="41" t="s">
        <v>267</v>
      </c>
      <c r="J1881" s="41" t="s">
        <v>1110</v>
      </c>
      <c r="K1881" s="57">
        <v>30</v>
      </c>
      <c r="L1881" s="58">
        <v>30</v>
      </c>
    </row>
    <row r="1882" spans="1:12" ht="15.75">
      <c r="A1882" s="105">
        <v>1796</v>
      </c>
      <c r="B1882" s="125"/>
      <c r="C1882" s="125"/>
      <c r="D1882" s="41" t="s">
        <v>2858</v>
      </c>
      <c r="E1882" s="217" t="s">
        <v>681</v>
      </c>
      <c r="F1882" s="112"/>
      <c r="G1882" s="112"/>
      <c r="H1882" s="112"/>
      <c r="I1882" s="41" t="s">
        <v>267</v>
      </c>
      <c r="J1882" s="41" t="s">
        <v>1110</v>
      </c>
      <c r="K1882" s="57">
        <v>30</v>
      </c>
      <c r="L1882" s="58">
        <v>30</v>
      </c>
    </row>
    <row r="1883" spans="1:12" ht="15.75">
      <c r="A1883" s="105">
        <v>1797</v>
      </c>
      <c r="B1883" s="125"/>
      <c r="C1883" s="125"/>
      <c r="D1883" s="41" t="s">
        <v>2859</v>
      </c>
      <c r="E1883" s="217" t="s">
        <v>681</v>
      </c>
      <c r="F1883" s="112"/>
      <c r="G1883" s="112"/>
      <c r="H1883" s="112"/>
      <c r="I1883" s="41" t="s">
        <v>267</v>
      </c>
      <c r="J1883" s="41" t="s">
        <v>1110</v>
      </c>
      <c r="K1883" s="57">
        <v>30</v>
      </c>
      <c r="L1883" s="58">
        <v>30</v>
      </c>
    </row>
    <row r="1884" spans="1:12" ht="15.75">
      <c r="A1884" s="105">
        <v>1798</v>
      </c>
      <c r="B1884" s="125"/>
      <c r="C1884" s="125"/>
      <c r="D1884" s="41" t="s">
        <v>2860</v>
      </c>
      <c r="E1884" s="217" t="s">
        <v>681</v>
      </c>
      <c r="F1884" s="112"/>
      <c r="G1884" s="112"/>
      <c r="H1884" s="112"/>
      <c r="I1884" s="41" t="s">
        <v>267</v>
      </c>
      <c r="J1884" s="41" t="s">
        <v>1110</v>
      </c>
      <c r="K1884" s="57">
        <v>30</v>
      </c>
      <c r="L1884" s="58">
        <v>30</v>
      </c>
    </row>
    <row r="1885" spans="1:12" ht="15.75">
      <c r="A1885" s="105">
        <v>1799</v>
      </c>
      <c r="B1885" s="125"/>
      <c r="C1885" s="125"/>
      <c r="D1885" s="41" t="s">
        <v>2861</v>
      </c>
      <c r="E1885" s="217" t="s">
        <v>681</v>
      </c>
      <c r="F1885" s="112"/>
      <c r="G1885" s="112"/>
      <c r="H1885" s="112"/>
      <c r="I1885" s="41" t="s">
        <v>267</v>
      </c>
      <c r="J1885" s="41" t="s">
        <v>1110</v>
      </c>
      <c r="K1885" s="57">
        <v>30</v>
      </c>
      <c r="L1885" s="58">
        <v>30</v>
      </c>
    </row>
    <row r="1886" spans="1:12" ht="15.75">
      <c r="A1886" s="105">
        <v>1800</v>
      </c>
      <c r="B1886" s="125"/>
      <c r="C1886" s="125"/>
      <c r="D1886" s="41" t="s">
        <v>2862</v>
      </c>
      <c r="E1886" s="217" t="s">
        <v>681</v>
      </c>
      <c r="F1886" s="112"/>
      <c r="G1886" s="112"/>
      <c r="H1886" s="112"/>
      <c r="I1886" s="41" t="s">
        <v>267</v>
      </c>
      <c r="J1886" s="41" t="s">
        <v>1110</v>
      </c>
      <c r="K1886" s="57">
        <v>30</v>
      </c>
      <c r="L1886" s="58">
        <v>30</v>
      </c>
    </row>
    <row r="1887" spans="1:12" ht="15.75">
      <c r="A1887" s="105">
        <v>1801</v>
      </c>
      <c r="B1887" s="125"/>
      <c r="C1887" s="125"/>
      <c r="D1887" s="41" t="s">
        <v>2863</v>
      </c>
      <c r="E1887" s="217" t="s">
        <v>681</v>
      </c>
      <c r="F1887" s="112"/>
      <c r="G1887" s="112"/>
      <c r="H1887" s="112"/>
      <c r="I1887" s="41" t="s">
        <v>267</v>
      </c>
      <c r="J1887" s="41" t="s">
        <v>1110</v>
      </c>
      <c r="K1887" s="57">
        <v>30</v>
      </c>
      <c r="L1887" s="58">
        <v>30</v>
      </c>
    </row>
    <row r="1888" spans="1:12" ht="15.75">
      <c r="A1888" s="105">
        <v>1802</v>
      </c>
      <c r="B1888" s="125"/>
      <c r="C1888" s="125"/>
      <c r="D1888" s="41" t="s">
        <v>2864</v>
      </c>
      <c r="E1888" s="217" t="s">
        <v>681</v>
      </c>
      <c r="F1888" s="112"/>
      <c r="G1888" s="112"/>
      <c r="H1888" s="112"/>
      <c r="I1888" s="41" t="s">
        <v>267</v>
      </c>
      <c r="J1888" s="41" t="s">
        <v>1110</v>
      </c>
      <c r="K1888" s="57">
        <v>30</v>
      </c>
      <c r="L1888" s="58">
        <v>30</v>
      </c>
    </row>
    <row r="1889" spans="1:12" ht="15.75">
      <c r="A1889" s="105">
        <v>1803</v>
      </c>
      <c r="B1889" s="125"/>
      <c r="C1889" s="125"/>
      <c r="D1889" s="41" t="s">
        <v>2865</v>
      </c>
      <c r="E1889" s="217" t="s">
        <v>681</v>
      </c>
      <c r="F1889" s="112"/>
      <c r="G1889" s="112"/>
      <c r="H1889" s="112"/>
      <c r="I1889" s="41" t="s">
        <v>267</v>
      </c>
      <c r="J1889" s="41" t="s">
        <v>1110</v>
      </c>
      <c r="K1889" s="57">
        <v>30</v>
      </c>
      <c r="L1889" s="58">
        <v>30</v>
      </c>
    </row>
    <row r="1890" spans="1:12" ht="15.75">
      <c r="A1890" s="105">
        <v>1804</v>
      </c>
      <c r="B1890" s="125"/>
      <c r="C1890" s="125"/>
      <c r="D1890" s="41" t="s">
        <v>2636</v>
      </c>
      <c r="E1890" s="217" t="s">
        <v>681</v>
      </c>
      <c r="F1890" s="112"/>
      <c r="G1890" s="112"/>
      <c r="H1890" s="112"/>
      <c r="I1890" s="41" t="s">
        <v>267</v>
      </c>
      <c r="J1890" s="41" t="s">
        <v>1110</v>
      </c>
      <c r="K1890" s="57">
        <v>30</v>
      </c>
      <c r="L1890" s="58">
        <v>30</v>
      </c>
    </row>
    <row r="1891" spans="1:12" ht="15.75">
      <c r="A1891" s="105">
        <v>1805</v>
      </c>
      <c r="B1891" s="125"/>
      <c r="C1891" s="125"/>
      <c r="D1891" s="41" t="s">
        <v>2866</v>
      </c>
      <c r="E1891" s="217" t="s">
        <v>681</v>
      </c>
      <c r="F1891" s="112"/>
      <c r="G1891" s="112"/>
      <c r="H1891" s="112"/>
      <c r="I1891" s="41" t="s">
        <v>267</v>
      </c>
      <c r="J1891" s="41" t="s">
        <v>1110</v>
      </c>
      <c r="K1891" s="57">
        <v>30</v>
      </c>
      <c r="L1891" s="58">
        <v>30</v>
      </c>
    </row>
    <row r="1892" spans="1:12" ht="15.75">
      <c r="A1892" s="105">
        <v>1806</v>
      </c>
      <c r="B1892" s="125"/>
      <c r="C1892" s="125"/>
      <c r="D1892" s="41" t="s">
        <v>2867</v>
      </c>
      <c r="E1892" s="217" t="s">
        <v>681</v>
      </c>
      <c r="F1892" s="112"/>
      <c r="G1892" s="112"/>
      <c r="H1892" s="112"/>
      <c r="I1892" s="41" t="s">
        <v>267</v>
      </c>
      <c r="J1892" s="41" t="s">
        <v>1110</v>
      </c>
      <c r="K1892" s="57">
        <v>30</v>
      </c>
      <c r="L1892" s="58">
        <v>30</v>
      </c>
    </row>
    <row r="1893" spans="1:12" ht="15.75">
      <c r="A1893" s="105">
        <v>1807</v>
      </c>
      <c r="B1893" s="125"/>
      <c r="C1893" s="125"/>
      <c r="D1893" s="41" t="s">
        <v>2868</v>
      </c>
      <c r="E1893" s="217" t="s">
        <v>681</v>
      </c>
      <c r="F1893" s="112"/>
      <c r="G1893" s="112"/>
      <c r="H1893" s="112"/>
      <c r="I1893" s="41" t="s">
        <v>267</v>
      </c>
      <c r="J1893" s="41" t="s">
        <v>1110</v>
      </c>
      <c r="K1893" s="57">
        <v>30</v>
      </c>
      <c r="L1893" s="58">
        <v>30</v>
      </c>
    </row>
    <row r="1894" spans="1:12" ht="15.75">
      <c r="A1894" s="105">
        <v>1808</v>
      </c>
      <c r="B1894" s="125"/>
      <c r="C1894" s="125"/>
      <c r="D1894" s="41" t="s">
        <v>2869</v>
      </c>
      <c r="E1894" s="217" t="s">
        <v>681</v>
      </c>
      <c r="F1894" s="112"/>
      <c r="G1894" s="112"/>
      <c r="H1894" s="112"/>
      <c r="I1894" s="41" t="s">
        <v>267</v>
      </c>
      <c r="J1894" s="41" t="s">
        <v>1110</v>
      </c>
      <c r="K1894" s="57">
        <v>30</v>
      </c>
      <c r="L1894" s="58">
        <v>30</v>
      </c>
    </row>
    <row r="1895" spans="1:12" ht="15.75">
      <c r="A1895" s="105">
        <v>1809</v>
      </c>
      <c r="B1895" s="125"/>
      <c r="C1895" s="125"/>
      <c r="D1895" s="41" t="s">
        <v>2870</v>
      </c>
      <c r="E1895" s="217" t="s">
        <v>681</v>
      </c>
      <c r="F1895" s="112"/>
      <c r="G1895" s="112"/>
      <c r="H1895" s="112"/>
      <c r="I1895" s="41" t="s">
        <v>267</v>
      </c>
      <c r="J1895" s="41" t="s">
        <v>1110</v>
      </c>
      <c r="K1895" s="57">
        <v>30</v>
      </c>
      <c r="L1895" s="58">
        <v>30</v>
      </c>
    </row>
    <row r="1896" spans="1:12" ht="15.75">
      <c r="A1896" s="105">
        <v>1810</v>
      </c>
      <c r="B1896" s="125"/>
      <c r="C1896" s="125"/>
      <c r="D1896" s="41" t="s">
        <v>2505</v>
      </c>
      <c r="E1896" s="217" t="s">
        <v>681</v>
      </c>
      <c r="F1896" s="112"/>
      <c r="G1896" s="112"/>
      <c r="H1896" s="112"/>
      <c r="I1896" s="41" t="s">
        <v>267</v>
      </c>
      <c r="J1896" s="41" t="s">
        <v>1110</v>
      </c>
      <c r="K1896" s="57">
        <v>30</v>
      </c>
      <c r="L1896" s="58">
        <v>30</v>
      </c>
    </row>
    <row r="1897" spans="1:12" ht="15.75">
      <c r="A1897" s="105">
        <v>1811</v>
      </c>
      <c r="B1897" s="125"/>
      <c r="C1897" s="125"/>
      <c r="D1897" s="41" t="s">
        <v>2871</v>
      </c>
      <c r="E1897" s="217" t="s">
        <v>681</v>
      </c>
      <c r="F1897" s="112"/>
      <c r="G1897" s="112"/>
      <c r="H1897" s="112"/>
      <c r="I1897" s="41" t="s">
        <v>267</v>
      </c>
      <c r="J1897" s="41" t="s">
        <v>1110</v>
      </c>
      <c r="K1897" s="57">
        <v>30</v>
      </c>
      <c r="L1897" s="58">
        <v>30</v>
      </c>
    </row>
    <row r="1898" spans="1:12" ht="15.75">
      <c r="A1898" s="105">
        <v>1812</v>
      </c>
      <c r="B1898" s="125"/>
      <c r="C1898" s="125"/>
      <c r="D1898" s="41" t="s">
        <v>2872</v>
      </c>
      <c r="E1898" s="217" t="s">
        <v>681</v>
      </c>
      <c r="F1898" s="112"/>
      <c r="G1898" s="112"/>
      <c r="H1898" s="112"/>
      <c r="I1898" s="41" t="s">
        <v>267</v>
      </c>
      <c r="J1898" s="41" t="s">
        <v>1110</v>
      </c>
      <c r="K1898" s="57">
        <v>30</v>
      </c>
      <c r="L1898" s="58">
        <v>30</v>
      </c>
    </row>
    <row r="1899" spans="1:12" ht="15.75">
      <c r="A1899" s="105">
        <v>1813</v>
      </c>
      <c r="B1899" s="125"/>
      <c r="C1899" s="125"/>
      <c r="D1899" s="41" t="s">
        <v>217</v>
      </c>
      <c r="E1899" s="217" t="s">
        <v>681</v>
      </c>
      <c r="F1899" s="112"/>
      <c r="G1899" s="112"/>
      <c r="H1899" s="112"/>
      <c r="I1899" s="41" t="s">
        <v>267</v>
      </c>
      <c r="J1899" s="41" t="s">
        <v>1110</v>
      </c>
      <c r="K1899" s="57">
        <v>30</v>
      </c>
      <c r="L1899" s="58">
        <v>30</v>
      </c>
    </row>
    <row r="1900" spans="1:12" ht="15.75">
      <c r="A1900" s="105">
        <v>1814</v>
      </c>
      <c r="B1900" s="125"/>
      <c r="C1900" s="125"/>
      <c r="D1900" s="41" t="s">
        <v>2873</v>
      </c>
      <c r="E1900" s="217" t="s">
        <v>681</v>
      </c>
      <c r="F1900" s="112"/>
      <c r="G1900" s="112"/>
      <c r="H1900" s="112"/>
      <c r="I1900" s="41" t="s">
        <v>267</v>
      </c>
      <c r="J1900" s="41" t="s">
        <v>1110</v>
      </c>
      <c r="K1900" s="57">
        <v>30</v>
      </c>
      <c r="L1900" s="58">
        <v>30</v>
      </c>
    </row>
    <row r="1901" spans="1:12" ht="15.75">
      <c r="A1901" s="105">
        <v>1815</v>
      </c>
      <c r="B1901" s="125"/>
      <c r="C1901" s="125"/>
      <c r="D1901" s="41" t="s">
        <v>2874</v>
      </c>
      <c r="E1901" s="217" t="s">
        <v>681</v>
      </c>
      <c r="F1901" s="112"/>
      <c r="G1901" s="112"/>
      <c r="H1901" s="112"/>
      <c r="I1901" s="41" t="s">
        <v>267</v>
      </c>
      <c r="J1901" s="41" t="s">
        <v>1110</v>
      </c>
      <c r="K1901" s="57">
        <v>30</v>
      </c>
      <c r="L1901" s="58">
        <v>30</v>
      </c>
    </row>
    <row r="1902" spans="1:12" ht="15.75">
      <c r="A1902" s="105">
        <v>1816</v>
      </c>
      <c r="B1902" s="125"/>
      <c r="C1902" s="125"/>
      <c r="D1902" s="41" t="s">
        <v>2875</v>
      </c>
      <c r="E1902" s="217" t="s">
        <v>681</v>
      </c>
      <c r="F1902" s="112"/>
      <c r="G1902" s="112"/>
      <c r="H1902" s="112"/>
      <c r="I1902" s="41" t="s">
        <v>267</v>
      </c>
      <c r="J1902" s="41" t="s">
        <v>1110</v>
      </c>
      <c r="K1902" s="57">
        <v>30</v>
      </c>
      <c r="L1902" s="58">
        <v>30</v>
      </c>
    </row>
    <row r="1903" spans="1:12" ht="15.75">
      <c r="A1903" s="105">
        <v>1817</v>
      </c>
      <c r="B1903" s="125"/>
      <c r="C1903" s="125"/>
      <c r="D1903" s="41" t="s">
        <v>2876</v>
      </c>
      <c r="E1903" s="217" t="s">
        <v>681</v>
      </c>
      <c r="F1903" s="112"/>
      <c r="G1903" s="112"/>
      <c r="H1903" s="112"/>
      <c r="I1903" s="41" t="s">
        <v>267</v>
      </c>
      <c r="J1903" s="41" t="s">
        <v>1110</v>
      </c>
      <c r="K1903" s="57">
        <v>30</v>
      </c>
      <c r="L1903" s="58">
        <v>30</v>
      </c>
    </row>
    <row r="1904" spans="1:12" ht="15.75">
      <c r="A1904" s="105">
        <v>1818</v>
      </c>
      <c r="B1904" s="125"/>
      <c r="C1904" s="125"/>
      <c r="D1904" s="41" t="s">
        <v>5186</v>
      </c>
      <c r="E1904" s="217" t="s">
        <v>681</v>
      </c>
      <c r="F1904" s="112"/>
      <c r="G1904" s="112"/>
      <c r="H1904" s="112"/>
      <c r="I1904" s="41" t="s">
        <v>267</v>
      </c>
      <c r="J1904" s="41" t="s">
        <v>1110</v>
      </c>
      <c r="K1904" s="57">
        <v>30</v>
      </c>
      <c r="L1904" s="58">
        <v>30</v>
      </c>
    </row>
    <row r="1905" spans="1:12" ht="15.75">
      <c r="A1905" s="105">
        <v>1819</v>
      </c>
      <c r="B1905" s="125"/>
      <c r="C1905" s="125"/>
      <c r="D1905" s="41" t="s">
        <v>5185</v>
      </c>
      <c r="E1905" s="217" t="s">
        <v>681</v>
      </c>
      <c r="F1905" s="112"/>
      <c r="G1905" s="112"/>
      <c r="H1905" s="112"/>
      <c r="I1905" s="41" t="s">
        <v>267</v>
      </c>
      <c r="J1905" s="41" t="s">
        <v>1110</v>
      </c>
      <c r="K1905" s="57">
        <v>30</v>
      </c>
      <c r="L1905" s="58">
        <v>30</v>
      </c>
    </row>
    <row r="1906" spans="1:12" ht="15.75">
      <c r="A1906" s="105">
        <v>1820</v>
      </c>
      <c r="B1906" s="125"/>
      <c r="C1906" s="125"/>
      <c r="D1906" s="41" t="s">
        <v>2879</v>
      </c>
      <c r="E1906" s="217" t="s">
        <v>681</v>
      </c>
      <c r="F1906" s="112"/>
      <c r="G1906" s="112"/>
      <c r="H1906" s="112"/>
      <c r="I1906" s="41" t="s">
        <v>267</v>
      </c>
      <c r="J1906" s="41" t="s">
        <v>1110</v>
      </c>
      <c r="K1906" s="57">
        <v>30</v>
      </c>
      <c r="L1906" s="58">
        <v>30</v>
      </c>
    </row>
    <row r="1907" spans="1:12" ht="15.75">
      <c r="A1907" s="105">
        <v>1821</v>
      </c>
      <c r="B1907" s="125"/>
      <c r="C1907" s="125"/>
      <c r="D1907" s="41" t="s">
        <v>2661</v>
      </c>
      <c r="E1907" s="217" t="s">
        <v>681</v>
      </c>
      <c r="F1907" s="112"/>
      <c r="G1907" s="112"/>
      <c r="H1907" s="112"/>
      <c r="I1907" s="41" t="s">
        <v>267</v>
      </c>
      <c r="J1907" s="41" t="s">
        <v>1110</v>
      </c>
      <c r="K1907" s="57">
        <v>30</v>
      </c>
      <c r="L1907" s="58">
        <v>30</v>
      </c>
    </row>
    <row r="1908" spans="1:12" ht="15.75">
      <c r="A1908" s="105">
        <v>1822</v>
      </c>
      <c r="B1908" s="125"/>
      <c r="C1908" s="125"/>
      <c r="D1908" s="41" t="s">
        <v>2880</v>
      </c>
      <c r="E1908" s="217" t="s">
        <v>681</v>
      </c>
      <c r="F1908" s="112"/>
      <c r="G1908" s="112"/>
      <c r="H1908" s="112"/>
      <c r="I1908" s="41" t="s">
        <v>267</v>
      </c>
      <c r="J1908" s="41" t="s">
        <v>1110</v>
      </c>
      <c r="K1908" s="57">
        <v>30</v>
      </c>
      <c r="L1908" s="58">
        <v>30</v>
      </c>
    </row>
    <row r="1909" spans="1:12" ht="15.75">
      <c r="A1909" s="105">
        <v>1823</v>
      </c>
      <c r="B1909" s="125"/>
      <c r="C1909" s="125"/>
      <c r="D1909" s="41" t="s">
        <v>2881</v>
      </c>
      <c r="E1909" s="217" t="s">
        <v>681</v>
      </c>
      <c r="F1909" s="112"/>
      <c r="G1909" s="112"/>
      <c r="H1909" s="112"/>
      <c r="I1909" s="41" t="s">
        <v>267</v>
      </c>
      <c r="J1909" s="41" t="s">
        <v>1110</v>
      </c>
      <c r="K1909" s="57">
        <v>30</v>
      </c>
      <c r="L1909" s="58">
        <v>30</v>
      </c>
    </row>
    <row r="1910" spans="1:12" ht="15.75">
      <c r="A1910" s="105">
        <v>1824</v>
      </c>
      <c r="B1910" s="125"/>
      <c r="C1910" s="125"/>
      <c r="D1910" s="41" t="s">
        <v>2882</v>
      </c>
      <c r="E1910" s="217" t="s">
        <v>681</v>
      </c>
      <c r="F1910" s="41"/>
      <c r="G1910" s="41"/>
      <c r="H1910" s="41"/>
      <c r="I1910" s="41" t="s">
        <v>267</v>
      </c>
      <c r="J1910" s="41" t="s">
        <v>1110</v>
      </c>
      <c r="K1910" s="57">
        <v>30</v>
      </c>
      <c r="L1910" s="58">
        <v>30</v>
      </c>
    </row>
    <row r="1911" spans="1:12" ht="15.75">
      <c r="A1911" s="105">
        <v>1825</v>
      </c>
      <c r="B1911" s="125"/>
      <c r="C1911" s="125"/>
      <c r="D1911" s="153">
        <v>4244330010</v>
      </c>
      <c r="E1911" s="219" t="s">
        <v>2883</v>
      </c>
      <c r="F1911" s="41"/>
      <c r="G1911" s="41"/>
      <c r="H1911" s="41"/>
      <c r="I1911" s="41" t="s">
        <v>310</v>
      </c>
      <c r="J1911" s="110" t="s">
        <v>5287</v>
      </c>
      <c r="K1911" s="57">
        <v>30</v>
      </c>
      <c r="L1911" s="58">
        <v>30</v>
      </c>
    </row>
    <row r="1912" spans="1:12" ht="15.75">
      <c r="A1912" s="105">
        <v>1826</v>
      </c>
      <c r="B1912" s="125"/>
      <c r="C1912" s="125"/>
      <c r="D1912" s="153">
        <v>4244355020</v>
      </c>
      <c r="E1912" s="219" t="s">
        <v>2884</v>
      </c>
      <c r="F1912" s="41"/>
      <c r="G1912" s="41"/>
      <c r="H1912" s="41"/>
      <c r="I1912" s="41" t="s">
        <v>310</v>
      </c>
      <c r="J1912" s="110" t="s">
        <v>5287</v>
      </c>
      <c r="K1912" s="57">
        <v>30</v>
      </c>
      <c r="L1912" s="58">
        <v>30</v>
      </c>
    </row>
    <row r="1913" spans="1:12" ht="15.75">
      <c r="A1913" s="105">
        <v>1827</v>
      </c>
      <c r="B1913" s="125"/>
      <c r="C1913" s="125"/>
      <c r="D1913" s="146" t="s">
        <v>2885</v>
      </c>
      <c r="E1913" s="213" t="s">
        <v>1188</v>
      </c>
      <c r="F1913" s="41"/>
      <c r="G1913" s="41"/>
      <c r="H1913" s="41"/>
      <c r="I1913" s="41" t="s">
        <v>260</v>
      </c>
      <c r="J1913" s="41" t="s">
        <v>237</v>
      </c>
      <c r="K1913" s="57">
        <v>30</v>
      </c>
      <c r="L1913" s="58">
        <v>30</v>
      </c>
    </row>
    <row r="1914" spans="1:12" ht="15.75">
      <c r="A1914" s="105">
        <v>1828</v>
      </c>
      <c r="B1914" s="125"/>
      <c r="C1914" s="125"/>
      <c r="D1914" s="146" t="s">
        <v>2886</v>
      </c>
      <c r="E1914" s="213" t="s">
        <v>1188</v>
      </c>
      <c r="F1914" s="41"/>
      <c r="G1914" s="41"/>
      <c r="H1914" s="41"/>
      <c r="I1914" s="8" t="s">
        <v>317</v>
      </c>
      <c r="J1914" s="41" t="s">
        <v>237</v>
      </c>
      <c r="K1914" s="57">
        <v>30</v>
      </c>
      <c r="L1914" s="58">
        <v>30</v>
      </c>
    </row>
    <row r="1915" spans="1:12" ht="15.75">
      <c r="A1915" s="105">
        <v>1829</v>
      </c>
      <c r="B1915" s="125"/>
      <c r="C1915" s="125"/>
      <c r="D1915" s="146" t="s">
        <v>2887</v>
      </c>
      <c r="E1915" s="213" t="s">
        <v>1188</v>
      </c>
      <c r="F1915" s="41"/>
      <c r="G1915" s="41"/>
      <c r="H1915" s="41"/>
      <c r="I1915" s="41" t="s">
        <v>2763</v>
      </c>
      <c r="J1915" s="41" t="s">
        <v>237</v>
      </c>
      <c r="K1915" s="57">
        <v>30</v>
      </c>
      <c r="L1915" s="58">
        <v>30</v>
      </c>
    </row>
    <row r="1916" spans="1:12" ht="15.75">
      <c r="A1916" s="105">
        <v>1830</v>
      </c>
      <c r="B1916" s="125"/>
      <c r="C1916" s="125"/>
      <c r="D1916" s="146" t="s">
        <v>2888</v>
      </c>
      <c r="E1916" s="213" t="s">
        <v>1188</v>
      </c>
      <c r="F1916" s="41"/>
      <c r="G1916" s="41"/>
      <c r="H1916" s="41"/>
      <c r="I1916" s="41" t="s">
        <v>2763</v>
      </c>
      <c r="J1916" s="41" t="s">
        <v>2890</v>
      </c>
      <c r="K1916" s="57">
        <v>100</v>
      </c>
      <c r="L1916" s="58">
        <v>100</v>
      </c>
    </row>
    <row r="1917" spans="1:12" ht="15.75">
      <c r="A1917" s="105">
        <v>1831</v>
      </c>
      <c r="B1917" s="125"/>
      <c r="C1917" s="125"/>
      <c r="D1917" s="146" t="s">
        <v>2889</v>
      </c>
      <c r="E1917" s="213" t="s">
        <v>1188</v>
      </c>
      <c r="F1917" s="41"/>
      <c r="G1917" s="41"/>
      <c r="H1917" s="41"/>
      <c r="I1917" s="41" t="s">
        <v>2763</v>
      </c>
      <c r="J1917" s="41" t="s">
        <v>2890</v>
      </c>
      <c r="K1917" s="57">
        <v>100</v>
      </c>
      <c r="L1917" s="58">
        <v>100</v>
      </c>
    </row>
    <row r="1918" spans="1:12" ht="15.75">
      <c r="A1918" s="105">
        <v>1832</v>
      </c>
      <c r="B1918" s="125"/>
      <c r="C1918" s="125"/>
      <c r="D1918" s="146" t="s">
        <v>2891</v>
      </c>
      <c r="E1918" s="213" t="s">
        <v>1014</v>
      </c>
      <c r="F1918" s="41"/>
      <c r="G1918" s="41"/>
      <c r="H1918" s="41"/>
      <c r="I1918" s="41" t="s">
        <v>2763</v>
      </c>
      <c r="J1918" s="41" t="s">
        <v>2632</v>
      </c>
      <c r="K1918" s="57">
        <v>30</v>
      </c>
      <c r="L1918" s="58">
        <v>30</v>
      </c>
    </row>
    <row r="1919" spans="1:12" ht="15.75">
      <c r="A1919" s="105">
        <v>1833</v>
      </c>
      <c r="B1919" s="125"/>
      <c r="C1919" s="125"/>
      <c r="D1919" s="146" t="s">
        <v>2892</v>
      </c>
      <c r="E1919" s="213" t="s">
        <v>2903</v>
      </c>
      <c r="F1919" s="41"/>
      <c r="G1919" s="41"/>
      <c r="H1919" s="41"/>
      <c r="I1919" s="41" t="s">
        <v>2763</v>
      </c>
      <c r="J1919" s="41" t="s">
        <v>2632</v>
      </c>
      <c r="K1919" s="57">
        <v>30</v>
      </c>
      <c r="L1919" s="58">
        <v>30</v>
      </c>
    </row>
    <row r="1920" spans="1:12" ht="15.75">
      <c r="A1920" s="105">
        <v>1834</v>
      </c>
      <c r="B1920" s="125"/>
      <c r="C1920" s="125"/>
      <c r="D1920" s="146" t="s">
        <v>2893</v>
      </c>
      <c r="E1920" s="213" t="s">
        <v>2904</v>
      </c>
      <c r="F1920" s="41"/>
      <c r="G1920" s="41"/>
      <c r="H1920" s="41"/>
      <c r="I1920" s="41" t="s">
        <v>2763</v>
      </c>
      <c r="J1920" s="41" t="s">
        <v>2632</v>
      </c>
      <c r="K1920" s="57">
        <v>30</v>
      </c>
      <c r="L1920" s="58">
        <v>30</v>
      </c>
    </row>
    <row r="1921" spans="1:12" ht="15.75">
      <c r="A1921" s="105">
        <v>1835</v>
      </c>
      <c r="B1921" s="125"/>
      <c r="C1921" s="125"/>
      <c r="D1921" s="146" t="s">
        <v>2894</v>
      </c>
      <c r="E1921" s="213" t="s">
        <v>1014</v>
      </c>
      <c r="F1921" s="41"/>
      <c r="G1921" s="41"/>
      <c r="H1921" s="41"/>
      <c r="I1921" s="41" t="s">
        <v>2763</v>
      </c>
      <c r="J1921" s="41" t="s">
        <v>2632</v>
      </c>
      <c r="K1921" s="57">
        <v>30</v>
      </c>
      <c r="L1921" s="58">
        <v>30</v>
      </c>
    </row>
    <row r="1922" spans="1:12" ht="15.75">
      <c r="A1922" s="105">
        <v>1836</v>
      </c>
      <c r="B1922" s="125"/>
      <c r="C1922" s="125"/>
      <c r="D1922" s="146" t="s">
        <v>2895</v>
      </c>
      <c r="E1922" s="213" t="s">
        <v>2903</v>
      </c>
      <c r="F1922" s="41"/>
      <c r="G1922" s="41"/>
      <c r="H1922" s="41"/>
      <c r="I1922" s="41" t="s">
        <v>2763</v>
      </c>
      <c r="J1922" s="41" t="s">
        <v>2632</v>
      </c>
      <c r="K1922" s="57">
        <v>30</v>
      </c>
      <c r="L1922" s="58">
        <v>30</v>
      </c>
    </row>
    <row r="1923" spans="1:12" ht="15.75">
      <c r="A1923" s="105">
        <v>1837</v>
      </c>
      <c r="B1923" s="125"/>
      <c r="C1923" s="125"/>
      <c r="D1923" s="146" t="s">
        <v>2896</v>
      </c>
      <c r="E1923" s="213" t="s">
        <v>2904</v>
      </c>
      <c r="F1923" s="41"/>
      <c r="G1923" s="41"/>
      <c r="H1923" s="41"/>
      <c r="I1923" s="41" t="s">
        <v>2763</v>
      </c>
      <c r="J1923" s="41" t="s">
        <v>2632</v>
      </c>
      <c r="K1923" s="57">
        <v>30</v>
      </c>
      <c r="L1923" s="58">
        <v>30</v>
      </c>
    </row>
    <row r="1924" spans="1:12" ht="15.75">
      <c r="A1924" s="105">
        <v>1838</v>
      </c>
      <c r="B1924" s="125"/>
      <c r="C1924" s="125"/>
      <c r="D1924" s="146" t="s">
        <v>2897</v>
      </c>
      <c r="E1924" s="213" t="s">
        <v>1014</v>
      </c>
      <c r="F1924" s="41"/>
      <c r="G1924" s="41"/>
      <c r="H1924" s="41"/>
      <c r="I1924" s="41" t="s">
        <v>2763</v>
      </c>
      <c r="J1924" s="41" t="s">
        <v>2632</v>
      </c>
      <c r="K1924" s="57">
        <v>30</v>
      </c>
      <c r="L1924" s="58">
        <v>30</v>
      </c>
    </row>
    <row r="1925" spans="1:12" ht="15.75">
      <c r="A1925" s="105">
        <v>1839</v>
      </c>
      <c r="B1925" s="125"/>
      <c r="C1925" s="125"/>
      <c r="D1925" s="146" t="s">
        <v>2898</v>
      </c>
      <c r="E1925" s="213" t="s">
        <v>2903</v>
      </c>
      <c r="F1925" s="41"/>
      <c r="G1925" s="41"/>
      <c r="H1925" s="41"/>
      <c r="I1925" s="41" t="s">
        <v>2763</v>
      </c>
      <c r="J1925" s="41" t="s">
        <v>2632</v>
      </c>
      <c r="K1925" s="57">
        <v>30</v>
      </c>
      <c r="L1925" s="58">
        <v>30</v>
      </c>
    </row>
    <row r="1926" spans="1:12" ht="15.75">
      <c r="A1926" s="105">
        <v>1840</v>
      </c>
      <c r="B1926" s="125"/>
      <c r="C1926" s="125"/>
      <c r="D1926" s="146" t="s">
        <v>2899</v>
      </c>
      <c r="E1926" s="213" t="s">
        <v>2904</v>
      </c>
      <c r="F1926" s="41"/>
      <c r="G1926" s="41"/>
      <c r="H1926" s="41"/>
      <c r="I1926" s="41" t="s">
        <v>2763</v>
      </c>
      <c r="J1926" s="41" t="s">
        <v>2632</v>
      </c>
      <c r="K1926" s="57">
        <v>30</v>
      </c>
      <c r="L1926" s="58">
        <v>30</v>
      </c>
    </row>
    <row r="1927" spans="1:12" ht="15.75">
      <c r="A1927" s="105">
        <v>1841</v>
      </c>
      <c r="B1927" s="125"/>
      <c r="C1927" s="125"/>
      <c r="D1927" s="146" t="s">
        <v>2900</v>
      </c>
      <c r="E1927" s="213" t="s">
        <v>1014</v>
      </c>
      <c r="F1927" s="41"/>
      <c r="G1927" s="41"/>
      <c r="H1927" s="41"/>
      <c r="I1927" s="41" t="s">
        <v>2763</v>
      </c>
      <c r="J1927" s="41" t="s">
        <v>2632</v>
      </c>
      <c r="K1927" s="57">
        <v>30</v>
      </c>
      <c r="L1927" s="58">
        <v>30</v>
      </c>
    </row>
    <row r="1928" spans="1:12" ht="15.75">
      <c r="A1928" s="105">
        <v>1842</v>
      </c>
      <c r="B1928" s="125"/>
      <c r="C1928" s="125"/>
      <c r="D1928" s="146" t="s">
        <v>2901</v>
      </c>
      <c r="E1928" s="213" t="s">
        <v>2903</v>
      </c>
      <c r="F1928" s="41"/>
      <c r="G1928" s="41"/>
      <c r="H1928" s="41"/>
      <c r="I1928" s="41" t="s">
        <v>2763</v>
      </c>
      <c r="J1928" s="41" t="s">
        <v>2632</v>
      </c>
      <c r="K1928" s="57">
        <v>30</v>
      </c>
      <c r="L1928" s="58">
        <v>30</v>
      </c>
    </row>
    <row r="1929" spans="1:12" ht="15.75">
      <c r="A1929" s="105">
        <v>1843</v>
      </c>
      <c r="B1929" s="125"/>
      <c r="C1929" s="125"/>
      <c r="D1929" s="146" t="s">
        <v>2902</v>
      </c>
      <c r="E1929" s="213" t="s">
        <v>2904</v>
      </c>
      <c r="F1929" s="41"/>
      <c r="G1929" s="41"/>
      <c r="H1929" s="41"/>
      <c r="I1929" s="41" t="s">
        <v>2763</v>
      </c>
      <c r="J1929" s="41" t="s">
        <v>2632</v>
      </c>
      <c r="K1929" s="57">
        <v>30</v>
      </c>
      <c r="L1929" s="58">
        <v>30</v>
      </c>
    </row>
    <row r="1930" spans="1:12" ht="15.75">
      <c r="A1930" s="105">
        <v>1844</v>
      </c>
      <c r="B1930" s="125"/>
      <c r="C1930" s="125"/>
      <c r="D1930" s="41" t="s">
        <v>2905</v>
      </c>
      <c r="E1930" s="194" t="s">
        <v>2919</v>
      </c>
      <c r="F1930" s="41"/>
      <c r="G1930" s="41" t="s">
        <v>2905</v>
      </c>
      <c r="H1930" s="107">
        <v>6570</v>
      </c>
      <c r="I1930" s="41" t="s">
        <v>1444</v>
      </c>
      <c r="J1930" s="41" t="s">
        <v>1864</v>
      </c>
      <c r="K1930" s="57">
        <v>30</v>
      </c>
      <c r="L1930" s="58">
        <v>30</v>
      </c>
    </row>
    <row r="1931" spans="1:12" ht="15.75">
      <c r="A1931" s="105">
        <v>1845</v>
      </c>
      <c r="B1931" s="125"/>
      <c r="C1931" s="125"/>
      <c r="D1931" s="41" t="s">
        <v>2906</v>
      </c>
      <c r="E1931" s="194" t="s">
        <v>2919</v>
      </c>
      <c r="F1931" s="41"/>
      <c r="G1931" s="41" t="s">
        <v>2906</v>
      </c>
      <c r="H1931" s="107">
        <v>6570</v>
      </c>
      <c r="I1931" s="41" t="s">
        <v>1444</v>
      </c>
      <c r="J1931" s="41" t="s">
        <v>1864</v>
      </c>
      <c r="K1931" s="57">
        <v>30</v>
      </c>
      <c r="L1931" s="58">
        <v>30</v>
      </c>
    </row>
    <row r="1932" spans="1:12" ht="15.75">
      <c r="A1932" s="105">
        <v>1846</v>
      </c>
      <c r="B1932" s="125"/>
      <c r="C1932" s="125"/>
      <c r="D1932" s="41" t="s">
        <v>2907</v>
      </c>
      <c r="E1932" s="194" t="s">
        <v>2919</v>
      </c>
      <c r="F1932" s="41"/>
      <c r="G1932" s="41" t="s">
        <v>2907</v>
      </c>
      <c r="H1932" s="107">
        <v>6570</v>
      </c>
      <c r="I1932" s="41" t="s">
        <v>1444</v>
      </c>
      <c r="J1932" s="41" t="s">
        <v>1864</v>
      </c>
      <c r="K1932" s="57">
        <v>30</v>
      </c>
      <c r="L1932" s="58">
        <v>30</v>
      </c>
    </row>
    <row r="1933" spans="1:12" ht="15.75">
      <c r="A1933" s="105">
        <v>1847</v>
      </c>
      <c r="B1933" s="125"/>
      <c r="C1933" s="125"/>
      <c r="D1933" s="41" t="s">
        <v>2908</v>
      </c>
      <c r="E1933" s="194" t="s">
        <v>2919</v>
      </c>
      <c r="F1933" s="41"/>
      <c r="G1933" s="41" t="s">
        <v>2908</v>
      </c>
      <c r="H1933" s="107">
        <v>6570</v>
      </c>
      <c r="I1933" s="41" t="s">
        <v>1444</v>
      </c>
      <c r="J1933" s="41" t="s">
        <v>1864</v>
      </c>
      <c r="K1933" s="57">
        <v>30</v>
      </c>
      <c r="L1933" s="58">
        <v>30</v>
      </c>
    </row>
    <row r="1934" spans="1:12" ht="15.75">
      <c r="A1934" s="105">
        <v>1848</v>
      </c>
      <c r="B1934" s="125"/>
      <c r="C1934" s="125"/>
      <c r="D1934" s="41" t="s">
        <v>2909</v>
      </c>
      <c r="E1934" s="194" t="s">
        <v>2919</v>
      </c>
      <c r="F1934" s="41"/>
      <c r="G1934" s="41" t="s">
        <v>2909</v>
      </c>
      <c r="H1934" s="107">
        <v>6570</v>
      </c>
      <c r="I1934" s="41" t="s">
        <v>1444</v>
      </c>
      <c r="J1934" s="41" t="s">
        <v>1864</v>
      </c>
      <c r="K1934" s="57">
        <v>30</v>
      </c>
      <c r="L1934" s="58">
        <v>30</v>
      </c>
    </row>
    <row r="1935" spans="1:12" ht="15.75">
      <c r="A1935" s="105">
        <v>1849</v>
      </c>
      <c r="B1935" s="125"/>
      <c r="C1935" s="125"/>
      <c r="D1935" s="41" t="s">
        <v>2910</v>
      </c>
      <c r="E1935" s="194" t="s">
        <v>2919</v>
      </c>
      <c r="F1935" s="41"/>
      <c r="G1935" s="41" t="s">
        <v>2910</v>
      </c>
      <c r="H1935" s="107">
        <v>6570</v>
      </c>
      <c r="I1935" s="41" t="s">
        <v>1444</v>
      </c>
      <c r="J1935" s="41" t="s">
        <v>1864</v>
      </c>
      <c r="K1935" s="57">
        <v>30</v>
      </c>
      <c r="L1935" s="58">
        <v>30</v>
      </c>
    </row>
    <row r="1936" spans="1:12" ht="15.75">
      <c r="A1936" s="105">
        <v>1850</v>
      </c>
      <c r="B1936" s="125"/>
      <c r="C1936" s="125"/>
      <c r="D1936" s="41" t="s">
        <v>2911</v>
      </c>
      <c r="E1936" s="194" t="s">
        <v>2919</v>
      </c>
      <c r="F1936" s="41"/>
      <c r="G1936" s="41" t="s">
        <v>2911</v>
      </c>
      <c r="H1936" s="107">
        <v>6570</v>
      </c>
      <c r="I1936" s="41" t="s">
        <v>1444</v>
      </c>
      <c r="J1936" s="41" t="s">
        <v>1864</v>
      </c>
      <c r="K1936" s="57">
        <v>30</v>
      </c>
      <c r="L1936" s="58">
        <v>30</v>
      </c>
    </row>
    <row r="1937" spans="1:12" ht="15.75">
      <c r="A1937" s="105">
        <v>1851</v>
      </c>
      <c r="B1937" s="125"/>
      <c r="C1937" s="125"/>
      <c r="D1937" s="41" t="s">
        <v>2912</v>
      </c>
      <c r="E1937" s="194" t="s">
        <v>2919</v>
      </c>
      <c r="F1937" s="41"/>
      <c r="G1937" s="41" t="s">
        <v>2912</v>
      </c>
      <c r="H1937" s="107">
        <v>6570</v>
      </c>
      <c r="I1937" s="41" t="s">
        <v>1444</v>
      </c>
      <c r="J1937" s="41" t="s">
        <v>1864</v>
      </c>
      <c r="K1937" s="57">
        <v>30</v>
      </c>
      <c r="L1937" s="58">
        <v>30</v>
      </c>
    </row>
    <row r="1938" spans="1:12" ht="15.75">
      <c r="A1938" s="105">
        <v>1852</v>
      </c>
      <c r="B1938" s="125"/>
      <c r="C1938" s="125"/>
      <c r="D1938" s="41" t="s">
        <v>2913</v>
      </c>
      <c r="E1938" s="194" t="s">
        <v>2919</v>
      </c>
      <c r="F1938" s="41"/>
      <c r="G1938" s="41" t="s">
        <v>2913</v>
      </c>
      <c r="H1938" s="107">
        <v>6570</v>
      </c>
      <c r="I1938" s="41" t="s">
        <v>1444</v>
      </c>
      <c r="J1938" s="41" t="s">
        <v>1864</v>
      </c>
      <c r="K1938" s="57">
        <v>30</v>
      </c>
      <c r="L1938" s="58">
        <v>30</v>
      </c>
    </row>
    <row r="1939" spans="1:12" ht="15.75">
      <c r="A1939" s="105">
        <v>1853</v>
      </c>
      <c r="B1939" s="125"/>
      <c r="C1939" s="125"/>
      <c r="D1939" s="41" t="s">
        <v>2914</v>
      </c>
      <c r="E1939" s="194" t="s">
        <v>2920</v>
      </c>
      <c r="F1939" s="41"/>
      <c r="G1939" s="41"/>
      <c r="H1939" s="41"/>
      <c r="I1939" s="41" t="s">
        <v>1444</v>
      </c>
      <c r="J1939" s="41" t="s">
        <v>327</v>
      </c>
      <c r="K1939" s="57">
        <v>30</v>
      </c>
      <c r="L1939" s="58">
        <v>30</v>
      </c>
    </row>
    <row r="1940" spans="1:12" ht="15.75">
      <c r="A1940" s="105">
        <v>1854</v>
      </c>
      <c r="B1940" s="125"/>
      <c r="C1940" s="125"/>
      <c r="D1940" s="41" t="s">
        <v>2914</v>
      </c>
      <c r="E1940" s="194" t="s">
        <v>2920</v>
      </c>
      <c r="F1940" s="41"/>
      <c r="G1940" s="41"/>
      <c r="H1940" s="41"/>
      <c r="I1940" s="41" t="s">
        <v>1444</v>
      </c>
      <c r="J1940" s="41" t="s">
        <v>327</v>
      </c>
      <c r="K1940" s="57">
        <v>30</v>
      </c>
      <c r="L1940" s="58">
        <v>30</v>
      </c>
    </row>
    <row r="1941" spans="1:12" ht="15.75">
      <c r="A1941" s="105">
        <v>1855</v>
      </c>
      <c r="B1941" s="125"/>
      <c r="C1941" s="125"/>
      <c r="D1941" s="41" t="s">
        <v>2915</v>
      </c>
      <c r="E1941" s="194" t="s">
        <v>2921</v>
      </c>
      <c r="F1941" s="41"/>
      <c r="G1941" s="41"/>
      <c r="H1941" s="41"/>
      <c r="I1941" s="41" t="s">
        <v>1444</v>
      </c>
      <c r="J1941" s="41" t="s">
        <v>327</v>
      </c>
      <c r="K1941" s="57">
        <v>30</v>
      </c>
      <c r="L1941" s="58">
        <v>30</v>
      </c>
    </row>
    <row r="1942" spans="1:12" ht="15.75">
      <c r="A1942" s="105">
        <v>1856</v>
      </c>
      <c r="B1942" s="125"/>
      <c r="C1942" s="125"/>
      <c r="D1942" s="41" t="s">
        <v>2915</v>
      </c>
      <c r="E1942" s="194" t="s">
        <v>2921</v>
      </c>
      <c r="F1942" s="41"/>
      <c r="G1942" s="41"/>
      <c r="H1942" s="41"/>
      <c r="I1942" s="41" t="s">
        <v>1444</v>
      </c>
      <c r="J1942" s="41" t="s">
        <v>327</v>
      </c>
      <c r="K1942" s="57">
        <v>30</v>
      </c>
      <c r="L1942" s="58">
        <v>30</v>
      </c>
    </row>
    <row r="1943" spans="1:12" ht="15.75">
      <c r="A1943" s="105">
        <v>1857</v>
      </c>
      <c r="B1943" s="125"/>
      <c r="C1943" s="125"/>
      <c r="D1943" s="41" t="s">
        <v>2916</v>
      </c>
      <c r="E1943" s="194" t="s">
        <v>1108</v>
      </c>
      <c r="F1943" s="41"/>
      <c r="G1943" s="41"/>
      <c r="H1943" s="41"/>
      <c r="I1943" s="41" t="s">
        <v>1444</v>
      </c>
      <c r="J1943" s="41" t="s">
        <v>327</v>
      </c>
      <c r="K1943" s="57">
        <v>30</v>
      </c>
      <c r="L1943" s="58">
        <v>30</v>
      </c>
    </row>
    <row r="1944" spans="1:12" ht="15.75">
      <c r="A1944" s="105">
        <v>1858</v>
      </c>
      <c r="B1944" s="125"/>
      <c r="C1944" s="125"/>
      <c r="D1944" s="41" t="s">
        <v>2917</v>
      </c>
      <c r="E1944" s="194" t="s">
        <v>2920</v>
      </c>
      <c r="F1944" s="41"/>
      <c r="G1944" s="41"/>
      <c r="H1944" s="41"/>
      <c r="I1944" s="41" t="s">
        <v>1444</v>
      </c>
      <c r="J1944" s="41" t="s">
        <v>327</v>
      </c>
      <c r="K1944" s="57">
        <v>30</v>
      </c>
      <c r="L1944" s="58">
        <v>30</v>
      </c>
    </row>
    <row r="1945" spans="1:12" ht="15.75">
      <c r="A1945" s="105">
        <v>1859</v>
      </c>
      <c r="B1945" s="125"/>
      <c r="C1945" s="125"/>
      <c r="D1945" s="41" t="s">
        <v>2917</v>
      </c>
      <c r="E1945" s="194" t="s">
        <v>2920</v>
      </c>
      <c r="F1945" s="41"/>
      <c r="G1945" s="41"/>
      <c r="H1945" s="41"/>
      <c r="I1945" s="41" t="s">
        <v>1444</v>
      </c>
      <c r="J1945" s="41" t="s">
        <v>327</v>
      </c>
      <c r="K1945" s="57">
        <v>30</v>
      </c>
      <c r="L1945" s="58">
        <v>30</v>
      </c>
    </row>
    <row r="1946" spans="1:12" ht="15.75">
      <c r="A1946" s="105">
        <v>1860</v>
      </c>
      <c r="B1946" s="125"/>
      <c r="C1946" s="125"/>
      <c r="D1946" s="41" t="s">
        <v>2918</v>
      </c>
      <c r="E1946" s="194" t="s">
        <v>2921</v>
      </c>
      <c r="F1946" s="41"/>
      <c r="G1946" s="41"/>
      <c r="H1946" s="41"/>
      <c r="I1946" s="41" t="s">
        <v>1444</v>
      </c>
      <c r="J1946" s="41" t="s">
        <v>327</v>
      </c>
      <c r="K1946" s="57">
        <v>30</v>
      </c>
      <c r="L1946" s="58">
        <v>30</v>
      </c>
    </row>
    <row r="1947" spans="1:12" ht="15.75">
      <c r="A1947" s="105">
        <v>1861</v>
      </c>
      <c r="B1947" s="125"/>
      <c r="C1947" s="125"/>
      <c r="D1947" s="41" t="s">
        <v>2918</v>
      </c>
      <c r="E1947" s="194" t="s">
        <v>2921</v>
      </c>
      <c r="F1947" s="41"/>
      <c r="G1947" s="41"/>
      <c r="H1947" s="41"/>
      <c r="I1947" s="41" t="s">
        <v>1444</v>
      </c>
      <c r="J1947" s="41" t="s">
        <v>327</v>
      </c>
      <c r="K1947" s="57">
        <v>30</v>
      </c>
      <c r="L1947" s="58">
        <v>30</v>
      </c>
    </row>
    <row r="1948" spans="1:12" ht="15.75">
      <c r="A1948" s="105">
        <v>1862</v>
      </c>
      <c r="B1948" s="125"/>
      <c r="C1948" s="125"/>
      <c r="D1948" s="41" t="s">
        <v>2922</v>
      </c>
      <c r="E1948" s="194" t="s">
        <v>2924</v>
      </c>
      <c r="F1948" s="112"/>
      <c r="G1948" s="112"/>
      <c r="H1948" s="112"/>
      <c r="I1948" s="41" t="s">
        <v>267</v>
      </c>
      <c r="J1948" s="41" t="s">
        <v>275</v>
      </c>
      <c r="K1948" s="57">
        <v>30</v>
      </c>
      <c r="L1948" s="58">
        <v>30</v>
      </c>
    </row>
    <row r="1949" spans="1:12" ht="15.75">
      <c r="A1949" s="105">
        <v>1863</v>
      </c>
      <c r="B1949" s="125"/>
      <c r="C1949" s="125"/>
      <c r="D1949" s="41" t="s">
        <v>2922</v>
      </c>
      <c r="E1949" s="194" t="s">
        <v>2924</v>
      </c>
      <c r="F1949" s="112"/>
      <c r="G1949" s="112"/>
      <c r="H1949" s="112"/>
      <c r="I1949" s="41" t="s">
        <v>267</v>
      </c>
      <c r="J1949" s="41" t="s">
        <v>275</v>
      </c>
      <c r="K1949" s="57">
        <v>30</v>
      </c>
      <c r="L1949" s="58">
        <v>30</v>
      </c>
    </row>
    <row r="1950" spans="1:12" ht="15.75">
      <c r="A1950" s="105">
        <v>1864</v>
      </c>
      <c r="B1950" s="125"/>
      <c r="C1950" s="125"/>
      <c r="D1950" s="41" t="s">
        <v>2923</v>
      </c>
      <c r="E1950" s="194" t="s">
        <v>2924</v>
      </c>
      <c r="F1950" s="112"/>
      <c r="G1950" s="112"/>
      <c r="H1950" s="112"/>
      <c r="I1950" s="41" t="s">
        <v>267</v>
      </c>
      <c r="J1950" s="41" t="s">
        <v>275</v>
      </c>
      <c r="K1950" s="57">
        <v>30</v>
      </c>
      <c r="L1950" s="58">
        <v>30</v>
      </c>
    </row>
    <row r="1951" spans="1:12" ht="15.75">
      <c r="A1951" s="105">
        <v>1865</v>
      </c>
      <c r="B1951" s="125"/>
      <c r="C1951" s="125"/>
      <c r="D1951" s="41" t="s">
        <v>2923</v>
      </c>
      <c r="E1951" s="194" t="s">
        <v>2924</v>
      </c>
      <c r="F1951" s="112"/>
      <c r="G1951" s="112"/>
      <c r="H1951" s="112"/>
      <c r="I1951" s="41" t="s">
        <v>267</v>
      </c>
      <c r="J1951" s="41" t="s">
        <v>275</v>
      </c>
      <c r="K1951" s="57">
        <v>30</v>
      </c>
      <c r="L1951" s="58">
        <v>30</v>
      </c>
    </row>
    <row r="1952" spans="1:12" ht="15.75">
      <c r="A1952" s="105">
        <v>1866</v>
      </c>
      <c r="B1952" s="125"/>
      <c r="C1952" s="125"/>
      <c r="D1952" s="41" t="s">
        <v>2923</v>
      </c>
      <c r="E1952" s="194" t="s">
        <v>2924</v>
      </c>
      <c r="F1952" s="112"/>
      <c r="G1952" s="112"/>
      <c r="H1952" s="112"/>
      <c r="I1952" s="41" t="s">
        <v>267</v>
      </c>
      <c r="J1952" s="41" t="s">
        <v>275</v>
      </c>
      <c r="K1952" s="57">
        <v>30</v>
      </c>
      <c r="L1952" s="58">
        <v>30</v>
      </c>
    </row>
    <row r="1953" spans="1:12" ht="15.75">
      <c r="A1953" s="105">
        <v>1867</v>
      </c>
      <c r="B1953" s="125"/>
      <c r="C1953" s="125"/>
      <c r="D1953" s="41" t="s">
        <v>2922</v>
      </c>
      <c r="E1953" s="194" t="s">
        <v>2924</v>
      </c>
      <c r="F1953" s="112"/>
      <c r="G1953" s="112"/>
      <c r="H1953" s="112"/>
      <c r="I1953" s="41" t="s">
        <v>267</v>
      </c>
      <c r="J1953" s="41" t="s">
        <v>275</v>
      </c>
      <c r="K1953" s="57">
        <v>30</v>
      </c>
      <c r="L1953" s="58">
        <v>30</v>
      </c>
    </row>
    <row r="1954" spans="1:12" ht="15.75">
      <c r="A1954" s="105">
        <v>1868</v>
      </c>
      <c r="B1954" s="125"/>
      <c r="C1954" s="125"/>
      <c r="D1954" s="41" t="s">
        <v>2923</v>
      </c>
      <c r="E1954" s="194" t="s">
        <v>2924</v>
      </c>
      <c r="F1954" s="112"/>
      <c r="G1954" s="112"/>
      <c r="H1954" s="112"/>
      <c r="I1954" s="41" t="s">
        <v>267</v>
      </c>
      <c r="J1954" s="41" t="s">
        <v>275</v>
      </c>
      <c r="K1954" s="57">
        <v>30</v>
      </c>
      <c r="L1954" s="58">
        <v>30</v>
      </c>
    </row>
    <row r="1955" spans="1:12" ht="15.75">
      <c r="A1955" s="105">
        <v>1869</v>
      </c>
      <c r="B1955" s="125"/>
      <c r="C1955" s="125"/>
      <c r="D1955" s="41" t="s">
        <v>2923</v>
      </c>
      <c r="E1955" s="194" t="s">
        <v>2924</v>
      </c>
      <c r="F1955" s="112"/>
      <c r="G1955" s="112"/>
      <c r="H1955" s="112"/>
      <c r="I1955" s="41" t="s">
        <v>267</v>
      </c>
      <c r="J1955" s="41" t="s">
        <v>275</v>
      </c>
      <c r="K1955" s="57">
        <v>30</v>
      </c>
      <c r="L1955" s="58">
        <v>30</v>
      </c>
    </row>
    <row r="1956" spans="1:12" ht="15.75">
      <c r="A1956" s="105">
        <v>1870</v>
      </c>
      <c r="B1956" s="125"/>
      <c r="C1956" s="125"/>
      <c r="D1956" s="41" t="s">
        <v>2925</v>
      </c>
      <c r="E1956" s="194" t="s">
        <v>2926</v>
      </c>
      <c r="F1956" s="112"/>
      <c r="G1956" s="112"/>
      <c r="H1956" s="112"/>
      <c r="I1956" s="41" t="s">
        <v>267</v>
      </c>
      <c r="J1956" s="41" t="s">
        <v>293</v>
      </c>
      <c r="K1956" s="57">
        <v>30</v>
      </c>
      <c r="L1956" s="58">
        <v>30</v>
      </c>
    </row>
    <row r="1957" spans="1:12" ht="15.75">
      <c r="A1957" s="105">
        <v>1871</v>
      </c>
      <c r="B1957" s="125"/>
      <c r="C1957" s="125"/>
      <c r="D1957" s="146" t="s">
        <v>2927</v>
      </c>
      <c r="E1957" s="213" t="s">
        <v>2928</v>
      </c>
      <c r="F1957" s="112"/>
      <c r="G1957" s="112"/>
      <c r="H1957" s="112"/>
      <c r="I1957" s="41" t="s">
        <v>2763</v>
      </c>
      <c r="J1957" s="41" t="s">
        <v>2890</v>
      </c>
      <c r="K1957" s="57">
        <v>100</v>
      </c>
      <c r="L1957" s="58">
        <v>100</v>
      </c>
    </row>
    <row r="1958" spans="1:12" ht="15.75">
      <c r="A1958" s="105">
        <v>1872</v>
      </c>
      <c r="B1958" s="125"/>
      <c r="C1958" s="125"/>
      <c r="D1958" s="146" t="s">
        <v>2688</v>
      </c>
      <c r="E1958" s="213" t="s">
        <v>2687</v>
      </c>
      <c r="F1958" s="112"/>
      <c r="G1958" s="112"/>
      <c r="H1958" s="112"/>
      <c r="I1958" s="41" t="s">
        <v>2764</v>
      </c>
      <c r="J1958" s="41" t="s">
        <v>2650</v>
      </c>
      <c r="K1958" s="57">
        <v>60</v>
      </c>
      <c r="L1958" s="58">
        <v>60</v>
      </c>
    </row>
    <row r="1959" spans="1:12" ht="15.75">
      <c r="A1959" s="105">
        <v>1873</v>
      </c>
      <c r="B1959" s="125"/>
      <c r="C1959" s="125"/>
      <c r="D1959" s="146" t="s">
        <v>2929</v>
      </c>
      <c r="E1959" s="213" t="s">
        <v>2687</v>
      </c>
      <c r="F1959" s="112"/>
      <c r="G1959" s="112"/>
      <c r="H1959" s="112"/>
      <c r="I1959" s="41" t="s">
        <v>2763</v>
      </c>
      <c r="J1959" s="41" t="s">
        <v>2650</v>
      </c>
      <c r="K1959" s="57">
        <v>60</v>
      </c>
      <c r="L1959" s="58">
        <v>60</v>
      </c>
    </row>
    <row r="1960" spans="1:12" ht="15.75">
      <c r="A1960" s="105">
        <v>1874</v>
      </c>
      <c r="B1960" s="125"/>
      <c r="C1960" s="125"/>
      <c r="D1960" s="146" t="s">
        <v>2689</v>
      </c>
      <c r="E1960" s="213" t="s">
        <v>2687</v>
      </c>
      <c r="F1960" s="112"/>
      <c r="G1960" s="112"/>
      <c r="H1960" s="112"/>
      <c r="I1960" s="8" t="s">
        <v>317</v>
      </c>
      <c r="J1960" s="41" t="s">
        <v>2650</v>
      </c>
      <c r="K1960" s="57">
        <v>60</v>
      </c>
      <c r="L1960" s="58">
        <v>60</v>
      </c>
    </row>
    <row r="1961" spans="1:12" ht="15.75">
      <c r="A1961" s="105">
        <v>1874</v>
      </c>
      <c r="B1961" s="125"/>
      <c r="C1961" s="125"/>
      <c r="D1961" s="146" t="s">
        <v>5286</v>
      </c>
      <c r="E1961" s="213" t="s">
        <v>2687</v>
      </c>
      <c r="F1961" s="112"/>
      <c r="G1961" s="112"/>
      <c r="H1961" s="112"/>
      <c r="I1961" s="8" t="s">
        <v>5298</v>
      </c>
      <c r="J1961" s="41" t="s">
        <v>5298</v>
      </c>
      <c r="K1961" s="57">
        <v>60</v>
      </c>
      <c r="L1961" s="58">
        <v>60</v>
      </c>
    </row>
    <row r="1962" spans="1:12" ht="15.75">
      <c r="A1962" s="105">
        <v>1875</v>
      </c>
      <c r="B1962" s="125"/>
      <c r="C1962" s="125"/>
      <c r="D1962" s="146" t="s">
        <v>4584</v>
      </c>
      <c r="E1962" s="213" t="s">
        <v>2930</v>
      </c>
      <c r="F1962" s="154"/>
      <c r="G1962" s="112"/>
      <c r="H1962" s="112"/>
      <c r="I1962" s="8" t="s">
        <v>317</v>
      </c>
      <c r="J1962" s="41" t="s">
        <v>1690</v>
      </c>
      <c r="K1962" s="57">
        <v>30</v>
      </c>
      <c r="L1962" s="58">
        <v>30</v>
      </c>
    </row>
    <row r="1963" spans="1:12" ht="15.75">
      <c r="A1963" s="105">
        <v>1875</v>
      </c>
      <c r="B1963" s="125"/>
      <c r="C1963" s="125"/>
      <c r="D1963" s="146">
        <v>4140035033</v>
      </c>
      <c r="E1963" s="213" t="s">
        <v>2930</v>
      </c>
      <c r="F1963" s="154"/>
      <c r="G1963" s="112"/>
      <c r="H1963" s="112"/>
      <c r="I1963" s="8" t="s">
        <v>317</v>
      </c>
      <c r="J1963" s="41" t="s">
        <v>1690</v>
      </c>
      <c r="K1963" s="57">
        <v>30</v>
      </c>
      <c r="L1963" s="58">
        <v>30</v>
      </c>
    </row>
    <row r="1964" spans="1:12" ht="15.75">
      <c r="A1964" s="105">
        <v>1876</v>
      </c>
      <c r="B1964" s="125"/>
      <c r="C1964" s="125"/>
      <c r="D1964" s="155">
        <v>4140035032</v>
      </c>
      <c r="E1964" s="213" t="s">
        <v>2930</v>
      </c>
      <c r="F1964" s="112"/>
      <c r="G1964" s="112"/>
      <c r="H1964" s="112"/>
      <c r="I1964" s="8" t="s">
        <v>317</v>
      </c>
      <c r="J1964" s="41" t="s">
        <v>1690</v>
      </c>
      <c r="K1964" s="57">
        <v>30</v>
      </c>
      <c r="L1964" s="58">
        <v>30</v>
      </c>
    </row>
    <row r="1965" spans="1:12" ht="15.75">
      <c r="A1965" s="105">
        <v>1877</v>
      </c>
      <c r="B1965" s="125"/>
      <c r="C1965" s="125"/>
      <c r="D1965" s="155" t="s">
        <v>2931</v>
      </c>
      <c r="E1965" s="213" t="s">
        <v>2934</v>
      </c>
      <c r="F1965" s="112"/>
      <c r="G1965" s="112"/>
      <c r="H1965" s="112"/>
      <c r="I1965" s="41" t="s">
        <v>310</v>
      </c>
      <c r="J1965" s="41" t="s">
        <v>4719</v>
      </c>
      <c r="K1965" s="57">
        <v>100</v>
      </c>
      <c r="L1965" s="58">
        <v>100</v>
      </c>
    </row>
    <row r="1966" spans="1:12" ht="15.75">
      <c r="A1966" s="105">
        <v>1878</v>
      </c>
      <c r="B1966" s="125"/>
      <c r="C1966" s="125"/>
      <c r="D1966" s="155" t="s">
        <v>2932</v>
      </c>
      <c r="E1966" s="213" t="s">
        <v>2934</v>
      </c>
      <c r="F1966" s="112"/>
      <c r="G1966" s="112"/>
      <c r="H1966" s="112"/>
      <c r="I1966" s="41" t="s">
        <v>310</v>
      </c>
      <c r="J1966" s="41" t="s">
        <v>4719</v>
      </c>
      <c r="K1966" s="57">
        <v>100</v>
      </c>
      <c r="L1966" s="58">
        <v>100</v>
      </c>
    </row>
    <row r="1967" spans="1:12" ht="15.75">
      <c r="A1967" s="105">
        <v>1879</v>
      </c>
      <c r="B1967" s="125"/>
      <c r="C1967" s="125"/>
      <c r="D1967" s="155" t="s">
        <v>2933</v>
      </c>
      <c r="E1967" s="213" t="s">
        <v>2934</v>
      </c>
      <c r="F1967" s="112"/>
      <c r="G1967" s="112"/>
      <c r="H1967" s="112"/>
      <c r="I1967" s="41" t="s">
        <v>310</v>
      </c>
      <c r="J1967" s="41" t="s">
        <v>4719</v>
      </c>
      <c r="K1967" s="57">
        <v>100</v>
      </c>
      <c r="L1967" s="58">
        <v>100</v>
      </c>
    </row>
    <row r="1968" spans="1:12" ht="15.75">
      <c r="A1968" s="105"/>
      <c r="B1968" s="125"/>
      <c r="C1968" s="125"/>
      <c r="D1968" s="155" t="s">
        <v>4653</v>
      </c>
      <c r="E1968" s="213" t="s">
        <v>4655</v>
      </c>
      <c r="F1968" s="112"/>
      <c r="G1968" s="112"/>
      <c r="H1968" s="112"/>
      <c r="I1968" s="41" t="s">
        <v>310</v>
      </c>
      <c r="J1968" s="41" t="s">
        <v>4719</v>
      </c>
      <c r="K1968" s="57">
        <v>100</v>
      </c>
      <c r="L1968" s="58">
        <v>100</v>
      </c>
    </row>
    <row r="1969" spans="1:12" ht="15.75">
      <c r="A1969" s="105"/>
      <c r="B1969" s="125"/>
      <c r="C1969" s="125"/>
      <c r="D1969" s="155" t="s">
        <v>4654</v>
      </c>
      <c r="E1969" s="213" t="s">
        <v>4656</v>
      </c>
      <c r="F1969" s="112"/>
      <c r="G1969" s="112"/>
      <c r="H1969" s="112"/>
      <c r="I1969" s="41" t="s">
        <v>310</v>
      </c>
      <c r="J1969" s="41" t="s">
        <v>4657</v>
      </c>
      <c r="K1969" s="57">
        <v>30</v>
      </c>
      <c r="L1969" s="58">
        <v>30</v>
      </c>
    </row>
    <row r="1970" spans="1:12" ht="15.75">
      <c r="A1970" s="105">
        <v>1880</v>
      </c>
      <c r="B1970" s="125"/>
      <c r="C1970" s="125"/>
      <c r="D1970" s="156" t="s">
        <v>2935</v>
      </c>
      <c r="E1970" s="220" t="s">
        <v>2938</v>
      </c>
      <c r="F1970" s="157"/>
      <c r="G1970" s="112"/>
      <c r="H1970" s="112"/>
      <c r="I1970" s="41" t="s">
        <v>267</v>
      </c>
      <c r="J1970" s="41" t="s">
        <v>293</v>
      </c>
      <c r="K1970" s="57">
        <v>30</v>
      </c>
      <c r="L1970" s="58">
        <v>30</v>
      </c>
    </row>
    <row r="1971" spans="1:12" ht="15.75">
      <c r="A1971" s="105">
        <v>1881</v>
      </c>
      <c r="B1971" s="125"/>
      <c r="C1971" s="125"/>
      <c r="D1971" s="156" t="s">
        <v>2936</v>
      </c>
      <c r="E1971" s="220" t="s">
        <v>2938</v>
      </c>
      <c r="F1971" s="157"/>
      <c r="G1971" s="112"/>
      <c r="H1971" s="112"/>
      <c r="I1971" s="41" t="s">
        <v>267</v>
      </c>
      <c r="J1971" s="41" t="s">
        <v>293</v>
      </c>
      <c r="K1971" s="57">
        <v>30</v>
      </c>
      <c r="L1971" s="58">
        <v>30</v>
      </c>
    </row>
    <row r="1972" spans="1:12" ht="15.75">
      <c r="A1972" s="105">
        <v>1882</v>
      </c>
      <c r="B1972" s="125"/>
      <c r="C1972" s="125"/>
      <c r="D1972" s="156" t="s">
        <v>2937</v>
      </c>
      <c r="E1972" s="220" t="s">
        <v>2938</v>
      </c>
      <c r="F1972" s="157"/>
      <c r="G1972" s="112"/>
      <c r="H1972" s="112"/>
      <c r="I1972" s="41" t="s">
        <v>267</v>
      </c>
      <c r="J1972" s="41" t="s">
        <v>293</v>
      </c>
      <c r="K1972" s="57">
        <v>30</v>
      </c>
      <c r="L1972" s="58">
        <v>30</v>
      </c>
    </row>
    <row r="1973" spans="1:12" ht="15.75">
      <c r="A1973" s="105">
        <v>1883</v>
      </c>
      <c r="B1973" s="125"/>
      <c r="C1973" s="125"/>
      <c r="D1973" s="146" t="s">
        <v>2939</v>
      </c>
      <c r="E1973" s="213" t="s">
        <v>2940</v>
      </c>
      <c r="F1973" s="155"/>
      <c r="G1973" s="112"/>
      <c r="H1973" s="112"/>
      <c r="I1973" s="41" t="s">
        <v>2763</v>
      </c>
      <c r="J1973" s="41" t="s">
        <v>2890</v>
      </c>
      <c r="K1973" s="57">
        <v>100</v>
      </c>
      <c r="L1973" s="58">
        <v>100</v>
      </c>
    </row>
    <row r="1974" spans="1:12" ht="15.75">
      <c r="A1974" s="105">
        <v>1884</v>
      </c>
      <c r="B1974" s="125"/>
      <c r="C1974" s="125"/>
      <c r="D1974" s="128">
        <v>4120126121</v>
      </c>
      <c r="E1974" s="194" t="s">
        <v>2676</v>
      </c>
      <c r="F1974" s="112"/>
      <c r="G1974" s="112"/>
      <c r="H1974" s="112"/>
      <c r="I1974" s="7" t="s">
        <v>260</v>
      </c>
      <c r="J1974" s="41" t="s">
        <v>1110</v>
      </c>
      <c r="K1974" s="57">
        <v>30</v>
      </c>
      <c r="L1974" s="58">
        <v>30</v>
      </c>
    </row>
    <row r="1975" spans="1:12" ht="15.75">
      <c r="A1975" s="105">
        <v>1885</v>
      </c>
      <c r="B1975" s="125"/>
      <c r="C1975" s="125"/>
      <c r="D1975" s="128">
        <v>4120130042</v>
      </c>
      <c r="E1975" s="194" t="s">
        <v>2676</v>
      </c>
      <c r="F1975" s="112"/>
      <c r="G1975" s="112"/>
      <c r="H1975" s="112"/>
      <c r="I1975" s="7" t="s">
        <v>260</v>
      </c>
      <c r="J1975" s="41" t="s">
        <v>1110</v>
      </c>
      <c r="K1975" s="57">
        <v>30</v>
      </c>
      <c r="L1975" s="58">
        <v>30</v>
      </c>
    </row>
    <row r="1976" spans="1:12" ht="15.75">
      <c r="A1976" s="105">
        <v>1886</v>
      </c>
      <c r="B1976" s="125"/>
      <c r="C1976" s="125"/>
      <c r="D1976" s="128">
        <v>4120130062</v>
      </c>
      <c r="E1976" s="194" t="s">
        <v>2676</v>
      </c>
      <c r="F1976" s="112"/>
      <c r="G1976" s="112"/>
      <c r="H1976" s="112"/>
      <c r="I1976" s="7" t="s">
        <v>260</v>
      </c>
      <c r="J1976" s="41" t="s">
        <v>1110</v>
      </c>
      <c r="K1976" s="57">
        <v>30</v>
      </c>
      <c r="L1976" s="58">
        <v>30</v>
      </c>
    </row>
    <row r="1977" spans="1:12" ht="15.75">
      <c r="A1977" s="105">
        <v>1887</v>
      </c>
      <c r="B1977" s="125"/>
      <c r="C1977" s="125"/>
      <c r="D1977" s="128">
        <v>4120130151</v>
      </c>
      <c r="E1977" s="194" t="s">
        <v>2676</v>
      </c>
      <c r="F1977" s="112"/>
      <c r="G1977" s="112"/>
      <c r="H1977" s="112"/>
      <c r="I1977" s="7" t="s">
        <v>260</v>
      </c>
      <c r="J1977" s="41" t="s">
        <v>1110</v>
      </c>
      <c r="K1977" s="57">
        <v>30</v>
      </c>
      <c r="L1977" s="58">
        <v>30</v>
      </c>
    </row>
    <row r="1978" spans="1:12" ht="15.75">
      <c r="A1978" s="105">
        <v>1888</v>
      </c>
      <c r="B1978" s="125"/>
      <c r="C1978" s="125"/>
      <c r="D1978" s="128">
        <v>4120130200</v>
      </c>
      <c r="E1978" s="194" t="s">
        <v>2676</v>
      </c>
      <c r="F1978" s="112"/>
      <c r="G1978" s="112"/>
      <c r="H1978" s="112"/>
      <c r="I1978" s="7" t="s">
        <v>260</v>
      </c>
      <c r="J1978" s="41" t="s">
        <v>1110</v>
      </c>
      <c r="K1978" s="57">
        <v>30</v>
      </c>
      <c r="L1978" s="58">
        <v>30</v>
      </c>
    </row>
    <row r="1979" spans="1:12" ht="15.75">
      <c r="A1979" s="105">
        <v>1889</v>
      </c>
      <c r="B1979" s="125"/>
      <c r="C1979" s="125"/>
      <c r="D1979" s="128">
        <v>4120135201</v>
      </c>
      <c r="E1979" s="194" t="s">
        <v>2676</v>
      </c>
      <c r="F1979" s="112"/>
      <c r="G1979" s="112"/>
      <c r="H1979" s="112"/>
      <c r="I1979" s="7" t="s">
        <v>260</v>
      </c>
      <c r="J1979" s="41" t="s">
        <v>1110</v>
      </c>
      <c r="K1979" s="57">
        <v>30</v>
      </c>
      <c r="L1979" s="58">
        <v>30</v>
      </c>
    </row>
    <row r="1980" spans="1:12" ht="15.75">
      <c r="A1980" s="105">
        <v>1890</v>
      </c>
      <c r="B1980" s="125"/>
      <c r="C1980" s="125"/>
      <c r="D1980" s="128">
        <v>4120135230</v>
      </c>
      <c r="E1980" s="194" t="s">
        <v>2676</v>
      </c>
      <c r="F1980" s="112"/>
      <c r="G1980" s="112"/>
      <c r="H1980" s="112"/>
      <c r="I1980" s="7" t="s">
        <v>260</v>
      </c>
      <c r="J1980" s="41" t="s">
        <v>1110</v>
      </c>
      <c r="K1980" s="57">
        <v>30</v>
      </c>
      <c r="L1980" s="58">
        <v>30</v>
      </c>
    </row>
    <row r="1981" spans="1:12" ht="15.75">
      <c r="A1981" s="105">
        <v>1891</v>
      </c>
      <c r="B1981" s="125"/>
      <c r="C1981" s="125"/>
      <c r="D1981" s="128">
        <v>4120135350</v>
      </c>
      <c r="E1981" s="194" t="s">
        <v>2676</v>
      </c>
      <c r="F1981" s="112"/>
      <c r="G1981" s="112"/>
      <c r="H1981" s="112"/>
      <c r="I1981" s="7" t="s">
        <v>260</v>
      </c>
      <c r="J1981" s="41" t="s">
        <v>1110</v>
      </c>
      <c r="K1981" s="57">
        <v>30</v>
      </c>
      <c r="L1981" s="58">
        <v>30</v>
      </c>
    </row>
    <row r="1982" spans="1:12" ht="15.75">
      <c r="A1982" s="105">
        <v>1892</v>
      </c>
      <c r="B1982" s="125"/>
      <c r="C1982" s="125"/>
      <c r="D1982" s="128">
        <v>4120160221</v>
      </c>
      <c r="E1982" s="194" t="s">
        <v>2676</v>
      </c>
      <c r="F1982" s="112"/>
      <c r="G1982" s="112"/>
      <c r="H1982" s="112"/>
      <c r="I1982" s="7" t="s">
        <v>260</v>
      </c>
      <c r="J1982" s="41" t="s">
        <v>1110</v>
      </c>
      <c r="K1982" s="57">
        <v>30</v>
      </c>
      <c r="L1982" s="58">
        <v>30</v>
      </c>
    </row>
    <row r="1983" spans="1:12" ht="15.75">
      <c r="A1983" s="105">
        <v>1893</v>
      </c>
      <c r="B1983" s="125"/>
      <c r="C1983" s="125"/>
      <c r="D1983" s="128">
        <v>4120171010</v>
      </c>
      <c r="E1983" s="194" t="s">
        <v>2676</v>
      </c>
      <c r="F1983" s="112"/>
      <c r="G1983" s="112"/>
      <c r="H1983" s="112"/>
      <c r="I1983" s="7" t="s">
        <v>260</v>
      </c>
      <c r="J1983" s="41" t="s">
        <v>1110</v>
      </c>
      <c r="K1983" s="57">
        <v>30</v>
      </c>
      <c r="L1983" s="58">
        <v>30</v>
      </c>
    </row>
    <row r="1984" spans="1:12" ht="15.75">
      <c r="A1984" s="105">
        <v>1894</v>
      </c>
      <c r="B1984" s="125"/>
      <c r="C1984" s="125"/>
      <c r="D1984" s="128">
        <v>4120171100</v>
      </c>
      <c r="E1984" s="194" t="s">
        <v>2676</v>
      </c>
      <c r="F1984" s="112"/>
      <c r="G1984" s="112"/>
      <c r="H1984" s="112"/>
      <c r="I1984" s="7" t="s">
        <v>260</v>
      </c>
      <c r="J1984" s="41" t="s">
        <v>1110</v>
      </c>
      <c r="K1984" s="57">
        <v>30</v>
      </c>
      <c r="L1984" s="58">
        <v>30</v>
      </c>
    </row>
    <row r="1985" spans="1:12" ht="15.75">
      <c r="A1985" s="105">
        <v>1895</v>
      </c>
      <c r="B1985" s="125"/>
      <c r="C1985" s="125"/>
      <c r="D1985" s="128">
        <v>4120171020</v>
      </c>
      <c r="E1985" s="194" t="s">
        <v>2676</v>
      </c>
      <c r="F1985" s="112"/>
      <c r="G1985" s="112"/>
      <c r="H1985" s="112"/>
      <c r="I1985" s="7" t="s">
        <v>260</v>
      </c>
      <c r="J1985" s="41" t="s">
        <v>1110</v>
      </c>
      <c r="K1985" s="57">
        <v>30</v>
      </c>
      <c r="L1985" s="58">
        <v>30</v>
      </c>
    </row>
    <row r="1986" spans="1:12" ht="15.75">
      <c r="A1986" s="105">
        <v>1896</v>
      </c>
      <c r="B1986" s="125"/>
      <c r="C1986" s="125"/>
      <c r="D1986" s="128">
        <v>4120135410</v>
      </c>
      <c r="E1986" s="194" t="s">
        <v>2676</v>
      </c>
      <c r="F1986" s="112"/>
      <c r="G1986" s="112"/>
      <c r="H1986" s="112"/>
      <c r="I1986" s="7" t="s">
        <v>260</v>
      </c>
      <c r="J1986" s="41" t="s">
        <v>1110</v>
      </c>
      <c r="K1986" s="57">
        <v>30</v>
      </c>
      <c r="L1986" s="58">
        <v>30</v>
      </c>
    </row>
    <row r="1987" spans="1:12" ht="15.75">
      <c r="A1987" s="105">
        <v>1897</v>
      </c>
      <c r="B1987" s="125"/>
      <c r="C1987" s="125"/>
      <c r="D1987" s="128">
        <v>4120171030</v>
      </c>
      <c r="E1987" s="194" t="s">
        <v>2676</v>
      </c>
      <c r="F1987" s="112"/>
      <c r="G1987" s="112"/>
      <c r="H1987" s="112"/>
      <c r="I1987" s="7" t="s">
        <v>260</v>
      </c>
      <c r="J1987" s="41" t="s">
        <v>1110</v>
      </c>
      <c r="K1987" s="57">
        <v>30</v>
      </c>
      <c r="L1987" s="58">
        <v>30</v>
      </c>
    </row>
    <row r="1988" spans="1:12" ht="15.75">
      <c r="A1988" s="105">
        <v>1898</v>
      </c>
      <c r="B1988" s="125"/>
      <c r="C1988" s="125"/>
      <c r="D1988" s="128">
        <v>4120126150</v>
      </c>
      <c r="E1988" s="194" t="s">
        <v>2676</v>
      </c>
      <c r="F1988" s="112"/>
      <c r="G1988" s="112"/>
      <c r="H1988" s="112"/>
      <c r="I1988" s="7" t="s">
        <v>260</v>
      </c>
      <c r="J1988" s="41" t="s">
        <v>1110</v>
      </c>
      <c r="K1988" s="57">
        <v>30</v>
      </c>
      <c r="L1988" s="58">
        <v>30</v>
      </c>
    </row>
    <row r="1989" spans="1:12" ht="15.75">
      <c r="A1989" s="105">
        <v>1899</v>
      </c>
      <c r="B1989" s="125"/>
      <c r="C1989" s="125"/>
      <c r="D1989" s="128">
        <v>4120126150</v>
      </c>
      <c r="E1989" s="194" t="s">
        <v>2676</v>
      </c>
      <c r="F1989" s="112"/>
      <c r="G1989" s="112"/>
      <c r="H1989" s="112"/>
      <c r="I1989" s="7" t="s">
        <v>260</v>
      </c>
      <c r="J1989" s="41" t="s">
        <v>1110</v>
      </c>
      <c r="K1989" s="57">
        <v>30</v>
      </c>
      <c r="L1989" s="58">
        <v>30</v>
      </c>
    </row>
    <row r="1990" spans="1:12" ht="15.75">
      <c r="A1990" s="105">
        <v>1900</v>
      </c>
      <c r="B1990" s="125"/>
      <c r="C1990" s="125"/>
      <c r="D1990" s="128">
        <v>4120171040</v>
      </c>
      <c r="E1990" s="194" t="s">
        <v>2676</v>
      </c>
      <c r="F1990" s="112"/>
      <c r="G1990" s="112"/>
      <c r="H1990" s="112"/>
      <c r="I1990" s="7" t="s">
        <v>260</v>
      </c>
      <c r="J1990" s="41" t="s">
        <v>1110</v>
      </c>
      <c r="K1990" s="57">
        <v>30</v>
      </c>
      <c r="L1990" s="58">
        <v>30</v>
      </c>
    </row>
    <row r="1991" spans="1:12" ht="15.75">
      <c r="A1991" s="105">
        <v>1901</v>
      </c>
      <c r="B1991" s="125"/>
      <c r="C1991" s="125"/>
      <c r="D1991" s="128">
        <v>4120126160</v>
      </c>
      <c r="E1991" s="194" t="s">
        <v>2676</v>
      </c>
      <c r="F1991" s="112"/>
      <c r="G1991" s="112"/>
      <c r="H1991" s="112"/>
      <c r="I1991" s="7" t="s">
        <v>260</v>
      </c>
      <c r="J1991" s="41" t="s">
        <v>1110</v>
      </c>
      <c r="K1991" s="57">
        <v>30</v>
      </c>
      <c r="L1991" s="58">
        <v>30</v>
      </c>
    </row>
    <row r="1992" spans="1:12" ht="15.75">
      <c r="A1992" s="105">
        <v>1902</v>
      </c>
      <c r="B1992" s="125"/>
      <c r="C1992" s="125"/>
      <c r="D1992" s="128">
        <v>4120171050</v>
      </c>
      <c r="E1992" s="194" t="s">
        <v>2676</v>
      </c>
      <c r="F1992" s="112"/>
      <c r="G1992" s="112"/>
      <c r="H1992" s="112"/>
      <c r="I1992" s="7" t="s">
        <v>260</v>
      </c>
      <c r="J1992" s="41" t="s">
        <v>1110</v>
      </c>
      <c r="K1992" s="57">
        <v>30</v>
      </c>
      <c r="L1992" s="58">
        <v>30</v>
      </c>
    </row>
    <row r="1993" spans="1:12" ht="15.75">
      <c r="A1993" s="105">
        <v>1903</v>
      </c>
      <c r="B1993" s="125"/>
      <c r="C1993" s="125"/>
      <c r="D1993" s="128">
        <v>4120126170</v>
      </c>
      <c r="E1993" s="194" t="s">
        <v>2676</v>
      </c>
      <c r="F1993" s="112"/>
      <c r="G1993" s="112"/>
      <c r="H1993" s="112"/>
      <c r="I1993" s="7" t="s">
        <v>260</v>
      </c>
      <c r="J1993" s="41" t="s">
        <v>1110</v>
      </c>
      <c r="K1993" s="57">
        <v>30</v>
      </c>
      <c r="L1993" s="58">
        <v>30</v>
      </c>
    </row>
    <row r="1994" spans="1:12" ht="15.75">
      <c r="A1994" s="105">
        <v>1904</v>
      </c>
      <c r="B1994" s="125"/>
      <c r="C1994" s="125"/>
      <c r="D1994" s="128">
        <v>4120171060</v>
      </c>
      <c r="E1994" s="194" t="s">
        <v>2676</v>
      </c>
      <c r="F1994" s="112"/>
      <c r="G1994" s="112"/>
      <c r="H1994" s="112"/>
      <c r="I1994" s="8" t="s">
        <v>317</v>
      </c>
      <c r="J1994" s="41" t="s">
        <v>1690</v>
      </c>
      <c r="K1994" s="57">
        <v>30</v>
      </c>
      <c r="L1994" s="58">
        <v>30</v>
      </c>
    </row>
    <row r="1995" spans="1:12" ht="15.75">
      <c r="A1995" s="105">
        <v>1905</v>
      </c>
      <c r="B1995" s="125"/>
      <c r="C1995" s="125"/>
      <c r="D1995" s="128">
        <v>4120171070</v>
      </c>
      <c r="E1995" s="194" t="s">
        <v>2676</v>
      </c>
      <c r="F1995" s="112"/>
      <c r="G1995" s="112"/>
      <c r="H1995" s="112"/>
      <c r="I1995" s="8" t="s">
        <v>317</v>
      </c>
      <c r="J1995" s="41" t="s">
        <v>1690</v>
      </c>
      <c r="K1995" s="57">
        <v>30</v>
      </c>
      <c r="L1995" s="58">
        <v>30</v>
      </c>
    </row>
    <row r="1996" spans="1:12" ht="15.75">
      <c r="A1996" s="105">
        <v>1906</v>
      </c>
      <c r="B1996" s="125"/>
      <c r="C1996" s="125"/>
      <c r="D1996" s="128">
        <v>4120171080</v>
      </c>
      <c r="E1996" s="194" t="s">
        <v>2676</v>
      </c>
      <c r="F1996" s="112"/>
      <c r="G1996" s="112"/>
      <c r="H1996" s="112"/>
      <c r="I1996" s="8" t="s">
        <v>317</v>
      </c>
      <c r="J1996" s="41" t="s">
        <v>1690</v>
      </c>
      <c r="K1996" s="57">
        <v>30</v>
      </c>
      <c r="L1996" s="58">
        <v>30</v>
      </c>
    </row>
    <row r="1997" spans="1:12" ht="15.75">
      <c r="A1997" s="105">
        <v>1907</v>
      </c>
      <c r="B1997" s="125"/>
      <c r="C1997" s="125"/>
      <c r="D1997" s="128">
        <v>4120171090</v>
      </c>
      <c r="E1997" s="194" t="s">
        <v>2676</v>
      </c>
      <c r="F1997" s="112"/>
      <c r="G1997" s="112"/>
      <c r="H1997" s="112"/>
      <c r="I1997" s="8" t="s">
        <v>317</v>
      </c>
      <c r="J1997" s="41" t="s">
        <v>1690</v>
      </c>
      <c r="K1997" s="57">
        <v>30</v>
      </c>
      <c r="L1997" s="58">
        <v>30</v>
      </c>
    </row>
    <row r="1998" spans="1:12" ht="15.75">
      <c r="A1998" s="105">
        <v>1908</v>
      </c>
      <c r="B1998" s="125"/>
      <c r="C1998" s="125"/>
      <c r="D1998" s="146" t="s">
        <v>4585</v>
      </c>
      <c r="E1998" s="213" t="s">
        <v>1014</v>
      </c>
      <c r="F1998" s="112"/>
      <c r="G1998" s="112"/>
      <c r="H1998" s="112"/>
      <c r="I1998" s="41" t="s">
        <v>2763</v>
      </c>
      <c r="J1998" s="41" t="s">
        <v>2632</v>
      </c>
      <c r="K1998" s="57">
        <v>30</v>
      </c>
      <c r="L1998" s="58">
        <v>30</v>
      </c>
    </row>
    <row r="1999" spans="1:12" ht="15.75">
      <c r="A1999" s="105">
        <v>1908</v>
      </c>
      <c r="B1999" s="125"/>
      <c r="C1999" s="125"/>
      <c r="D1999" s="146" t="s">
        <v>4586</v>
      </c>
      <c r="E1999" s="213" t="s">
        <v>4590</v>
      </c>
      <c r="F1999" s="112"/>
      <c r="G1999" s="112"/>
      <c r="H1999" s="112"/>
      <c r="I1999" s="41" t="s">
        <v>2763</v>
      </c>
      <c r="J1999" s="41" t="s">
        <v>2632</v>
      </c>
      <c r="K1999" s="57">
        <v>30</v>
      </c>
      <c r="L1999" s="58">
        <v>30</v>
      </c>
    </row>
    <row r="2000" spans="1:12" ht="15.75">
      <c r="A2000" s="105">
        <v>1908</v>
      </c>
      <c r="B2000" s="125"/>
      <c r="C2000" s="125"/>
      <c r="D2000" s="146" t="s">
        <v>4587</v>
      </c>
      <c r="E2000" s="213" t="s">
        <v>4591</v>
      </c>
      <c r="F2000" s="112"/>
      <c r="G2000" s="112"/>
      <c r="H2000" s="112"/>
      <c r="I2000" s="41" t="s">
        <v>2763</v>
      </c>
      <c r="J2000" s="41" t="s">
        <v>2632</v>
      </c>
      <c r="K2000" s="57">
        <v>30</v>
      </c>
      <c r="L2000" s="58">
        <v>30</v>
      </c>
    </row>
    <row r="2001" spans="1:12" ht="15.75">
      <c r="A2001" s="105">
        <v>1908</v>
      </c>
      <c r="B2001" s="125"/>
      <c r="C2001" s="125"/>
      <c r="D2001" s="146" t="s">
        <v>2941</v>
      </c>
      <c r="E2001" s="213" t="s">
        <v>1014</v>
      </c>
      <c r="F2001" s="112"/>
      <c r="G2001" s="112"/>
      <c r="H2001" s="112"/>
      <c r="I2001" s="41" t="s">
        <v>2763</v>
      </c>
      <c r="J2001" s="41" t="s">
        <v>2632</v>
      </c>
      <c r="K2001" s="57">
        <v>30</v>
      </c>
      <c r="L2001" s="58">
        <v>30</v>
      </c>
    </row>
    <row r="2002" spans="1:12" ht="15.75">
      <c r="A2002" s="105">
        <v>1908</v>
      </c>
      <c r="B2002" s="125"/>
      <c r="C2002" s="125"/>
      <c r="D2002" s="146" t="s">
        <v>4588</v>
      </c>
      <c r="E2002" s="213" t="s">
        <v>4590</v>
      </c>
      <c r="F2002" s="112"/>
      <c r="G2002" s="112"/>
      <c r="H2002" s="112"/>
      <c r="I2002" s="41" t="s">
        <v>2763</v>
      </c>
      <c r="J2002" s="41" t="s">
        <v>2632</v>
      </c>
      <c r="K2002" s="57">
        <v>30</v>
      </c>
      <c r="L2002" s="58">
        <v>30</v>
      </c>
    </row>
    <row r="2003" spans="1:12" ht="15.75">
      <c r="A2003" s="105">
        <v>1908</v>
      </c>
      <c r="B2003" s="125"/>
      <c r="C2003" s="125"/>
      <c r="D2003" s="146" t="s">
        <v>4589</v>
      </c>
      <c r="E2003" s="213" t="s">
        <v>4591</v>
      </c>
      <c r="F2003" s="112"/>
      <c r="G2003" s="112"/>
      <c r="H2003" s="112"/>
      <c r="I2003" s="41" t="s">
        <v>2763</v>
      </c>
      <c r="J2003" s="41" t="s">
        <v>2632</v>
      </c>
      <c r="K2003" s="57">
        <v>30</v>
      </c>
      <c r="L2003" s="58">
        <v>30</v>
      </c>
    </row>
    <row r="2004" spans="1:12" ht="15.75">
      <c r="A2004" s="105">
        <v>1909</v>
      </c>
      <c r="B2004" s="125"/>
      <c r="C2004" s="125"/>
      <c r="D2004" s="158" t="s">
        <v>2942</v>
      </c>
      <c r="E2004" s="186" t="s">
        <v>2944</v>
      </c>
      <c r="F2004" s="112"/>
      <c r="G2004" s="112"/>
      <c r="H2004" s="112"/>
      <c r="I2004" s="8" t="s">
        <v>4603</v>
      </c>
      <c r="J2004" s="41" t="s">
        <v>1110</v>
      </c>
      <c r="K2004" s="57">
        <v>30</v>
      </c>
      <c r="L2004" s="58">
        <v>30</v>
      </c>
    </row>
    <row r="2005" spans="1:12" ht="15.75">
      <c r="A2005" s="105">
        <v>1910</v>
      </c>
      <c r="B2005" s="125"/>
      <c r="C2005" s="125"/>
      <c r="D2005" s="146" t="s">
        <v>2943</v>
      </c>
      <c r="E2005" s="186" t="s">
        <v>2945</v>
      </c>
      <c r="F2005" s="112"/>
      <c r="G2005" s="112"/>
      <c r="H2005" s="112"/>
      <c r="I2005" s="8" t="s">
        <v>4603</v>
      </c>
      <c r="J2005" s="41" t="s">
        <v>1110</v>
      </c>
      <c r="K2005" s="57">
        <v>30</v>
      </c>
      <c r="L2005" s="58">
        <v>30</v>
      </c>
    </row>
    <row r="2006" spans="1:12" ht="15.75">
      <c r="A2006" s="105"/>
      <c r="B2006" s="125"/>
      <c r="C2006" s="125"/>
      <c r="D2006" s="146" t="s">
        <v>4670</v>
      </c>
      <c r="E2006" s="213" t="s">
        <v>2954</v>
      </c>
      <c r="F2006" s="112"/>
      <c r="G2006" s="112"/>
      <c r="H2006" s="112"/>
      <c r="I2006" s="41" t="s">
        <v>2763</v>
      </c>
      <c r="J2006" s="41" t="s">
        <v>1912</v>
      </c>
      <c r="K2006" s="57">
        <v>60</v>
      </c>
      <c r="L2006" s="58">
        <v>60</v>
      </c>
    </row>
    <row r="2007" spans="1:12" ht="15.75">
      <c r="A2007" s="105"/>
      <c r="B2007" s="125"/>
      <c r="C2007" s="125"/>
      <c r="D2007" s="146" t="s">
        <v>4671</v>
      </c>
      <c r="E2007" s="213" t="s">
        <v>2954</v>
      </c>
      <c r="F2007" s="112"/>
      <c r="G2007" s="112"/>
      <c r="H2007" s="112"/>
      <c r="I2007" s="41" t="s">
        <v>2763</v>
      </c>
      <c r="J2007" s="41" t="s">
        <v>1912</v>
      </c>
      <c r="K2007" s="57">
        <v>60</v>
      </c>
      <c r="L2007" s="58">
        <v>60</v>
      </c>
    </row>
    <row r="2008" spans="1:12" ht="15.75">
      <c r="A2008" s="105"/>
      <c r="B2008" s="125"/>
      <c r="C2008" s="125"/>
      <c r="D2008" s="146" t="s">
        <v>4672</v>
      </c>
      <c r="E2008" s="213" t="s">
        <v>2954</v>
      </c>
      <c r="F2008" s="112"/>
      <c r="G2008" s="112"/>
      <c r="H2008" s="112"/>
      <c r="I2008" s="41" t="s">
        <v>2763</v>
      </c>
      <c r="J2008" s="41" t="s">
        <v>1912</v>
      </c>
      <c r="K2008" s="57">
        <v>60</v>
      </c>
      <c r="L2008" s="58">
        <v>60</v>
      </c>
    </row>
    <row r="2009" spans="1:12" ht="15.75">
      <c r="A2009" s="105"/>
      <c r="B2009" s="125"/>
      <c r="C2009" s="125"/>
      <c r="D2009" s="146" t="s">
        <v>4673</v>
      </c>
      <c r="E2009" s="213" t="s">
        <v>2954</v>
      </c>
      <c r="F2009" s="112"/>
      <c r="G2009" s="112"/>
      <c r="H2009" s="112"/>
      <c r="I2009" s="41" t="s">
        <v>2763</v>
      </c>
      <c r="J2009" s="41" t="s">
        <v>1912</v>
      </c>
      <c r="K2009" s="57">
        <v>60</v>
      </c>
      <c r="L2009" s="58">
        <v>60</v>
      </c>
    </row>
    <row r="2010" spans="1:12" ht="15.75">
      <c r="A2010" s="105"/>
      <c r="B2010" s="125"/>
      <c r="C2010" s="125"/>
      <c r="D2010" s="146" t="s">
        <v>4674</v>
      </c>
      <c r="E2010" s="213" t="s">
        <v>2954</v>
      </c>
      <c r="F2010" s="112"/>
      <c r="G2010" s="112"/>
      <c r="H2010" s="112"/>
      <c r="I2010" s="41" t="s">
        <v>2763</v>
      </c>
      <c r="J2010" s="41" t="s">
        <v>1912</v>
      </c>
      <c r="K2010" s="57">
        <v>60</v>
      </c>
      <c r="L2010" s="58">
        <v>60</v>
      </c>
    </row>
    <row r="2011" spans="1:12" ht="15.75">
      <c r="A2011" s="105"/>
      <c r="B2011" s="125"/>
      <c r="C2011" s="125"/>
      <c r="D2011" s="146" t="s">
        <v>4675</v>
      </c>
      <c r="E2011" s="213" t="s">
        <v>2954</v>
      </c>
      <c r="F2011" s="112"/>
      <c r="G2011" s="112"/>
      <c r="H2011" s="112"/>
      <c r="I2011" s="41" t="s">
        <v>2763</v>
      </c>
      <c r="J2011" s="41" t="s">
        <v>1912</v>
      </c>
      <c r="K2011" s="57">
        <v>60</v>
      </c>
      <c r="L2011" s="58">
        <v>60</v>
      </c>
    </row>
    <row r="2012" spans="1:12" ht="15.75">
      <c r="A2012" s="105"/>
      <c r="B2012" s="125"/>
      <c r="C2012" s="125"/>
      <c r="D2012" s="146" t="s">
        <v>4676</v>
      </c>
      <c r="E2012" s="213" t="s">
        <v>2954</v>
      </c>
      <c r="F2012" s="112"/>
      <c r="G2012" s="112"/>
      <c r="H2012" s="112"/>
      <c r="I2012" s="41" t="s">
        <v>2763</v>
      </c>
      <c r="J2012" s="41" t="s">
        <v>1912</v>
      </c>
      <c r="K2012" s="57">
        <v>60</v>
      </c>
      <c r="L2012" s="58">
        <v>60</v>
      </c>
    </row>
    <row r="2013" spans="1:12" ht="15.75">
      <c r="A2013" s="105"/>
      <c r="B2013" s="125"/>
      <c r="C2013" s="125"/>
      <c r="D2013" s="146" t="s">
        <v>4677</v>
      </c>
      <c r="E2013" s="213" t="s">
        <v>2954</v>
      </c>
      <c r="F2013" s="112"/>
      <c r="G2013" s="112"/>
      <c r="H2013" s="112"/>
      <c r="I2013" s="41" t="s">
        <v>2763</v>
      </c>
      <c r="J2013" s="41" t="s">
        <v>1912</v>
      </c>
      <c r="K2013" s="57">
        <v>60</v>
      </c>
      <c r="L2013" s="58">
        <v>60</v>
      </c>
    </row>
    <row r="2014" spans="1:12" ht="15.75">
      <c r="A2014" s="105">
        <v>1911</v>
      </c>
      <c r="B2014" s="125"/>
      <c r="C2014" s="125"/>
      <c r="D2014" s="146" t="s">
        <v>2946</v>
      </c>
      <c r="E2014" s="213" t="s">
        <v>2954</v>
      </c>
      <c r="F2014" s="155"/>
      <c r="G2014" s="112"/>
      <c r="H2014" s="112"/>
      <c r="I2014" s="41" t="s">
        <v>2763</v>
      </c>
      <c r="J2014" s="41" t="s">
        <v>2890</v>
      </c>
      <c r="K2014" s="57">
        <v>100</v>
      </c>
      <c r="L2014" s="58">
        <v>100</v>
      </c>
    </row>
    <row r="2015" spans="1:12" ht="15.75">
      <c r="A2015" s="105">
        <v>1912</v>
      </c>
      <c r="B2015" s="125"/>
      <c r="C2015" s="125"/>
      <c r="D2015" s="146" t="s">
        <v>2947</v>
      </c>
      <c r="E2015" s="213" t="s">
        <v>2954</v>
      </c>
      <c r="F2015" s="155"/>
      <c r="G2015" s="112"/>
      <c r="H2015" s="112"/>
      <c r="I2015" s="41" t="s">
        <v>2763</v>
      </c>
      <c r="J2015" s="155" t="s">
        <v>2890</v>
      </c>
      <c r="K2015" s="57">
        <v>100</v>
      </c>
      <c r="L2015" s="58">
        <v>100</v>
      </c>
    </row>
    <row r="2016" spans="1:12" ht="15.75">
      <c r="A2016" s="105">
        <v>1913</v>
      </c>
      <c r="B2016" s="125"/>
      <c r="C2016" s="125"/>
      <c r="D2016" s="146" t="s">
        <v>2948</v>
      </c>
      <c r="E2016" s="213" t="s">
        <v>2954</v>
      </c>
      <c r="F2016" s="155"/>
      <c r="G2016" s="112"/>
      <c r="H2016" s="112"/>
      <c r="I2016" s="41" t="s">
        <v>2763</v>
      </c>
      <c r="J2016" s="155" t="s">
        <v>2890</v>
      </c>
      <c r="K2016" s="57">
        <v>100</v>
      </c>
      <c r="L2016" s="58">
        <v>100</v>
      </c>
    </row>
    <row r="2017" spans="1:12" ht="15.75">
      <c r="A2017" s="105">
        <v>1914</v>
      </c>
      <c r="B2017" s="125"/>
      <c r="C2017" s="125"/>
      <c r="D2017" s="146" t="s">
        <v>2949</v>
      </c>
      <c r="E2017" s="213" t="s">
        <v>2954</v>
      </c>
      <c r="F2017" s="155"/>
      <c r="G2017" s="112"/>
      <c r="H2017" s="112"/>
      <c r="I2017" s="41" t="s">
        <v>2763</v>
      </c>
      <c r="J2017" s="155" t="s">
        <v>2890</v>
      </c>
      <c r="K2017" s="57">
        <v>100</v>
      </c>
      <c r="L2017" s="58">
        <v>100</v>
      </c>
    </row>
    <row r="2018" spans="1:12" ht="15.75">
      <c r="A2018" s="105">
        <v>1915</v>
      </c>
      <c r="B2018" s="125"/>
      <c r="C2018" s="125"/>
      <c r="D2018" s="146" t="s">
        <v>2950</v>
      </c>
      <c r="E2018" s="213" t="s">
        <v>2954</v>
      </c>
      <c r="F2018" s="155"/>
      <c r="G2018" s="112"/>
      <c r="H2018" s="112"/>
      <c r="I2018" s="41" t="s">
        <v>2763</v>
      </c>
      <c r="J2018" s="155" t="s">
        <v>2890</v>
      </c>
      <c r="K2018" s="57">
        <v>100</v>
      </c>
      <c r="L2018" s="58">
        <v>100</v>
      </c>
    </row>
    <row r="2019" spans="1:12" ht="15.75">
      <c r="A2019" s="105">
        <v>1916</v>
      </c>
      <c r="B2019" s="125"/>
      <c r="C2019" s="125"/>
      <c r="D2019" s="146" t="s">
        <v>2951</v>
      </c>
      <c r="E2019" s="213" t="s">
        <v>2954</v>
      </c>
      <c r="F2019" s="155"/>
      <c r="G2019" s="112"/>
      <c r="H2019" s="112"/>
      <c r="I2019" s="41" t="s">
        <v>2763</v>
      </c>
      <c r="J2019" s="155" t="s">
        <v>2890</v>
      </c>
      <c r="K2019" s="57">
        <v>100</v>
      </c>
      <c r="L2019" s="58">
        <v>100</v>
      </c>
    </row>
    <row r="2020" spans="1:12" ht="15.75">
      <c r="A2020" s="105">
        <v>1917</v>
      </c>
      <c r="B2020" s="125"/>
      <c r="C2020" s="125"/>
      <c r="D2020" s="146" t="s">
        <v>2952</v>
      </c>
      <c r="E2020" s="213" t="s">
        <v>2954</v>
      </c>
      <c r="F2020" s="155"/>
      <c r="G2020" s="112"/>
      <c r="H2020" s="112"/>
      <c r="I2020" s="41" t="s">
        <v>2763</v>
      </c>
      <c r="J2020" s="155" t="s">
        <v>2890</v>
      </c>
      <c r="K2020" s="57">
        <v>100</v>
      </c>
      <c r="L2020" s="58">
        <v>100</v>
      </c>
    </row>
    <row r="2021" spans="1:12" ht="15.75">
      <c r="A2021" s="105">
        <v>1918</v>
      </c>
      <c r="B2021" s="125"/>
      <c r="C2021" s="125"/>
      <c r="D2021" s="146" t="s">
        <v>2953</v>
      </c>
      <c r="E2021" s="213" t="s">
        <v>2954</v>
      </c>
      <c r="F2021" s="155"/>
      <c r="G2021" s="112"/>
      <c r="H2021" s="112"/>
      <c r="I2021" s="41" t="s">
        <v>2763</v>
      </c>
      <c r="J2021" s="155" t="s">
        <v>2890</v>
      </c>
      <c r="K2021" s="57">
        <v>100</v>
      </c>
      <c r="L2021" s="58">
        <v>100</v>
      </c>
    </row>
    <row r="2022" spans="1:12" ht="15.75">
      <c r="A2022" s="105">
        <v>1919</v>
      </c>
      <c r="B2022" s="125"/>
      <c r="C2022" s="125"/>
      <c r="D2022" s="187" t="s">
        <v>2955</v>
      </c>
      <c r="E2022" s="186" t="s">
        <v>2956</v>
      </c>
      <c r="F2022" s="112"/>
      <c r="G2022" s="112"/>
      <c r="H2022" s="112"/>
      <c r="I2022" s="8" t="s">
        <v>4604</v>
      </c>
      <c r="J2022" s="41" t="s">
        <v>1110</v>
      </c>
      <c r="K2022" s="57">
        <v>30</v>
      </c>
      <c r="L2022" s="58">
        <v>30</v>
      </c>
    </row>
    <row r="2023" spans="1:12" ht="15.75">
      <c r="A2023" s="105">
        <v>1920</v>
      </c>
      <c r="B2023" s="125"/>
      <c r="C2023" s="125"/>
      <c r="D2023" s="187" t="s">
        <v>2955</v>
      </c>
      <c r="E2023" s="186" t="s">
        <v>2956</v>
      </c>
      <c r="F2023" s="112"/>
      <c r="G2023" s="112"/>
      <c r="H2023" s="112"/>
      <c r="I2023" s="8" t="s">
        <v>4604</v>
      </c>
      <c r="J2023" s="41" t="s">
        <v>1110</v>
      </c>
      <c r="K2023" s="57">
        <v>30</v>
      </c>
      <c r="L2023" s="58">
        <v>30</v>
      </c>
    </row>
    <row r="2024" spans="1:12" ht="15.75">
      <c r="A2024" s="105">
        <v>1921</v>
      </c>
      <c r="B2024" s="125"/>
      <c r="C2024" s="125"/>
      <c r="D2024" s="187" t="s">
        <v>2957</v>
      </c>
      <c r="E2024" s="186" t="s">
        <v>2958</v>
      </c>
      <c r="F2024" s="112"/>
      <c r="G2024" s="112"/>
      <c r="H2024" s="112"/>
      <c r="I2024" s="8" t="s">
        <v>4604</v>
      </c>
      <c r="J2024" s="41" t="s">
        <v>1110</v>
      </c>
      <c r="K2024" s="57">
        <v>30</v>
      </c>
      <c r="L2024" s="58">
        <v>30</v>
      </c>
    </row>
    <row r="2025" spans="1:12" ht="15.75">
      <c r="A2025" s="105">
        <v>1922</v>
      </c>
      <c r="B2025" s="125"/>
      <c r="C2025" s="125"/>
      <c r="D2025" s="8" t="s">
        <v>2959</v>
      </c>
      <c r="E2025" s="221" t="s">
        <v>5238</v>
      </c>
      <c r="F2025" s="112"/>
      <c r="G2025" s="112"/>
      <c r="H2025" s="112"/>
      <c r="I2025" s="41" t="s">
        <v>2768</v>
      </c>
      <c r="J2025" s="41" t="s">
        <v>394</v>
      </c>
      <c r="K2025" s="57">
        <v>30</v>
      </c>
      <c r="L2025" s="58">
        <v>30</v>
      </c>
    </row>
    <row r="2026" spans="1:12" ht="15.75">
      <c r="A2026" s="105">
        <v>1923</v>
      </c>
      <c r="B2026" s="125"/>
      <c r="C2026" s="125"/>
      <c r="D2026" s="41" t="s">
        <v>2036</v>
      </c>
      <c r="E2026" s="194" t="s">
        <v>834</v>
      </c>
      <c r="F2026" s="112"/>
      <c r="G2026" s="112"/>
      <c r="H2026" s="112"/>
      <c r="I2026" s="7" t="s">
        <v>260</v>
      </c>
      <c r="J2026" s="41" t="s">
        <v>377</v>
      </c>
      <c r="K2026" s="57">
        <v>30</v>
      </c>
      <c r="L2026" s="58">
        <v>30</v>
      </c>
    </row>
    <row r="2027" spans="1:12" ht="15.75">
      <c r="A2027" s="105">
        <v>1924</v>
      </c>
      <c r="B2027" s="125"/>
      <c r="C2027" s="125"/>
      <c r="D2027" s="41" t="s">
        <v>2036</v>
      </c>
      <c r="E2027" s="194" t="s">
        <v>834</v>
      </c>
      <c r="F2027" s="112"/>
      <c r="G2027" s="112"/>
      <c r="H2027" s="112"/>
      <c r="I2027" s="7" t="s">
        <v>260</v>
      </c>
      <c r="J2027" s="41" t="s">
        <v>377</v>
      </c>
      <c r="K2027" s="57">
        <v>30</v>
      </c>
      <c r="L2027" s="58">
        <v>30</v>
      </c>
    </row>
    <row r="2028" spans="1:12" ht="15.75">
      <c r="A2028" s="105">
        <v>1925</v>
      </c>
      <c r="B2028" s="125"/>
      <c r="C2028" s="125"/>
      <c r="D2028" s="41" t="s">
        <v>2818</v>
      </c>
      <c r="E2028" s="194" t="s">
        <v>834</v>
      </c>
      <c r="F2028" s="112"/>
      <c r="G2028" s="112"/>
      <c r="H2028" s="112"/>
      <c r="I2028" s="7" t="s">
        <v>260</v>
      </c>
      <c r="J2028" s="41" t="s">
        <v>377</v>
      </c>
      <c r="K2028" s="57">
        <v>30</v>
      </c>
      <c r="L2028" s="58">
        <v>30</v>
      </c>
    </row>
    <row r="2029" spans="1:12" ht="15.75">
      <c r="A2029" s="105">
        <v>1926</v>
      </c>
      <c r="B2029" s="125"/>
      <c r="C2029" s="125"/>
      <c r="D2029" s="41" t="s">
        <v>2037</v>
      </c>
      <c r="E2029" s="194" t="s">
        <v>834</v>
      </c>
      <c r="F2029" s="112"/>
      <c r="G2029" s="112"/>
      <c r="H2029" s="112"/>
      <c r="I2029" s="7" t="s">
        <v>260</v>
      </c>
      <c r="J2029" s="41" t="s">
        <v>377</v>
      </c>
      <c r="K2029" s="57">
        <v>30</v>
      </c>
      <c r="L2029" s="58">
        <v>30</v>
      </c>
    </row>
    <row r="2030" spans="1:12" ht="15.75">
      <c r="A2030" s="105">
        <v>1927</v>
      </c>
      <c r="B2030" s="125"/>
      <c r="C2030" s="125"/>
      <c r="D2030" s="41" t="s">
        <v>2037</v>
      </c>
      <c r="E2030" s="194" t="s">
        <v>834</v>
      </c>
      <c r="F2030" s="112"/>
      <c r="G2030" s="112"/>
      <c r="H2030" s="112"/>
      <c r="I2030" s="7" t="s">
        <v>260</v>
      </c>
      <c r="J2030" s="41" t="s">
        <v>377</v>
      </c>
      <c r="K2030" s="57">
        <v>30</v>
      </c>
      <c r="L2030" s="58">
        <v>30</v>
      </c>
    </row>
    <row r="2031" spans="1:12" ht="15.75">
      <c r="A2031" s="105">
        <v>1928</v>
      </c>
      <c r="B2031" s="125"/>
      <c r="C2031" s="125"/>
      <c r="D2031" s="41" t="s">
        <v>2038</v>
      </c>
      <c r="E2031" s="194" t="s">
        <v>834</v>
      </c>
      <c r="F2031" s="112"/>
      <c r="G2031" s="112"/>
      <c r="H2031" s="112"/>
      <c r="I2031" s="7" t="s">
        <v>260</v>
      </c>
      <c r="J2031" s="41" t="s">
        <v>377</v>
      </c>
      <c r="K2031" s="57">
        <v>30</v>
      </c>
      <c r="L2031" s="58">
        <v>30</v>
      </c>
    </row>
    <row r="2032" spans="1:12" ht="15.75">
      <c r="A2032" s="105">
        <v>1929</v>
      </c>
      <c r="B2032" s="125"/>
      <c r="C2032" s="125"/>
      <c r="D2032" s="41" t="s">
        <v>2038</v>
      </c>
      <c r="E2032" s="194" t="s">
        <v>834</v>
      </c>
      <c r="F2032" s="112"/>
      <c r="G2032" s="112"/>
      <c r="H2032" s="112"/>
      <c r="I2032" s="7" t="s">
        <v>260</v>
      </c>
      <c r="J2032" s="41" t="s">
        <v>377</v>
      </c>
      <c r="K2032" s="57">
        <v>30</v>
      </c>
      <c r="L2032" s="58">
        <v>30</v>
      </c>
    </row>
    <row r="2033" spans="1:12" ht="15.75">
      <c r="A2033" s="105">
        <v>1930</v>
      </c>
      <c r="B2033" s="125"/>
      <c r="C2033" s="125"/>
      <c r="D2033" s="41" t="s">
        <v>2960</v>
      </c>
      <c r="E2033" s="194" t="s">
        <v>834</v>
      </c>
      <c r="F2033" s="112"/>
      <c r="G2033" s="112"/>
      <c r="H2033" s="112"/>
      <c r="I2033" s="7" t="s">
        <v>260</v>
      </c>
      <c r="J2033" s="41" t="s">
        <v>377</v>
      </c>
      <c r="K2033" s="57">
        <v>30</v>
      </c>
      <c r="L2033" s="58">
        <v>30</v>
      </c>
    </row>
    <row r="2034" spans="1:12" ht="15.75">
      <c r="A2034" s="105">
        <v>1931</v>
      </c>
      <c r="B2034" s="125"/>
      <c r="C2034" s="125"/>
      <c r="D2034" s="128">
        <v>4110135150</v>
      </c>
      <c r="E2034" s="194" t="s">
        <v>834</v>
      </c>
      <c r="F2034" s="112"/>
      <c r="G2034" s="112"/>
      <c r="H2034" s="112"/>
      <c r="I2034" s="7" t="s">
        <v>260</v>
      </c>
      <c r="J2034" s="41" t="s">
        <v>377</v>
      </c>
      <c r="K2034" s="57">
        <v>30</v>
      </c>
      <c r="L2034" s="58">
        <v>30</v>
      </c>
    </row>
    <row r="2035" spans="1:12" ht="15.75">
      <c r="A2035" s="105">
        <v>1932</v>
      </c>
      <c r="B2035" s="125"/>
      <c r="C2035" s="125"/>
      <c r="D2035" s="128">
        <v>4110135151</v>
      </c>
      <c r="E2035" s="194" t="s">
        <v>834</v>
      </c>
      <c r="F2035" s="112"/>
      <c r="G2035" s="112"/>
      <c r="H2035" s="112"/>
      <c r="I2035" s="7" t="s">
        <v>260</v>
      </c>
      <c r="J2035" s="41" t="s">
        <v>377</v>
      </c>
      <c r="K2035" s="57">
        <v>30</v>
      </c>
      <c r="L2035" s="58">
        <v>30</v>
      </c>
    </row>
    <row r="2036" spans="1:12" ht="15.75">
      <c r="A2036" s="105">
        <v>1933</v>
      </c>
      <c r="B2036" s="125"/>
      <c r="C2036" s="125"/>
      <c r="D2036" s="128">
        <v>4120126121</v>
      </c>
      <c r="E2036" s="194" t="s">
        <v>2676</v>
      </c>
      <c r="F2036" s="112"/>
      <c r="G2036" s="112"/>
      <c r="H2036" s="112"/>
      <c r="I2036" s="7" t="s">
        <v>260</v>
      </c>
      <c r="J2036" s="41" t="s">
        <v>1690</v>
      </c>
      <c r="K2036" s="57">
        <v>30</v>
      </c>
      <c r="L2036" s="58">
        <v>30</v>
      </c>
    </row>
    <row r="2037" spans="1:12" ht="15.75">
      <c r="A2037" s="105">
        <v>1934</v>
      </c>
      <c r="B2037" s="125"/>
      <c r="C2037" s="125"/>
      <c r="D2037" s="128">
        <v>4120130042</v>
      </c>
      <c r="E2037" s="194" t="s">
        <v>2676</v>
      </c>
      <c r="F2037" s="112"/>
      <c r="G2037" s="112"/>
      <c r="H2037" s="112"/>
      <c r="I2037" s="7" t="s">
        <v>260</v>
      </c>
      <c r="J2037" s="41" t="s">
        <v>1690</v>
      </c>
      <c r="K2037" s="57">
        <v>30</v>
      </c>
      <c r="L2037" s="58">
        <v>30</v>
      </c>
    </row>
    <row r="2038" spans="1:12" ht="15.75">
      <c r="A2038" s="105">
        <v>1935</v>
      </c>
      <c r="B2038" s="125"/>
      <c r="C2038" s="125"/>
      <c r="D2038" s="128">
        <v>4120130062</v>
      </c>
      <c r="E2038" s="194" t="s">
        <v>2676</v>
      </c>
      <c r="F2038" s="112"/>
      <c r="G2038" s="112"/>
      <c r="H2038" s="112"/>
      <c r="I2038" s="7" t="s">
        <v>260</v>
      </c>
      <c r="J2038" s="41" t="s">
        <v>1690</v>
      </c>
      <c r="K2038" s="57">
        <v>30</v>
      </c>
      <c r="L2038" s="58">
        <v>30</v>
      </c>
    </row>
    <row r="2039" spans="1:12" ht="15.75">
      <c r="A2039" s="105">
        <v>1936</v>
      </c>
      <c r="B2039" s="125"/>
      <c r="C2039" s="125"/>
      <c r="D2039" s="128">
        <v>4120130151</v>
      </c>
      <c r="E2039" s="194" t="s">
        <v>2676</v>
      </c>
      <c r="F2039" s="112"/>
      <c r="G2039" s="112"/>
      <c r="H2039" s="112"/>
      <c r="I2039" s="7" t="s">
        <v>260</v>
      </c>
      <c r="J2039" s="41" t="s">
        <v>1690</v>
      </c>
      <c r="K2039" s="57">
        <v>30</v>
      </c>
      <c r="L2039" s="58">
        <v>30</v>
      </c>
    </row>
    <row r="2040" spans="1:12" ht="15.75">
      <c r="A2040" s="105">
        <v>1937</v>
      </c>
      <c r="B2040" s="125"/>
      <c r="C2040" s="125"/>
      <c r="D2040" s="128">
        <v>4120130200</v>
      </c>
      <c r="E2040" s="194" t="s">
        <v>2676</v>
      </c>
      <c r="F2040" s="112"/>
      <c r="G2040" s="112"/>
      <c r="H2040" s="112"/>
      <c r="I2040" s="7" t="s">
        <v>260</v>
      </c>
      <c r="J2040" s="41" t="s">
        <v>1690</v>
      </c>
      <c r="K2040" s="57">
        <v>30</v>
      </c>
      <c r="L2040" s="58">
        <v>30</v>
      </c>
    </row>
    <row r="2041" spans="1:12" ht="15.75">
      <c r="A2041" s="105">
        <v>1938</v>
      </c>
      <c r="B2041" s="125"/>
      <c r="C2041" s="125"/>
      <c r="D2041" s="128">
        <v>4120135201</v>
      </c>
      <c r="E2041" s="194" t="s">
        <v>2676</v>
      </c>
      <c r="F2041" s="112"/>
      <c r="G2041" s="112"/>
      <c r="H2041" s="112"/>
      <c r="I2041" s="7" t="s">
        <v>260</v>
      </c>
      <c r="J2041" s="41" t="s">
        <v>1690</v>
      </c>
      <c r="K2041" s="57">
        <v>30</v>
      </c>
      <c r="L2041" s="58">
        <v>30</v>
      </c>
    </row>
    <row r="2042" spans="1:12" ht="15.75">
      <c r="A2042" s="105">
        <v>1939</v>
      </c>
      <c r="B2042" s="125"/>
      <c r="C2042" s="125"/>
      <c r="D2042" s="128">
        <v>4120135230</v>
      </c>
      <c r="E2042" s="194" t="s">
        <v>2676</v>
      </c>
      <c r="F2042" s="112"/>
      <c r="G2042" s="112"/>
      <c r="H2042" s="112"/>
      <c r="I2042" s="7" t="s">
        <v>260</v>
      </c>
      <c r="J2042" s="41" t="s">
        <v>1690</v>
      </c>
      <c r="K2042" s="57">
        <v>30</v>
      </c>
      <c r="L2042" s="58">
        <v>30</v>
      </c>
    </row>
    <row r="2043" spans="1:12" ht="15.75">
      <c r="A2043" s="105">
        <v>1940</v>
      </c>
      <c r="B2043" s="125"/>
      <c r="C2043" s="125"/>
      <c r="D2043" s="128">
        <v>4120135350</v>
      </c>
      <c r="E2043" s="194" t="s">
        <v>2676</v>
      </c>
      <c r="F2043" s="112"/>
      <c r="G2043" s="112"/>
      <c r="H2043" s="112"/>
      <c r="I2043" s="7" t="s">
        <v>260</v>
      </c>
      <c r="J2043" s="41" t="s">
        <v>1690</v>
      </c>
      <c r="K2043" s="57">
        <v>30</v>
      </c>
      <c r="L2043" s="58">
        <v>30</v>
      </c>
    </row>
    <row r="2044" spans="1:12" ht="15.75">
      <c r="A2044" s="105">
        <v>1941</v>
      </c>
      <c r="B2044" s="125"/>
      <c r="C2044" s="125"/>
      <c r="D2044" s="128">
        <v>4120160221</v>
      </c>
      <c r="E2044" s="194" t="s">
        <v>2676</v>
      </c>
      <c r="F2044" s="112"/>
      <c r="G2044" s="112"/>
      <c r="H2044" s="112"/>
      <c r="I2044" s="7" t="s">
        <v>260</v>
      </c>
      <c r="J2044" s="41" t="s">
        <v>1690</v>
      </c>
      <c r="K2044" s="57">
        <v>30</v>
      </c>
      <c r="L2044" s="58">
        <v>30</v>
      </c>
    </row>
    <row r="2045" spans="1:12" ht="15.75">
      <c r="A2045" s="105">
        <v>1942</v>
      </c>
      <c r="B2045" s="125"/>
      <c r="C2045" s="125"/>
      <c r="D2045" s="128">
        <v>4120171010</v>
      </c>
      <c r="E2045" s="194" t="s">
        <v>2676</v>
      </c>
      <c r="F2045" s="112"/>
      <c r="G2045" s="112"/>
      <c r="H2045" s="112"/>
      <c r="I2045" s="7" t="s">
        <v>260</v>
      </c>
      <c r="J2045" s="41" t="s">
        <v>1690</v>
      </c>
      <c r="K2045" s="57">
        <v>30</v>
      </c>
      <c r="L2045" s="58">
        <v>30</v>
      </c>
    </row>
    <row r="2046" spans="1:12" ht="15.75">
      <c r="A2046" s="105">
        <v>1943</v>
      </c>
      <c r="B2046" s="125"/>
      <c r="C2046" s="125"/>
      <c r="D2046" s="128">
        <v>4120171100</v>
      </c>
      <c r="E2046" s="194" t="s">
        <v>2676</v>
      </c>
      <c r="F2046" s="112"/>
      <c r="G2046" s="112"/>
      <c r="H2046" s="112"/>
      <c r="I2046" s="7" t="s">
        <v>260</v>
      </c>
      <c r="J2046" s="41" t="s">
        <v>1690</v>
      </c>
      <c r="K2046" s="57">
        <v>30</v>
      </c>
      <c r="L2046" s="58">
        <v>30</v>
      </c>
    </row>
    <row r="2047" spans="1:12" ht="15.75">
      <c r="A2047" s="105">
        <v>1944</v>
      </c>
      <c r="B2047" s="125"/>
      <c r="C2047" s="125"/>
      <c r="D2047" s="128">
        <v>4120171020</v>
      </c>
      <c r="E2047" s="194" t="s">
        <v>2676</v>
      </c>
      <c r="F2047" s="112"/>
      <c r="G2047" s="112"/>
      <c r="H2047" s="112"/>
      <c r="I2047" s="7" t="s">
        <v>260</v>
      </c>
      <c r="J2047" s="41" t="s">
        <v>1690</v>
      </c>
      <c r="K2047" s="57">
        <v>30</v>
      </c>
      <c r="L2047" s="58">
        <v>30</v>
      </c>
    </row>
    <row r="2048" spans="1:12" ht="15.75">
      <c r="A2048" s="105">
        <v>1945</v>
      </c>
      <c r="B2048" s="125"/>
      <c r="C2048" s="125"/>
      <c r="D2048" s="128">
        <v>4120135410</v>
      </c>
      <c r="E2048" s="194" t="s">
        <v>2676</v>
      </c>
      <c r="F2048" s="112"/>
      <c r="G2048" s="112"/>
      <c r="H2048" s="112"/>
      <c r="I2048" s="7" t="s">
        <v>260</v>
      </c>
      <c r="J2048" s="41" t="s">
        <v>1690</v>
      </c>
      <c r="K2048" s="57">
        <v>30</v>
      </c>
      <c r="L2048" s="58">
        <v>30</v>
      </c>
    </row>
    <row r="2049" spans="1:12" ht="15.75">
      <c r="A2049" s="105">
        <v>1946</v>
      </c>
      <c r="B2049" s="125"/>
      <c r="C2049" s="125"/>
      <c r="D2049" s="128">
        <v>4120171030</v>
      </c>
      <c r="E2049" s="194" t="s">
        <v>2676</v>
      </c>
      <c r="F2049" s="112"/>
      <c r="G2049" s="112"/>
      <c r="H2049" s="112"/>
      <c r="I2049" s="7" t="s">
        <v>260</v>
      </c>
      <c r="J2049" s="41" t="s">
        <v>1690</v>
      </c>
      <c r="K2049" s="57">
        <v>30</v>
      </c>
      <c r="L2049" s="58">
        <v>30</v>
      </c>
    </row>
    <row r="2050" spans="1:12" ht="15.75">
      <c r="A2050" s="105">
        <v>1947</v>
      </c>
      <c r="B2050" s="125"/>
      <c r="C2050" s="125"/>
      <c r="D2050" s="128">
        <v>4120126150</v>
      </c>
      <c r="E2050" s="194" t="s">
        <v>2676</v>
      </c>
      <c r="F2050" s="112"/>
      <c r="G2050" s="112"/>
      <c r="H2050" s="112"/>
      <c r="I2050" s="7" t="s">
        <v>260</v>
      </c>
      <c r="J2050" s="41" t="s">
        <v>1690</v>
      </c>
      <c r="K2050" s="57">
        <v>30</v>
      </c>
      <c r="L2050" s="58">
        <v>30</v>
      </c>
    </row>
    <row r="2051" spans="1:12" ht="15.75">
      <c r="A2051" s="105">
        <v>1948</v>
      </c>
      <c r="B2051" s="125"/>
      <c r="C2051" s="125"/>
      <c r="D2051" s="128">
        <v>4120126150</v>
      </c>
      <c r="E2051" s="194" t="s">
        <v>2676</v>
      </c>
      <c r="F2051" s="112"/>
      <c r="G2051" s="112"/>
      <c r="H2051" s="112"/>
      <c r="I2051" s="7" t="s">
        <v>260</v>
      </c>
      <c r="J2051" s="41" t="s">
        <v>1690</v>
      </c>
      <c r="K2051" s="57">
        <v>30</v>
      </c>
      <c r="L2051" s="58">
        <v>30</v>
      </c>
    </row>
    <row r="2052" spans="1:12" ht="15.75">
      <c r="A2052" s="105">
        <v>1949</v>
      </c>
      <c r="B2052" s="125"/>
      <c r="C2052" s="125"/>
      <c r="D2052" s="128">
        <v>4120171040</v>
      </c>
      <c r="E2052" s="194" t="s">
        <v>2676</v>
      </c>
      <c r="F2052" s="112"/>
      <c r="G2052" s="112"/>
      <c r="H2052" s="112"/>
      <c r="I2052" s="7" t="s">
        <v>260</v>
      </c>
      <c r="J2052" s="41" t="s">
        <v>1690</v>
      </c>
      <c r="K2052" s="57">
        <v>30</v>
      </c>
      <c r="L2052" s="58">
        <v>30</v>
      </c>
    </row>
    <row r="2053" spans="1:12" ht="15.75">
      <c r="A2053" s="105">
        <v>1950</v>
      </c>
      <c r="B2053" s="125"/>
      <c r="C2053" s="125"/>
      <c r="D2053" s="128">
        <v>4120126160</v>
      </c>
      <c r="E2053" s="194" t="s">
        <v>2676</v>
      </c>
      <c r="F2053" s="112"/>
      <c r="G2053" s="112"/>
      <c r="H2053" s="112"/>
      <c r="I2053" s="7" t="s">
        <v>260</v>
      </c>
      <c r="J2053" s="41" t="s">
        <v>1690</v>
      </c>
      <c r="K2053" s="57">
        <v>30</v>
      </c>
      <c r="L2053" s="58">
        <v>30</v>
      </c>
    </row>
    <row r="2054" spans="1:12" ht="15.75">
      <c r="A2054" s="105">
        <v>1951</v>
      </c>
      <c r="B2054" s="125"/>
      <c r="C2054" s="125"/>
      <c r="D2054" s="128">
        <v>4120171050</v>
      </c>
      <c r="E2054" s="194" t="s">
        <v>2676</v>
      </c>
      <c r="F2054" s="112"/>
      <c r="G2054" s="112"/>
      <c r="H2054" s="112"/>
      <c r="I2054" s="7" t="s">
        <v>260</v>
      </c>
      <c r="J2054" s="41" t="s">
        <v>1690</v>
      </c>
      <c r="K2054" s="57">
        <v>30</v>
      </c>
      <c r="L2054" s="58">
        <v>30</v>
      </c>
    </row>
    <row r="2055" spans="1:12" ht="15.75">
      <c r="A2055" s="105">
        <v>1952</v>
      </c>
      <c r="B2055" s="125"/>
      <c r="C2055" s="125"/>
      <c r="D2055" s="128">
        <v>4120126170</v>
      </c>
      <c r="E2055" s="194" t="s">
        <v>2676</v>
      </c>
      <c r="F2055" s="112"/>
      <c r="G2055" s="112"/>
      <c r="H2055" s="112"/>
      <c r="I2055" s="7" t="s">
        <v>260</v>
      </c>
      <c r="J2055" s="41" t="s">
        <v>1690</v>
      </c>
      <c r="K2055" s="57">
        <v>30</v>
      </c>
      <c r="L2055" s="58">
        <v>30</v>
      </c>
    </row>
    <row r="2056" spans="1:12" ht="15.75">
      <c r="A2056" s="105">
        <v>1953</v>
      </c>
      <c r="B2056" s="125"/>
      <c r="C2056" s="125"/>
      <c r="D2056" s="128">
        <v>4120171060</v>
      </c>
      <c r="E2056" s="194" t="s">
        <v>2676</v>
      </c>
      <c r="F2056" s="112"/>
      <c r="G2056" s="112"/>
      <c r="H2056" s="112"/>
      <c r="I2056" s="7" t="s">
        <v>260</v>
      </c>
      <c r="J2056" s="41" t="s">
        <v>1690</v>
      </c>
      <c r="K2056" s="57">
        <v>30</v>
      </c>
      <c r="L2056" s="58">
        <v>30</v>
      </c>
    </row>
    <row r="2057" spans="1:12" ht="15.75">
      <c r="A2057" s="105">
        <v>1954</v>
      </c>
      <c r="B2057" s="125"/>
      <c r="C2057" s="125"/>
      <c r="D2057" s="128">
        <v>4120171070</v>
      </c>
      <c r="E2057" s="194" t="s">
        <v>2676</v>
      </c>
      <c r="F2057" s="112"/>
      <c r="G2057" s="112"/>
      <c r="H2057" s="112"/>
      <c r="I2057" s="7" t="s">
        <v>260</v>
      </c>
      <c r="J2057" s="41" t="s">
        <v>1690</v>
      </c>
      <c r="K2057" s="57">
        <v>30</v>
      </c>
      <c r="L2057" s="58">
        <v>30</v>
      </c>
    </row>
    <row r="2058" spans="1:12" ht="15.75">
      <c r="A2058" s="105">
        <v>1955</v>
      </c>
      <c r="B2058" s="125"/>
      <c r="C2058" s="125"/>
      <c r="D2058" s="128">
        <v>4120171080</v>
      </c>
      <c r="E2058" s="194" t="s">
        <v>2676</v>
      </c>
      <c r="F2058" s="112"/>
      <c r="G2058" s="112"/>
      <c r="H2058" s="112"/>
      <c r="I2058" s="7" t="s">
        <v>260</v>
      </c>
      <c r="J2058" s="41" t="s">
        <v>1690</v>
      </c>
      <c r="K2058" s="57">
        <v>30</v>
      </c>
      <c r="L2058" s="58">
        <v>30</v>
      </c>
    </row>
    <row r="2059" spans="1:12" ht="15.75">
      <c r="A2059" s="105">
        <v>1956</v>
      </c>
      <c r="B2059" s="125"/>
      <c r="C2059" s="125"/>
      <c r="D2059" s="128">
        <v>4120171090</v>
      </c>
      <c r="E2059" s="194" t="s">
        <v>2676</v>
      </c>
      <c r="F2059" s="112"/>
      <c r="G2059" s="112"/>
      <c r="H2059" s="112"/>
      <c r="I2059" s="7" t="s">
        <v>260</v>
      </c>
      <c r="J2059" s="41" t="s">
        <v>1690</v>
      </c>
      <c r="K2059" s="57">
        <v>30</v>
      </c>
      <c r="L2059" s="58">
        <v>30</v>
      </c>
    </row>
    <row r="2060" spans="1:12" ht="15.75">
      <c r="A2060" s="105">
        <v>1957</v>
      </c>
      <c r="B2060" s="125"/>
      <c r="C2060" s="125"/>
      <c r="D2060" s="159" t="s">
        <v>2961</v>
      </c>
      <c r="E2060" s="222" t="s">
        <v>2962</v>
      </c>
      <c r="F2060" s="112"/>
      <c r="G2060" s="112"/>
      <c r="H2060" s="112"/>
      <c r="I2060" s="41" t="s">
        <v>2763</v>
      </c>
      <c r="J2060" s="41" t="s">
        <v>2963</v>
      </c>
      <c r="K2060" s="57">
        <v>30</v>
      </c>
      <c r="L2060" s="58">
        <v>30</v>
      </c>
    </row>
    <row r="2061" spans="1:12" ht="15.75">
      <c r="A2061" s="105">
        <v>1958</v>
      </c>
      <c r="B2061" s="125"/>
      <c r="C2061" s="125"/>
      <c r="D2061" s="160">
        <v>4121426011</v>
      </c>
      <c r="E2061" s="222" t="s">
        <v>2962</v>
      </c>
      <c r="F2061" s="112"/>
      <c r="G2061" s="112"/>
      <c r="H2061" s="112"/>
      <c r="I2061" s="41" t="s">
        <v>2763</v>
      </c>
      <c r="J2061" s="41" t="s">
        <v>2963</v>
      </c>
      <c r="K2061" s="57">
        <v>30</v>
      </c>
      <c r="L2061" s="58">
        <v>30</v>
      </c>
    </row>
    <row r="2062" spans="1:12" ht="15.75">
      <c r="A2062" s="105">
        <v>1959</v>
      </c>
      <c r="B2062" s="125"/>
      <c r="C2062" s="125"/>
      <c r="D2062" s="41" t="s">
        <v>2964</v>
      </c>
      <c r="E2062" s="189" t="s">
        <v>1014</v>
      </c>
      <c r="F2062" s="112"/>
      <c r="G2062" s="112"/>
      <c r="H2062" s="112"/>
      <c r="I2062" s="41" t="s">
        <v>2814</v>
      </c>
      <c r="J2062" s="41" t="s">
        <v>4720</v>
      </c>
      <c r="K2062" s="57">
        <v>100</v>
      </c>
      <c r="L2062" s="58">
        <v>100</v>
      </c>
    </row>
    <row r="2063" spans="1:12" ht="15.75">
      <c r="A2063" s="105">
        <v>1960</v>
      </c>
      <c r="B2063" s="125"/>
      <c r="C2063" s="125"/>
      <c r="D2063" s="41" t="s">
        <v>2965</v>
      </c>
      <c r="E2063" s="194" t="s">
        <v>1846</v>
      </c>
      <c r="F2063" s="112"/>
      <c r="G2063" s="112"/>
      <c r="H2063" s="112"/>
      <c r="I2063" s="7" t="s">
        <v>260</v>
      </c>
      <c r="J2063" s="41" t="s">
        <v>377</v>
      </c>
      <c r="K2063" s="57">
        <v>30</v>
      </c>
      <c r="L2063" s="58">
        <v>30</v>
      </c>
    </row>
    <row r="2064" spans="1:12" ht="15.75">
      <c r="A2064" s="105">
        <v>1961</v>
      </c>
      <c r="B2064" s="125"/>
      <c r="C2064" s="125"/>
      <c r="D2064" s="41" t="s">
        <v>1657</v>
      </c>
      <c r="E2064" s="194" t="s">
        <v>1846</v>
      </c>
      <c r="F2064" s="112"/>
      <c r="G2064" s="112"/>
      <c r="H2064" s="112"/>
      <c r="I2064" s="8" t="s">
        <v>317</v>
      </c>
      <c r="J2064" s="41" t="s">
        <v>377</v>
      </c>
      <c r="K2064" s="57">
        <v>30</v>
      </c>
      <c r="L2064" s="58">
        <v>30</v>
      </c>
    </row>
    <row r="2065" spans="1:12" ht="15.75">
      <c r="A2065" s="105">
        <v>1962</v>
      </c>
      <c r="B2065" s="125"/>
      <c r="C2065" s="125"/>
      <c r="D2065" s="41" t="s">
        <v>1660</v>
      </c>
      <c r="E2065" s="194" t="s">
        <v>1846</v>
      </c>
      <c r="F2065" s="112"/>
      <c r="G2065" s="112"/>
      <c r="H2065" s="112"/>
      <c r="I2065" s="8" t="s">
        <v>317</v>
      </c>
      <c r="J2065" s="41" t="s">
        <v>249</v>
      </c>
      <c r="K2065" s="57">
        <v>30</v>
      </c>
      <c r="L2065" s="58">
        <v>30</v>
      </c>
    </row>
    <row r="2066" spans="1:12" ht="15.75">
      <c r="A2066" s="105">
        <v>1963</v>
      </c>
      <c r="B2066" s="125"/>
      <c r="C2066" s="125"/>
      <c r="D2066" s="41" t="s">
        <v>2966</v>
      </c>
      <c r="E2066" s="194" t="s">
        <v>1846</v>
      </c>
      <c r="F2066" s="112"/>
      <c r="G2066" s="112"/>
      <c r="H2066" s="112"/>
      <c r="I2066" s="41" t="s">
        <v>2763</v>
      </c>
      <c r="J2066" s="41" t="s">
        <v>249</v>
      </c>
      <c r="K2066" s="57">
        <v>30</v>
      </c>
      <c r="L2066" s="58">
        <v>30</v>
      </c>
    </row>
    <row r="2067" spans="1:12" ht="15.75">
      <c r="A2067" s="105">
        <v>1964</v>
      </c>
      <c r="B2067" s="125"/>
      <c r="C2067" s="125"/>
      <c r="D2067" s="128">
        <v>9090105002</v>
      </c>
      <c r="E2067" s="194" t="s">
        <v>2968</v>
      </c>
      <c r="F2067" s="112"/>
      <c r="G2067" s="112"/>
      <c r="H2067" s="112"/>
      <c r="I2067" s="8" t="s">
        <v>317</v>
      </c>
      <c r="J2067" s="41" t="s">
        <v>2969</v>
      </c>
      <c r="K2067" s="57">
        <v>30</v>
      </c>
      <c r="L2067" s="58">
        <v>30</v>
      </c>
    </row>
    <row r="2068" spans="1:12" ht="15.75">
      <c r="A2068" s="105">
        <v>1965</v>
      </c>
      <c r="B2068" s="125"/>
      <c r="C2068" s="125"/>
      <c r="D2068" s="41" t="s">
        <v>2967</v>
      </c>
      <c r="E2068" s="194" t="s">
        <v>2968</v>
      </c>
      <c r="F2068" s="112"/>
      <c r="G2068" s="112"/>
      <c r="H2068" s="112"/>
      <c r="I2068" s="8" t="s">
        <v>317</v>
      </c>
      <c r="J2068" s="41" t="s">
        <v>2970</v>
      </c>
      <c r="K2068" s="57">
        <v>30</v>
      </c>
      <c r="L2068" s="58">
        <v>30</v>
      </c>
    </row>
    <row r="2069" spans="1:12" ht="15.75">
      <c r="A2069" s="105">
        <v>1966</v>
      </c>
      <c r="B2069" s="125"/>
      <c r="C2069" s="125"/>
      <c r="D2069" s="128">
        <v>9010511063</v>
      </c>
      <c r="E2069" s="194" t="s">
        <v>2968</v>
      </c>
      <c r="F2069" s="112"/>
      <c r="G2069" s="112"/>
      <c r="H2069" s="112"/>
      <c r="I2069" s="7" t="s">
        <v>260</v>
      </c>
      <c r="J2069" s="41" t="s">
        <v>2969</v>
      </c>
      <c r="K2069" s="57">
        <v>30</v>
      </c>
      <c r="L2069" s="58">
        <v>30</v>
      </c>
    </row>
    <row r="2070" spans="1:12" ht="15.75">
      <c r="A2070" s="105">
        <v>1967</v>
      </c>
      <c r="B2070" s="125"/>
      <c r="C2070" s="125"/>
      <c r="D2070" s="128">
        <v>9010512365</v>
      </c>
      <c r="E2070" s="194" t="s">
        <v>2968</v>
      </c>
      <c r="F2070" s="112"/>
      <c r="G2070" s="112"/>
      <c r="H2070" s="112"/>
      <c r="I2070" s="41" t="s">
        <v>2763</v>
      </c>
      <c r="J2070" s="41" t="s">
        <v>2969</v>
      </c>
      <c r="K2070" s="57">
        <v>30</v>
      </c>
      <c r="L2070" s="58">
        <v>30</v>
      </c>
    </row>
    <row r="2071" spans="1:12" ht="15.75">
      <c r="A2071" s="105">
        <v>1968</v>
      </c>
      <c r="B2071" s="125"/>
      <c r="C2071" s="125"/>
      <c r="D2071" s="159" t="s">
        <v>2097</v>
      </c>
      <c r="E2071" s="222" t="s">
        <v>2972</v>
      </c>
      <c r="F2071" s="112"/>
      <c r="G2071" s="112"/>
      <c r="H2071" s="112"/>
      <c r="I2071" s="8" t="s">
        <v>317</v>
      </c>
      <c r="J2071" s="41" t="s">
        <v>394</v>
      </c>
      <c r="K2071" s="57">
        <v>30</v>
      </c>
      <c r="L2071" s="58">
        <v>30</v>
      </c>
    </row>
    <row r="2072" spans="1:12" ht="15.75">
      <c r="A2072" s="105">
        <v>1969</v>
      </c>
      <c r="B2072" s="125"/>
      <c r="C2072" s="125"/>
      <c r="D2072" s="159" t="s">
        <v>2971</v>
      </c>
      <c r="E2072" s="222" t="s">
        <v>2972</v>
      </c>
      <c r="F2072" s="112"/>
      <c r="G2072" s="112"/>
      <c r="H2072" s="112"/>
      <c r="I2072" s="41" t="s">
        <v>2763</v>
      </c>
      <c r="J2072" s="41" t="s">
        <v>394</v>
      </c>
      <c r="K2072" s="57">
        <v>30</v>
      </c>
      <c r="L2072" s="58">
        <v>30</v>
      </c>
    </row>
    <row r="2073" spans="1:12" ht="15.75">
      <c r="A2073" s="105">
        <v>1970</v>
      </c>
      <c r="B2073" s="125"/>
      <c r="C2073" s="125"/>
      <c r="D2073" s="160">
        <v>9056435109</v>
      </c>
      <c r="E2073" s="194" t="s">
        <v>361</v>
      </c>
      <c r="F2073" s="112"/>
      <c r="G2073" s="112"/>
      <c r="H2073" s="112"/>
      <c r="I2073" s="8" t="s">
        <v>317</v>
      </c>
      <c r="J2073" s="41" t="s">
        <v>1690</v>
      </c>
      <c r="K2073" s="57">
        <v>30</v>
      </c>
      <c r="L2073" s="58">
        <v>30</v>
      </c>
    </row>
    <row r="2074" spans="1:12" ht="15.75">
      <c r="A2074" s="105">
        <v>1971</v>
      </c>
      <c r="B2074" s="125"/>
      <c r="C2074" s="125"/>
      <c r="D2074" s="160">
        <v>9056435110</v>
      </c>
      <c r="E2074" s="194" t="s">
        <v>361</v>
      </c>
      <c r="F2074" s="112"/>
      <c r="G2074" s="112"/>
      <c r="H2074" s="112"/>
      <c r="I2074" s="8" t="s">
        <v>317</v>
      </c>
      <c r="J2074" s="41" t="s">
        <v>1690</v>
      </c>
      <c r="K2074" s="57">
        <v>30</v>
      </c>
      <c r="L2074" s="58">
        <v>30</v>
      </c>
    </row>
    <row r="2075" spans="1:12" ht="15.75">
      <c r="A2075" s="105">
        <v>1972</v>
      </c>
      <c r="B2075" s="125"/>
      <c r="C2075" s="125"/>
      <c r="D2075" s="160">
        <v>9056435111</v>
      </c>
      <c r="E2075" s="194" t="s">
        <v>361</v>
      </c>
      <c r="F2075" s="112"/>
      <c r="G2075" s="112"/>
      <c r="H2075" s="112"/>
      <c r="I2075" s="8" t="s">
        <v>317</v>
      </c>
      <c r="J2075" s="41" t="s">
        <v>1690</v>
      </c>
      <c r="K2075" s="57">
        <v>30</v>
      </c>
      <c r="L2075" s="58">
        <v>30</v>
      </c>
    </row>
    <row r="2076" spans="1:12" ht="15.75">
      <c r="A2076" s="105">
        <v>1973</v>
      </c>
      <c r="B2076" s="125"/>
      <c r="C2076" s="125"/>
      <c r="D2076" s="160">
        <v>9056435112</v>
      </c>
      <c r="E2076" s="194" t="s">
        <v>361</v>
      </c>
      <c r="F2076" s="112"/>
      <c r="G2076" s="112"/>
      <c r="H2076" s="112"/>
      <c r="I2076" s="8" t="s">
        <v>317</v>
      </c>
      <c r="J2076" s="41" t="s">
        <v>1690</v>
      </c>
      <c r="K2076" s="57">
        <v>30</v>
      </c>
      <c r="L2076" s="58">
        <v>30</v>
      </c>
    </row>
    <row r="2077" spans="1:12" ht="15.75">
      <c r="A2077" s="105">
        <v>1974</v>
      </c>
      <c r="B2077" s="125"/>
      <c r="C2077" s="125"/>
      <c r="D2077" s="160">
        <v>9056435113</v>
      </c>
      <c r="E2077" s="194" t="s">
        <v>361</v>
      </c>
      <c r="F2077" s="112"/>
      <c r="G2077" s="112"/>
      <c r="H2077" s="112"/>
      <c r="I2077" s="8" t="s">
        <v>317</v>
      </c>
      <c r="J2077" s="41" t="s">
        <v>1690</v>
      </c>
      <c r="K2077" s="57">
        <v>30</v>
      </c>
      <c r="L2077" s="58">
        <v>30</v>
      </c>
    </row>
    <row r="2078" spans="1:12" ht="15.75">
      <c r="A2078" s="105">
        <v>1975</v>
      </c>
      <c r="B2078" s="125"/>
      <c r="C2078" s="125"/>
      <c r="D2078" s="160">
        <v>9056435114</v>
      </c>
      <c r="E2078" s="194" t="s">
        <v>361</v>
      </c>
      <c r="F2078" s="112"/>
      <c r="G2078" s="112"/>
      <c r="H2078" s="112"/>
      <c r="I2078" s="8" t="s">
        <v>317</v>
      </c>
      <c r="J2078" s="41" t="s">
        <v>1690</v>
      </c>
      <c r="K2078" s="57">
        <v>30</v>
      </c>
      <c r="L2078" s="58">
        <v>30</v>
      </c>
    </row>
    <row r="2079" spans="1:12" ht="15.75">
      <c r="A2079" s="105">
        <v>1976</v>
      </c>
      <c r="B2079" s="125"/>
      <c r="C2079" s="125"/>
      <c r="D2079" s="160">
        <v>9056435115</v>
      </c>
      <c r="E2079" s="194" t="s">
        <v>361</v>
      </c>
      <c r="F2079" s="112"/>
      <c r="G2079" s="112"/>
      <c r="H2079" s="112"/>
      <c r="I2079" s="8" t="s">
        <v>317</v>
      </c>
      <c r="J2079" s="41" t="s">
        <v>1690</v>
      </c>
      <c r="K2079" s="57">
        <v>30</v>
      </c>
      <c r="L2079" s="58">
        <v>30</v>
      </c>
    </row>
    <row r="2080" spans="1:12" ht="15.75">
      <c r="A2080" s="105">
        <v>1977</v>
      </c>
      <c r="B2080" s="125"/>
      <c r="C2080" s="125"/>
      <c r="D2080" s="160">
        <v>9056435116</v>
      </c>
      <c r="E2080" s="194" t="s">
        <v>361</v>
      </c>
      <c r="F2080" s="112"/>
      <c r="G2080" s="112"/>
      <c r="H2080" s="112"/>
      <c r="I2080" s="8" t="s">
        <v>317</v>
      </c>
      <c r="J2080" s="41" t="s">
        <v>1690</v>
      </c>
      <c r="K2080" s="57">
        <v>30</v>
      </c>
      <c r="L2080" s="58">
        <v>30</v>
      </c>
    </row>
    <row r="2081" spans="1:12" ht="15.75">
      <c r="A2081" s="105">
        <v>1978</v>
      </c>
      <c r="B2081" s="125"/>
      <c r="C2081" s="125"/>
      <c r="D2081" s="160">
        <v>9056435117</v>
      </c>
      <c r="E2081" s="194" t="s">
        <v>361</v>
      </c>
      <c r="F2081" s="112"/>
      <c r="G2081" s="112"/>
      <c r="H2081" s="112"/>
      <c r="I2081" s="8" t="s">
        <v>317</v>
      </c>
      <c r="J2081" s="41" t="s">
        <v>1690</v>
      </c>
      <c r="K2081" s="57">
        <v>30</v>
      </c>
      <c r="L2081" s="58">
        <v>30</v>
      </c>
    </row>
    <row r="2082" spans="1:12" ht="15.75">
      <c r="A2082" s="105">
        <v>1979</v>
      </c>
      <c r="B2082" s="125"/>
      <c r="C2082" s="125"/>
      <c r="D2082" s="160">
        <v>9056435118</v>
      </c>
      <c r="E2082" s="194" t="s">
        <v>361</v>
      </c>
      <c r="F2082" s="112"/>
      <c r="G2082" s="112"/>
      <c r="H2082" s="112"/>
      <c r="I2082" s="8" t="s">
        <v>317</v>
      </c>
      <c r="J2082" s="41" t="s">
        <v>1690</v>
      </c>
      <c r="K2082" s="57">
        <v>30</v>
      </c>
      <c r="L2082" s="58">
        <v>30</v>
      </c>
    </row>
    <row r="2083" spans="1:12" ht="15.75">
      <c r="A2083" s="105">
        <v>1980</v>
      </c>
      <c r="B2083" s="125"/>
      <c r="C2083" s="125"/>
      <c r="D2083" s="160">
        <v>9056435119</v>
      </c>
      <c r="E2083" s="194" t="s">
        <v>361</v>
      </c>
      <c r="F2083" s="112"/>
      <c r="G2083" s="112"/>
      <c r="H2083" s="112"/>
      <c r="I2083" s="8" t="s">
        <v>317</v>
      </c>
      <c r="J2083" s="41" t="s">
        <v>1690</v>
      </c>
      <c r="K2083" s="57">
        <v>30</v>
      </c>
      <c r="L2083" s="58">
        <v>30</v>
      </c>
    </row>
    <row r="2084" spans="1:12" ht="15.75">
      <c r="A2084" s="105">
        <v>1981</v>
      </c>
      <c r="B2084" s="125"/>
      <c r="C2084" s="125"/>
      <c r="D2084" s="160">
        <v>9056435120</v>
      </c>
      <c r="E2084" s="194" t="s">
        <v>361</v>
      </c>
      <c r="F2084" s="112"/>
      <c r="G2084" s="112"/>
      <c r="H2084" s="112"/>
      <c r="I2084" s="8" t="s">
        <v>317</v>
      </c>
      <c r="J2084" s="41" t="s">
        <v>1690</v>
      </c>
      <c r="K2084" s="57">
        <v>30</v>
      </c>
      <c r="L2084" s="58">
        <v>30</v>
      </c>
    </row>
    <row r="2085" spans="1:12" ht="15.75">
      <c r="A2085" s="105">
        <v>1982</v>
      </c>
      <c r="B2085" s="125"/>
      <c r="C2085" s="125"/>
      <c r="D2085" s="160">
        <v>9056435121</v>
      </c>
      <c r="E2085" s="194" t="s">
        <v>361</v>
      </c>
      <c r="F2085" s="112"/>
      <c r="G2085" s="112"/>
      <c r="H2085" s="112"/>
      <c r="I2085" s="8" t="s">
        <v>317</v>
      </c>
      <c r="J2085" s="41" t="s">
        <v>1690</v>
      </c>
      <c r="K2085" s="57">
        <v>30</v>
      </c>
      <c r="L2085" s="58">
        <v>30</v>
      </c>
    </row>
    <row r="2086" spans="1:12" ht="15.75">
      <c r="A2086" s="105">
        <v>1983</v>
      </c>
      <c r="B2086" s="125"/>
      <c r="C2086" s="125"/>
      <c r="D2086" s="160">
        <v>9056435123</v>
      </c>
      <c r="E2086" s="194" t="s">
        <v>361</v>
      </c>
      <c r="F2086" s="112"/>
      <c r="G2086" s="112"/>
      <c r="H2086" s="112"/>
      <c r="I2086" s="8" t="s">
        <v>317</v>
      </c>
      <c r="J2086" s="41" t="s">
        <v>1690</v>
      </c>
      <c r="K2086" s="57">
        <v>30</v>
      </c>
      <c r="L2086" s="58">
        <v>30</v>
      </c>
    </row>
    <row r="2087" spans="1:12" ht="15.75">
      <c r="A2087" s="105">
        <v>1984</v>
      </c>
      <c r="B2087" s="125"/>
      <c r="C2087" s="125"/>
      <c r="D2087" s="160">
        <v>9056435124</v>
      </c>
      <c r="E2087" s="194" t="s">
        <v>361</v>
      </c>
      <c r="F2087" s="112"/>
      <c r="G2087" s="112"/>
      <c r="H2087" s="112"/>
      <c r="I2087" s="8" t="s">
        <v>317</v>
      </c>
      <c r="J2087" s="41" t="s">
        <v>1690</v>
      </c>
      <c r="K2087" s="57">
        <v>30</v>
      </c>
      <c r="L2087" s="58">
        <v>30</v>
      </c>
    </row>
    <row r="2088" spans="1:12" ht="15.75">
      <c r="A2088" s="105">
        <v>1985</v>
      </c>
      <c r="B2088" s="125"/>
      <c r="C2088" s="125"/>
      <c r="D2088" s="160">
        <v>9056435125</v>
      </c>
      <c r="E2088" s="194" t="s">
        <v>361</v>
      </c>
      <c r="F2088" s="112"/>
      <c r="G2088" s="112"/>
      <c r="H2088" s="112"/>
      <c r="I2088" s="8" t="s">
        <v>317</v>
      </c>
      <c r="J2088" s="41" t="s">
        <v>1690</v>
      </c>
      <c r="K2088" s="57">
        <v>30</v>
      </c>
      <c r="L2088" s="58">
        <v>30</v>
      </c>
    </row>
    <row r="2089" spans="1:12" ht="15.75">
      <c r="A2089" s="105">
        <v>1986</v>
      </c>
      <c r="B2089" s="125"/>
      <c r="C2089" s="125"/>
      <c r="D2089" s="160">
        <v>9056435126</v>
      </c>
      <c r="E2089" s="194" t="s">
        <v>361</v>
      </c>
      <c r="F2089" s="112"/>
      <c r="G2089" s="112"/>
      <c r="H2089" s="112"/>
      <c r="I2089" s="8" t="s">
        <v>317</v>
      </c>
      <c r="J2089" s="41" t="s">
        <v>1690</v>
      </c>
      <c r="K2089" s="57">
        <v>30</v>
      </c>
      <c r="L2089" s="58">
        <v>30</v>
      </c>
    </row>
    <row r="2090" spans="1:12" ht="15.75">
      <c r="A2090" s="105">
        <v>1987</v>
      </c>
      <c r="B2090" s="125"/>
      <c r="C2090" s="125"/>
      <c r="D2090" s="160">
        <v>9056435127</v>
      </c>
      <c r="E2090" s="194" t="s">
        <v>361</v>
      </c>
      <c r="F2090" s="112"/>
      <c r="G2090" s="112"/>
      <c r="H2090" s="112"/>
      <c r="I2090" s="8" t="s">
        <v>317</v>
      </c>
      <c r="J2090" s="41" t="s">
        <v>1690</v>
      </c>
      <c r="K2090" s="57">
        <v>30</v>
      </c>
      <c r="L2090" s="58">
        <v>30</v>
      </c>
    </row>
    <row r="2091" spans="1:12" ht="15.75">
      <c r="A2091" s="105">
        <v>1988</v>
      </c>
      <c r="B2091" s="125"/>
      <c r="C2091" s="125"/>
      <c r="D2091" s="160">
        <v>9056435128</v>
      </c>
      <c r="E2091" s="194" t="s">
        <v>361</v>
      </c>
      <c r="F2091" s="112"/>
      <c r="G2091" s="112"/>
      <c r="H2091" s="112"/>
      <c r="I2091" s="8" t="s">
        <v>317</v>
      </c>
      <c r="J2091" s="41" t="s">
        <v>1690</v>
      </c>
      <c r="K2091" s="57">
        <v>30</v>
      </c>
      <c r="L2091" s="58">
        <v>30</v>
      </c>
    </row>
    <row r="2092" spans="1:12" ht="15.75">
      <c r="A2092" s="105">
        <v>1989</v>
      </c>
      <c r="B2092" s="125"/>
      <c r="C2092" s="125"/>
      <c r="D2092" s="160">
        <v>9056435129</v>
      </c>
      <c r="E2092" s="194" t="s">
        <v>361</v>
      </c>
      <c r="F2092" s="112"/>
      <c r="G2092" s="112"/>
      <c r="H2092" s="112"/>
      <c r="I2092" s="8" t="s">
        <v>317</v>
      </c>
      <c r="J2092" s="41" t="s">
        <v>1690</v>
      </c>
      <c r="K2092" s="57">
        <v>30</v>
      </c>
      <c r="L2092" s="58">
        <v>30</v>
      </c>
    </row>
    <row r="2093" spans="1:12" ht="15.75">
      <c r="A2093" s="105">
        <v>1990</v>
      </c>
      <c r="B2093" s="125"/>
      <c r="C2093" s="125"/>
      <c r="D2093" s="160">
        <v>9056435130</v>
      </c>
      <c r="E2093" s="194" t="s">
        <v>361</v>
      </c>
      <c r="F2093" s="112"/>
      <c r="G2093" s="112"/>
      <c r="H2093" s="112"/>
      <c r="I2093" s="8" t="s">
        <v>317</v>
      </c>
      <c r="J2093" s="41" t="s">
        <v>1690</v>
      </c>
      <c r="K2093" s="57">
        <v>30</v>
      </c>
      <c r="L2093" s="58">
        <v>30</v>
      </c>
    </row>
    <row r="2094" spans="1:12" ht="15.75">
      <c r="A2094" s="105">
        <v>1991</v>
      </c>
      <c r="B2094" s="125"/>
      <c r="C2094" s="125"/>
      <c r="D2094" s="160">
        <v>9056435131</v>
      </c>
      <c r="E2094" s="194" t="s">
        <v>361</v>
      </c>
      <c r="F2094" s="112"/>
      <c r="G2094" s="112"/>
      <c r="H2094" s="112"/>
      <c r="I2094" s="8" t="s">
        <v>317</v>
      </c>
      <c r="J2094" s="41" t="s">
        <v>1690</v>
      </c>
      <c r="K2094" s="57">
        <v>30</v>
      </c>
      <c r="L2094" s="58">
        <v>30</v>
      </c>
    </row>
    <row r="2095" spans="1:12" ht="15.75">
      <c r="A2095" s="105">
        <v>1992</v>
      </c>
      <c r="B2095" s="125"/>
      <c r="C2095" s="125"/>
      <c r="D2095" s="160">
        <v>9056450124</v>
      </c>
      <c r="E2095" s="194" t="s">
        <v>361</v>
      </c>
      <c r="F2095" s="112"/>
      <c r="G2095" s="112"/>
      <c r="H2095" s="112"/>
      <c r="I2095" s="8" t="s">
        <v>317</v>
      </c>
      <c r="J2095" s="41" t="s">
        <v>1690</v>
      </c>
      <c r="K2095" s="57">
        <v>30</v>
      </c>
      <c r="L2095" s="58">
        <v>30</v>
      </c>
    </row>
    <row r="2096" spans="1:12" ht="15.75">
      <c r="A2096" s="105">
        <v>1993</v>
      </c>
      <c r="B2096" s="125"/>
      <c r="C2096" s="125"/>
      <c r="D2096" s="160">
        <v>9056450126</v>
      </c>
      <c r="E2096" s="194" t="s">
        <v>361</v>
      </c>
      <c r="F2096" s="112"/>
      <c r="G2096" s="112"/>
      <c r="H2096" s="112"/>
      <c r="I2096" s="8" t="s">
        <v>317</v>
      </c>
      <c r="J2096" s="41" t="s">
        <v>1690</v>
      </c>
      <c r="K2096" s="57">
        <v>30</v>
      </c>
      <c r="L2096" s="58">
        <v>30</v>
      </c>
    </row>
    <row r="2097" spans="1:12" ht="15.75">
      <c r="A2097" s="105">
        <v>1994</v>
      </c>
      <c r="B2097" s="125"/>
      <c r="C2097" s="125"/>
      <c r="D2097" s="160">
        <v>9056450128</v>
      </c>
      <c r="E2097" s="194" t="s">
        <v>361</v>
      </c>
      <c r="F2097" s="112"/>
      <c r="G2097" s="112"/>
      <c r="H2097" s="112"/>
      <c r="I2097" s="8" t="s">
        <v>317</v>
      </c>
      <c r="J2097" s="41" t="s">
        <v>1690</v>
      </c>
      <c r="K2097" s="57">
        <v>30</v>
      </c>
      <c r="L2097" s="58">
        <v>30</v>
      </c>
    </row>
    <row r="2098" spans="1:12" ht="15.75">
      <c r="A2098" s="105">
        <v>1995</v>
      </c>
      <c r="B2098" s="125"/>
      <c r="C2098" s="125"/>
      <c r="D2098" s="160">
        <v>9056450130</v>
      </c>
      <c r="E2098" s="194" t="s">
        <v>361</v>
      </c>
      <c r="F2098" s="112"/>
      <c r="G2098" s="112"/>
      <c r="H2098" s="112"/>
      <c r="I2098" s="8" t="s">
        <v>317</v>
      </c>
      <c r="J2098" s="41" t="s">
        <v>1690</v>
      </c>
      <c r="K2098" s="57">
        <v>30</v>
      </c>
      <c r="L2098" s="58">
        <v>30</v>
      </c>
    </row>
    <row r="2099" spans="1:12" ht="15.75">
      <c r="A2099" s="105">
        <v>1996</v>
      </c>
      <c r="B2099" s="125"/>
      <c r="C2099" s="125"/>
      <c r="D2099" s="160">
        <v>9056450132</v>
      </c>
      <c r="E2099" s="194" t="s">
        <v>361</v>
      </c>
      <c r="F2099" s="112"/>
      <c r="G2099" s="112"/>
      <c r="H2099" s="112"/>
      <c r="I2099" s="8" t="s">
        <v>317</v>
      </c>
      <c r="J2099" s="41" t="s">
        <v>1690</v>
      </c>
      <c r="K2099" s="57">
        <v>30</v>
      </c>
      <c r="L2099" s="58">
        <v>30</v>
      </c>
    </row>
    <row r="2100" spans="1:12" ht="15.75">
      <c r="A2100" s="105">
        <v>1997</v>
      </c>
      <c r="B2100" s="125"/>
      <c r="C2100" s="125"/>
      <c r="D2100" s="160">
        <v>9056450134</v>
      </c>
      <c r="E2100" s="194" t="s">
        <v>361</v>
      </c>
      <c r="F2100" s="112"/>
      <c r="G2100" s="112"/>
      <c r="H2100" s="112"/>
      <c r="I2100" s="8" t="s">
        <v>317</v>
      </c>
      <c r="J2100" s="41" t="s">
        <v>1690</v>
      </c>
      <c r="K2100" s="57">
        <v>30</v>
      </c>
      <c r="L2100" s="58">
        <v>30</v>
      </c>
    </row>
    <row r="2101" spans="1:12" ht="15.75">
      <c r="A2101" s="105">
        <v>1998</v>
      </c>
      <c r="B2101" s="125"/>
      <c r="C2101" s="125"/>
      <c r="D2101" s="160">
        <v>9056450136</v>
      </c>
      <c r="E2101" s="194" t="s">
        <v>361</v>
      </c>
      <c r="F2101" s="112"/>
      <c r="G2101" s="112"/>
      <c r="H2101" s="112"/>
      <c r="I2101" s="8" t="s">
        <v>317</v>
      </c>
      <c r="J2101" s="41" t="s">
        <v>1690</v>
      </c>
      <c r="K2101" s="57">
        <v>30</v>
      </c>
      <c r="L2101" s="58">
        <v>30</v>
      </c>
    </row>
    <row r="2102" spans="1:12" ht="15.75">
      <c r="A2102" s="105">
        <v>1999</v>
      </c>
      <c r="B2102" s="125"/>
      <c r="C2102" s="125"/>
      <c r="D2102" s="160">
        <v>9056450138</v>
      </c>
      <c r="E2102" s="194" t="s">
        <v>361</v>
      </c>
      <c r="F2102" s="112"/>
      <c r="G2102" s="112"/>
      <c r="H2102" s="112"/>
      <c r="I2102" s="8" t="s">
        <v>317</v>
      </c>
      <c r="J2102" s="41" t="s">
        <v>1690</v>
      </c>
      <c r="K2102" s="57">
        <v>30</v>
      </c>
      <c r="L2102" s="58">
        <v>30</v>
      </c>
    </row>
    <row r="2103" spans="1:12" ht="15.75">
      <c r="A2103" s="105">
        <v>2000</v>
      </c>
      <c r="B2103" s="125"/>
      <c r="C2103" s="125"/>
      <c r="D2103" s="160">
        <v>9056450140</v>
      </c>
      <c r="E2103" s="194" t="s">
        <v>361</v>
      </c>
      <c r="F2103" s="112"/>
      <c r="G2103" s="112"/>
      <c r="H2103" s="112"/>
      <c r="I2103" s="8" t="s">
        <v>317</v>
      </c>
      <c r="J2103" s="41" t="s">
        <v>1690</v>
      </c>
      <c r="K2103" s="57">
        <v>30</v>
      </c>
      <c r="L2103" s="58">
        <v>30</v>
      </c>
    </row>
    <row r="2104" spans="1:12" ht="15.75">
      <c r="A2104" s="105">
        <v>2001</v>
      </c>
      <c r="B2104" s="125"/>
      <c r="C2104" s="125"/>
      <c r="D2104" s="160">
        <v>9056450142</v>
      </c>
      <c r="E2104" s="194" t="s">
        <v>361</v>
      </c>
      <c r="F2104" s="112"/>
      <c r="G2104" s="112"/>
      <c r="H2104" s="112"/>
      <c r="I2104" s="8" t="s">
        <v>317</v>
      </c>
      <c r="J2104" s="41" t="s">
        <v>1690</v>
      </c>
      <c r="K2104" s="57">
        <v>30</v>
      </c>
      <c r="L2104" s="58">
        <v>30</v>
      </c>
    </row>
    <row r="2105" spans="1:12" ht="15.75">
      <c r="A2105" s="105">
        <v>2002</v>
      </c>
      <c r="B2105" s="125"/>
      <c r="C2105" s="125"/>
      <c r="D2105" s="160">
        <v>9056450154</v>
      </c>
      <c r="E2105" s="194" t="s">
        <v>361</v>
      </c>
      <c r="F2105" s="112"/>
      <c r="G2105" s="112"/>
      <c r="H2105" s="112"/>
      <c r="I2105" s="8" t="s">
        <v>317</v>
      </c>
      <c r="J2105" s="41" t="s">
        <v>1690</v>
      </c>
      <c r="K2105" s="57">
        <v>30</v>
      </c>
      <c r="L2105" s="58">
        <v>30</v>
      </c>
    </row>
    <row r="2106" spans="1:12" ht="15.75">
      <c r="A2106" s="105">
        <v>2003</v>
      </c>
      <c r="B2106" s="125"/>
      <c r="C2106" s="125"/>
      <c r="D2106" s="160">
        <v>9056450156</v>
      </c>
      <c r="E2106" s="194" t="s">
        <v>361</v>
      </c>
      <c r="F2106" s="112"/>
      <c r="G2106" s="112"/>
      <c r="H2106" s="112"/>
      <c r="I2106" s="8" t="s">
        <v>317</v>
      </c>
      <c r="J2106" s="41" t="s">
        <v>1690</v>
      </c>
      <c r="K2106" s="57">
        <v>30</v>
      </c>
      <c r="L2106" s="58">
        <v>30</v>
      </c>
    </row>
    <row r="2107" spans="1:12" ht="15.75">
      <c r="A2107" s="105">
        <v>2004</v>
      </c>
      <c r="B2107" s="125"/>
      <c r="C2107" s="125"/>
      <c r="D2107" s="160">
        <v>9056450158</v>
      </c>
      <c r="E2107" s="194" t="s">
        <v>361</v>
      </c>
      <c r="F2107" s="112"/>
      <c r="G2107" s="112"/>
      <c r="H2107" s="112"/>
      <c r="I2107" s="8" t="s">
        <v>317</v>
      </c>
      <c r="J2107" s="41" t="s">
        <v>1690</v>
      </c>
      <c r="K2107" s="57">
        <v>30</v>
      </c>
      <c r="L2107" s="58">
        <v>30</v>
      </c>
    </row>
    <row r="2108" spans="1:12" ht="15.75">
      <c r="A2108" s="105">
        <v>2005</v>
      </c>
      <c r="B2108" s="125"/>
      <c r="C2108" s="125"/>
      <c r="D2108" s="160">
        <v>9056450160</v>
      </c>
      <c r="E2108" s="194" t="s">
        <v>361</v>
      </c>
      <c r="F2108" s="112"/>
      <c r="G2108" s="112"/>
      <c r="H2108" s="112"/>
      <c r="I2108" s="8" t="s">
        <v>317</v>
      </c>
      <c r="J2108" s="41" t="s">
        <v>1690</v>
      </c>
      <c r="K2108" s="57">
        <v>30</v>
      </c>
      <c r="L2108" s="58">
        <v>30</v>
      </c>
    </row>
    <row r="2109" spans="1:12" ht="15.75">
      <c r="A2109" s="105">
        <v>2006</v>
      </c>
      <c r="B2109" s="125"/>
      <c r="C2109" s="125"/>
      <c r="D2109" s="160">
        <v>9056450162</v>
      </c>
      <c r="E2109" s="194" t="s">
        <v>361</v>
      </c>
      <c r="F2109" s="112"/>
      <c r="G2109" s="112"/>
      <c r="H2109" s="112"/>
      <c r="I2109" s="8" t="s">
        <v>317</v>
      </c>
      <c r="J2109" s="41" t="s">
        <v>1690</v>
      </c>
      <c r="K2109" s="57">
        <v>30</v>
      </c>
      <c r="L2109" s="58">
        <v>30</v>
      </c>
    </row>
    <row r="2110" spans="1:12" ht="15.75">
      <c r="A2110" s="105">
        <v>2007</v>
      </c>
      <c r="B2110" s="125"/>
      <c r="C2110" s="125"/>
      <c r="D2110" s="160">
        <v>9056450164</v>
      </c>
      <c r="E2110" s="194" t="s">
        <v>361</v>
      </c>
      <c r="F2110" s="112"/>
      <c r="G2110" s="112"/>
      <c r="H2110" s="112"/>
      <c r="I2110" s="8" t="s">
        <v>317</v>
      </c>
      <c r="J2110" s="41" t="s">
        <v>1690</v>
      </c>
      <c r="K2110" s="57">
        <v>30</v>
      </c>
      <c r="L2110" s="58">
        <v>30</v>
      </c>
    </row>
    <row r="2111" spans="1:12" ht="15.75">
      <c r="A2111" s="105">
        <v>2008</v>
      </c>
      <c r="B2111" s="125"/>
      <c r="C2111" s="125"/>
      <c r="D2111" s="160">
        <v>9056450166</v>
      </c>
      <c r="E2111" s="194" t="s">
        <v>361</v>
      </c>
      <c r="F2111" s="112"/>
      <c r="G2111" s="112"/>
      <c r="H2111" s="112"/>
      <c r="I2111" s="8" t="s">
        <v>317</v>
      </c>
      <c r="J2111" s="41" t="s">
        <v>1690</v>
      </c>
      <c r="K2111" s="57">
        <v>30</v>
      </c>
      <c r="L2111" s="58">
        <v>30</v>
      </c>
    </row>
    <row r="2112" spans="1:12" ht="15.75">
      <c r="A2112" s="105">
        <v>2009</v>
      </c>
      <c r="B2112" s="125"/>
      <c r="C2112" s="125"/>
      <c r="D2112" s="160">
        <v>9056450168</v>
      </c>
      <c r="E2112" s="194" t="s">
        <v>361</v>
      </c>
      <c r="F2112" s="112"/>
      <c r="G2112" s="112"/>
      <c r="H2112" s="112"/>
      <c r="I2112" s="8" t="s">
        <v>317</v>
      </c>
      <c r="J2112" s="41" t="s">
        <v>1690</v>
      </c>
      <c r="K2112" s="57">
        <v>30</v>
      </c>
      <c r="L2112" s="58">
        <v>30</v>
      </c>
    </row>
    <row r="2113" spans="1:12" ht="15.75">
      <c r="A2113" s="105">
        <v>2010</v>
      </c>
      <c r="B2113" s="125"/>
      <c r="C2113" s="125"/>
      <c r="D2113" s="160">
        <v>9056450170</v>
      </c>
      <c r="E2113" s="194" t="s">
        <v>361</v>
      </c>
      <c r="F2113" s="112"/>
      <c r="G2113" s="112"/>
      <c r="H2113" s="112"/>
      <c r="I2113" s="8" t="s">
        <v>317</v>
      </c>
      <c r="J2113" s="41" t="s">
        <v>1690</v>
      </c>
      <c r="K2113" s="57">
        <v>30</v>
      </c>
      <c r="L2113" s="58">
        <v>30</v>
      </c>
    </row>
    <row r="2114" spans="1:12" ht="15.75">
      <c r="A2114" s="105">
        <v>2011</v>
      </c>
      <c r="B2114" s="125"/>
      <c r="C2114" s="125"/>
      <c r="D2114" s="160">
        <v>9056450172</v>
      </c>
      <c r="E2114" s="194" t="s">
        <v>361</v>
      </c>
      <c r="F2114" s="112"/>
      <c r="G2114" s="112"/>
      <c r="H2114" s="112"/>
      <c r="I2114" s="8" t="s">
        <v>317</v>
      </c>
      <c r="J2114" s="41" t="s">
        <v>1690</v>
      </c>
      <c r="K2114" s="57">
        <v>30</v>
      </c>
      <c r="L2114" s="58">
        <v>30</v>
      </c>
    </row>
    <row r="2115" spans="1:12" ht="15.75">
      <c r="A2115" s="105">
        <v>2012</v>
      </c>
      <c r="B2115" s="125"/>
      <c r="C2115" s="125"/>
      <c r="D2115" s="160">
        <v>9056450184</v>
      </c>
      <c r="E2115" s="194" t="s">
        <v>361</v>
      </c>
      <c r="F2115" s="112"/>
      <c r="G2115" s="112"/>
      <c r="H2115" s="112"/>
      <c r="I2115" s="8" t="s">
        <v>317</v>
      </c>
      <c r="J2115" s="41" t="s">
        <v>1690</v>
      </c>
      <c r="K2115" s="57">
        <v>30</v>
      </c>
      <c r="L2115" s="58">
        <v>30</v>
      </c>
    </row>
    <row r="2116" spans="1:12" ht="15.75">
      <c r="A2116" s="105">
        <v>2013</v>
      </c>
      <c r="B2116" s="125"/>
      <c r="C2116" s="125"/>
      <c r="D2116" s="160">
        <v>9056450185</v>
      </c>
      <c r="E2116" s="194" t="s">
        <v>361</v>
      </c>
      <c r="F2116" s="112"/>
      <c r="G2116" s="112"/>
      <c r="H2116" s="112"/>
      <c r="I2116" s="8" t="s">
        <v>317</v>
      </c>
      <c r="J2116" s="41" t="s">
        <v>1690</v>
      </c>
      <c r="K2116" s="57">
        <v>30</v>
      </c>
      <c r="L2116" s="58">
        <v>30</v>
      </c>
    </row>
    <row r="2117" spans="1:12" ht="15.75">
      <c r="A2117" s="105">
        <v>2014</v>
      </c>
      <c r="B2117" s="125"/>
      <c r="C2117" s="125"/>
      <c r="D2117" s="160">
        <v>9056450186</v>
      </c>
      <c r="E2117" s="194" t="s">
        <v>361</v>
      </c>
      <c r="F2117" s="112"/>
      <c r="G2117" s="112"/>
      <c r="H2117" s="112"/>
      <c r="I2117" s="8" t="s">
        <v>317</v>
      </c>
      <c r="J2117" s="41" t="s">
        <v>1690</v>
      </c>
      <c r="K2117" s="57">
        <v>30</v>
      </c>
      <c r="L2117" s="58">
        <v>30</v>
      </c>
    </row>
    <row r="2118" spans="1:12" ht="15.75">
      <c r="A2118" s="105">
        <v>2015</v>
      </c>
      <c r="B2118" s="125"/>
      <c r="C2118" s="125"/>
      <c r="D2118" s="160">
        <v>9056450187</v>
      </c>
      <c r="E2118" s="194" t="s">
        <v>361</v>
      </c>
      <c r="F2118" s="112"/>
      <c r="G2118" s="112"/>
      <c r="H2118" s="112"/>
      <c r="I2118" s="8" t="s">
        <v>317</v>
      </c>
      <c r="J2118" s="41" t="s">
        <v>1690</v>
      </c>
      <c r="K2118" s="57">
        <v>30</v>
      </c>
      <c r="L2118" s="58">
        <v>30</v>
      </c>
    </row>
    <row r="2119" spans="1:12" ht="15.75">
      <c r="A2119" s="105">
        <v>2016</v>
      </c>
      <c r="B2119" s="125"/>
      <c r="C2119" s="125"/>
      <c r="D2119" s="160">
        <v>9056450188</v>
      </c>
      <c r="E2119" s="194" t="s">
        <v>361</v>
      </c>
      <c r="F2119" s="112"/>
      <c r="G2119" s="112"/>
      <c r="H2119" s="112"/>
      <c r="I2119" s="8" t="s">
        <v>317</v>
      </c>
      <c r="J2119" s="41" t="s">
        <v>1690</v>
      </c>
      <c r="K2119" s="57">
        <v>30</v>
      </c>
      <c r="L2119" s="58">
        <v>30</v>
      </c>
    </row>
    <row r="2120" spans="1:12" ht="15.75">
      <c r="A2120" s="105">
        <v>2017</v>
      </c>
      <c r="B2120" s="125"/>
      <c r="C2120" s="125"/>
      <c r="D2120" s="160">
        <v>9056450189</v>
      </c>
      <c r="E2120" s="194" t="s">
        <v>361</v>
      </c>
      <c r="F2120" s="112"/>
      <c r="G2120" s="112"/>
      <c r="H2120" s="112"/>
      <c r="I2120" s="8" t="s">
        <v>317</v>
      </c>
      <c r="J2120" s="41" t="s">
        <v>1690</v>
      </c>
      <c r="K2120" s="57">
        <v>30</v>
      </c>
      <c r="L2120" s="58">
        <v>30</v>
      </c>
    </row>
    <row r="2121" spans="1:12" ht="15.75">
      <c r="A2121" s="105">
        <v>2018</v>
      </c>
      <c r="B2121" s="125"/>
      <c r="C2121" s="125"/>
      <c r="D2121" s="160">
        <v>9056450190</v>
      </c>
      <c r="E2121" s="194" t="s">
        <v>361</v>
      </c>
      <c r="F2121" s="112"/>
      <c r="G2121" s="112"/>
      <c r="H2121" s="112"/>
      <c r="I2121" s="8" t="s">
        <v>317</v>
      </c>
      <c r="J2121" s="41" t="s">
        <v>1690</v>
      </c>
      <c r="K2121" s="57">
        <v>30</v>
      </c>
      <c r="L2121" s="58">
        <v>30</v>
      </c>
    </row>
    <row r="2122" spans="1:12" ht="15.75">
      <c r="A2122" s="105">
        <v>2019</v>
      </c>
      <c r="B2122" s="125"/>
      <c r="C2122" s="125"/>
      <c r="D2122" s="160">
        <v>9056450191</v>
      </c>
      <c r="E2122" s="194" t="s">
        <v>361</v>
      </c>
      <c r="F2122" s="112"/>
      <c r="G2122" s="112"/>
      <c r="H2122" s="112"/>
      <c r="I2122" s="8" t="s">
        <v>317</v>
      </c>
      <c r="J2122" s="41" t="s">
        <v>1690</v>
      </c>
      <c r="K2122" s="57">
        <v>30</v>
      </c>
      <c r="L2122" s="58">
        <v>30</v>
      </c>
    </row>
    <row r="2123" spans="1:12" ht="15.75">
      <c r="A2123" s="105">
        <v>2020</v>
      </c>
      <c r="B2123" s="125"/>
      <c r="C2123" s="125"/>
      <c r="D2123" s="160">
        <v>9056450192</v>
      </c>
      <c r="E2123" s="194" t="s">
        <v>361</v>
      </c>
      <c r="F2123" s="112"/>
      <c r="G2123" s="112"/>
      <c r="H2123" s="112"/>
      <c r="I2123" s="8" t="s">
        <v>317</v>
      </c>
      <c r="J2123" s="41" t="s">
        <v>1690</v>
      </c>
      <c r="K2123" s="57">
        <v>30</v>
      </c>
      <c r="L2123" s="58">
        <v>30</v>
      </c>
    </row>
    <row r="2124" spans="1:12" ht="15.75">
      <c r="A2124" s="105">
        <v>2021</v>
      </c>
      <c r="B2124" s="125"/>
      <c r="C2124" s="125"/>
      <c r="D2124" s="160">
        <v>9056450193</v>
      </c>
      <c r="E2124" s="194" t="s">
        <v>361</v>
      </c>
      <c r="F2124" s="112"/>
      <c r="G2124" s="112"/>
      <c r="H2124" s="112"/>
      <c r="I2124" s="8" t="s">
        <v>317</v>
      </c>
      <c r="J2124" s="41" t="s">
        <v>1690</v>
      </c>
      <c r="K2124" s="57">
        <v>30</v>
      </c>
      <c r="L2124" s="58">
        <v>30</v>
      </c>
    </row>
    <row r="2125" spans="1:12" ht="15.75">
      <c r="A2125" s="105">
        <v>2022</v>
      </c>
      <c r="B2125" s="125"/>
      <c r="C2125" s="125"/>
      <c r="D2125" s="160">
        <v>9056450194</v>
      </c>
      <c r="E2125" s="194" t="s">
        <v>361</v>
      </c>
      <c r="F2125" s="112"/>
      <c r="G2125" s="112"/>
      <c r="H2125" s="112"/>
      <c r="I2125" s="8" t="s">
        <v>317</v>
      </c>
      <c r="J2125" s="41" t="s">
        <v>1690</v>
      </c>
      <c r="K2125" s="57">
        <v>30</v>
      </c>
      <c r="L2125" s="58">
        <v>30</v>
      </c>
    </row>
    <row r="2126" spans="1:12" ht="15.75">
      <c r="A2126" s="105">
        <v>2023</v>
      </c>
      <c r="B2126" s="125"/>
      <c r="C2126" s="125"/>
      <c r="D2126" s="160">
        <v>9056450195</v>
      </c>
      <c r="E2126" s="194" t="s">
        <v>361</v>
      </c>
      <c r="F2126" s="112"/>
      <c r="G2126" s="112"/>
      <c r="H2126" s="112"/>
      <c r="I2126" s="8" t="s">
        <v>317</v>
      </c>
      <c r="J2126" s="41" t="s">
        <v>1690</v>
      </c>
      <c r="K2126" s="57">
        <v>30</v>
      </c>
      <c r="L2126" s="58">
        <v>30</v>
      </c>
    </row>
    <row r="2127" spans="1:12" ht="15.75">
      <c r="A2127" s="105">
        <v>2024</v>
      </c>
      <c r="B2127" s="125"/>
      <c r="C2127" s="125"/>
      <c r="D2127" s="160">
        <v>9056450196</v>
      </c>
      <c r="E2127" s="194" t="s">
        <v>361</v>
      </c>
      <c r="F2127" s="112"/>
      <c r="G2127" s="112"/>
      <c r="H2127" s="112"/>
      <c r="I2127" s="8" t="s">
        <v>317</v>
      </c>
      <c r="J2127" s="41" t="s">
        <v>1690</v>
      </c>
      <c r="K2127" s="57">
        <v>30</v>
      </c>
      <c r="L2127" s="58">
        <v>30</v>
      </c>
    </row>
    <row r="2128" spans="1:12" ht="15.75">
      <c r="A2128" s="105">
        <v>2025</v>
      </c>
      <c r="B2128" s="125"/>
      <c r="C2128" s="125"/>
      <c r="D2128" s="160">
        <v>9056450197</v>
      </c>
      <c r="E2128" s="194" t="s">
        <v>361</v>
      </c>
      <c r="F2128" s="112"/>
      <c r="G2128" s="112"/>
      <c r="H2128" s="112"/>
      <c r="I2128" s="8" t="s">
        <v>317</v>
      </c>
      <c r="J2128" s="41" t="s">
        <v>1690</v>
      </c>
      <c r="K2128" s="57">
        <v>30</v>
      </c>
      <c r="L2128" s="58">
        <v>30</v>
      </c>
    </row>
    <row r="2129" spans="1:12" ht="15.75">
      <c r="A2129" s="105">
        <v>2026</v>
      </c>
      <c r="B2129" s="125"/>
      <c r="C2129" s="125"/>
      <c r="D2129" s="160">
        <v>9056450198</v>
      </c>
      <c r="E2129" s="194" t="s">
        <v>361</v>
      </c>
      <c r="F2129" s="112"/>
      <c r="G2129" s="112"/>
      <c r="H2129" s="112"/>
      <c r="I2129" s="8" t="s">
        <v>317</v>
      </c>
      <c r="J2129" s="41" t="s">
        <v>1690</v>
      </c>
      <c r="K2129" s="57">
        <v>30</v>
      </c>
      <c r="L2129" s="58">
        <v>30</v>
      </c>
    </row>
    <row r="2130" spans="1:12" ht="15.75">
      <c r="A2130" s="105">
        <v>2027</v>
      </c>
      <c r="B2130" s="125"/>
      <c r="C2130" s="125"/>
      <c r="D2130" s="160">
        <v>9056450199</v>
      </c>
      <c r="E2130" s="194" t="s">
        <v>361</v>
      </c>
      <c r="F2130" s="112"/>
      <c r="G2130" s="112"/>
      <c r="H2130" s="112"/>
      <c r="I2130" s="8" t="s">
        <v>317</v>
      </c>
      <c r="J2130" s="41" t="s">
        <v>1690</v>
      </c>
      <c r="K2130" s="57">
        <v>30</v>
      </c>
      <c r="L2130" s="58">
        <v>30</v>
      </c>
    </row>
    <row r="2131" spans="1:12" ht="15.75">
      <c r="A2131" s="105">
        <v>2028</v>
      </c>
      <c r="B2131" s="125"/>
      <c r="C2131" s="125"/>
      <c r="D2131" s="160">
        <v>9056450200</v>
      </c>
      <c r="E2131" s="194" t="s">
        <v>361</v>
      </c>
      <c r="F2131" s="112"/>
      <c r="G2131" s="112"/>
      <c r="H2131" s="112"/>
      <c r="I2131" s="8" t="s">
        <v>317</v>
      </c>
      <c r="J2131" s="41" t="s">
        <v>1690</v>
      </c>
      <c r="K2131" s="57">
        <v>30</v>
      </c>
      <c r="L2131" s="58">
        <v>30</v>
      </c>
    </row>
    <row r="2132" spans="1:12" ht="15.75">
      <c r="A2132" s="105">
        <v>2029</v>
      </c>
      <c r="B2132" s="125"/>
      <c r="C2132" s="125"/>
      <c r="D2132" s="160">
        <v>9056450201</v>
      </c>
      <c r="E2132" s="194" t="s">
        <v>361</v>
      </c>
      <c r="F2132" s="112"/>
      <c r="G2132" s="112"/>
      <c r="H2132" s="112"/>
      <c r="I2132" s="8" t="s">
        <v>317</v>
      </c>
      <c r="J2132" s="41" t="s">
        <v>1690</v>
      </c>
      <c r="K2132" s="57">
        <v>30</v>
      </c>
      <c r="L2132" s="58">
        <v>30</v>
      </c>
    </row>
    <row r="2133" spans="1:12" ht="15.75">
      <c r="A2133" s="105">
        <v>2030</v>
      </c>
      <c r="B2133" s="125"/>
      <c r="C2133" s="125"/>
      <c r="D2133" s="160">
        <v>9056450202</v>
      </c>
      <c r="E2133" s="194" t="s">
        <v>361</v>
      </c>
      <c r="F2133" s="112"/>
      <c r="G2133" s="112"/>
      <c r="H2133" s="112"/>
      <c r="I2133" s="8" t="s">
        <v>317</v>
      </c>
      <c r="J2133" s="41" t="s">
        <v>1690</v>
      </c>
      <c r="K2133" s="57">
        <v>30</v>
      </c>
      <c r="L2133" s="58">
        <v>30</v>
      </c>
    </row>
    <row r="2134" spans="1:12" ht="15.75">
      <c r="A2134" s="105">
        <v>2031</v>
      </c>
      <c r="B2134" s="125"/>
      <c r="C2134" s="125"/>
      <c r="D2134" s="160">
        <v>9056450203</v>
      </c>
      <c r="E2134" s="194" t="s">
        <v>361</v>
      </c>
      <c r="F2134" s="112"/>
      <c r="G2134" s="112"/>
      <c r="H2134" s="112"/>
      <c r="I2134" s="8" t="s">
        <v>317</v>
      </c>
      <c r="J2134" s="41" t="s">
        <v>1690</v>
      </c>
      <c r="K2134" s="57">
        <v>30</v>
      </c>
      <c r="L2134" s="58">
        <v>30</v>
      </c>
    </row>
    <row r="2135" spans="1:12" ht="15.75">
      <c r="A2135" s="105">
        <v>2032</v>
      </c>
      <c r="B2135" s="125"/>
      <c r="C2135" s="125"/>
      <c r="D2135" s="160">
        <v>9056450204</v>
      </c>
      <c r="E2135" s="194" t="s">
        <v>361</v>
      </c>
      <c r="F2135" s="112"/>
      <c r="G2135" s="112"/>
      <c r="H2135" s="112"/>
      <c r="I2135" s="8" t="s">
        <v>317</v>
      </c>
      <c r="J2135" s="41" t="s">
        <v>1690</v>
      </c>
      <c r="K2135" s="57">
        <v>30</v>
      </c>
      <c r="L2135" s="58">
        <v>30</v>
      </c>
    </row>
    <row r="2136" spans="1:12" ht="15.75">
      <c r="A2136" s="105">
        <v>2033</v>
      </c>
      <c r="B2136" s="125"/>
      <c r="C2136" s="125"/>
      <c r="D2136" s="160">
        <v>9056450205</v>
      </c>
      <c r="E2136" s="194" t="s">
        <v>361</v>
      </c>
      <c r="F2136" s="112"/>
      <c r="G2136" s="112"/>
      <c r="H2136" s="112"/>
      <c r="I2136" s="8" t="s">
        <v>317</v>
      </c>
      <c r="J2136" s="41" t="s">
        <v>1690</v>
      </c>
      <c r="K2136" s="57">
        <v>30</v>
      </c>
      <c r="L2136" s="58">
        <v>30</v>
      </c>
    </row>
    <row r="2137" spans="1:12" ht="15.75">
      <c r="A2137" s="105">
        <v>2034</v>
      </c>
      <c r="B2137" s="125"/>
      <c r="C2137" s="125"/>
      <c r="D2137" s="160">
        <v>9056450206</v>
      </c>
      <c r="E2137" s="194" t="s">
        <v>361</v>
      </c>
      <c r="F2137" s="112"/>
      <c r="G2137" s="112"/>
      <c r="H2137" s="112"/>
      <c r="I2137" s="8" t="s">
        <v>317</v>
      </c>
      <c r="J2137" s="41" t="s">
        <v>1690</v>
      </c>
      <c r="K2137" s="57">
        <v>30</v>
      </c>
      <c r="L2137" s="58">
        <v>30</v>
      </c>
    </row>
    <row r="2138" spans="1:12" ht="15.75">
      <c r="A2138" s="105">
        <v>2035</v>
      </c>
      <c r="B2138" s="125"/>
      <c r="C2138" s="125"/>
      <c r="D2138" s="160">
        <v>9056450207</v>
      </c>
      <c r="E2138" s="194" t="s">
        <v>361</v>
      </c>
      <c r="F2138" s="112"/>
      <c r="G2138" s="112"/>
      <c r="H2138" s="112"/>
      <c r="I2138" s="8" t="s">
        <v>317</v>
      </c>
      <c r="J2138" s="41" t="s">
        <v>1690</v>
      </c>
      <c r="K2138" s="57">
        <v>30</v>
      </c>
      <c r="L2138" s="58">
        <v>30</v>
      </c>
    </row>
    <row r="2139" spans="1:12" ht="15.75">
      <c r="A2139" s="105">
        <v>2036</v>
      </c>
      <c r="B2139" s="125"/>
      <c r="C2139" s="125"/>
      <c r="D2139" s="160">
        <v>9056450208</v>
      </c>
      <c r="E2139" s="194" t="s">
        <v>361</v>
      </c>
      <c r="F2139" s="112"/>
      <c r="G2139" s="112"/>
      <c r="H2139" s="112"/>
      <c r="I2139" s="8" t="s">
        <v>317</v>
      </c>
      <c r="J2139" s="41" t="s">
        <v>1690</v>
      </c>
      <c r="K2139" s="57">
        <v>30</v>
      </c>
      <c r="L2139" s="58">
        <v>30</v>
      </c>
    </row>
    <row r="2140" spans="1:12" ht="15.75">
      <c r="A2140" s="105">
        <v>2037</v>
      </c>
      <c r="B2140" s="125"/>
      <c r="C2140" s="125"/>
      <c r="D2140" s="160">
        <v>9056450209</v>
      </c>
      <c r="E2140" s="194" t="s">
        <v>361</v>
      </c>
      <c r="F2140" s="112"/>
      <c r="G2140" s="112"/>
      <c r="H2140" s="112"/>
      <c r="I2140" s="8" t="s">
        <v>317</v>
      </c>
      <c r="J2140" s="41" t="s">
        <v>1690</v>
      </c>
      <c r="K2140" s="57">
        <v>30</v>
      </c>
      <c r="L2140" s="58">
        <v>30</v>
      </c>
    </row>
    <row r="2141" spans="1:12" ht="15.75">
      <c r="A2141" s="105">
        <v>2038</v>
      </c>
      <c r="B2141" s="125"/>
      <c r="C2141" s="125"/>
      <c r="D2141" s="160">
        <v>9056450210</v>
      </c>
      <c r="E2141" s="194" t="s">
        <v>361</v>
      </c>
      <c r="F2141" s="112"/>
      <c r="G2141" s="112"/>
      <c r="H2141" s="112"/>
      <c r="I2141" s="8" t="s">
        <v>317</v>
      </c>
      <c r="J2141" s="41" t="s">
        <v>1690</v>
      </c>
      <c r="K2141" s="57">
        <v>30</v>
      </c>
      <c r="L2141" s="58">
        <v>30</v>
      </c>
    </row>
    <row r="2142" spans="1:12" ht="15.75">
      <c r="A2142" s="105">
        <v>2039</v>
      </c>
      <c r="B2142" s="125"/>
      <c r="C2142" s="125"/>
      <c r="D2142" s="160">
        <v>9056450211</v>
      </c>
      <c r="E2142" s="194" t="s">
        <v>361</v>
      </c>
      <c r="F2142" s="112"/>
      <c r="G2142" s="112"/>
      <c r="H2142" s="112"/>
      <c r="I2142" s="8" t="s">
        <v>317</v>
      </c>
      <c r="J2142" s="41" t="s">
        <v>1690</v>
      </c>
      <c r="K2142" s="57">
        <v>30</v>
      </c>
      <c r="L2142" s="58">
        <v>30</v>
      </c>
    </row>
    <row r="2143" spans="1:12" ht="15.75">
      <c r="A2143" s="105">
        <v>2040</v>
      </c>
      <c r="B2143" s="125"/>
      <c r="C2143" s="125"/>
      <c r="D2143" s="160">
        <v>9056450212</v>
      </c>
      <c r="E2143" s="194" t="s">
        <v>361</v>
      </c>
      <c r="F2143" s="112"/>
      <c r="G2143" s="112"/>
      <c r="H2143" s="112"/>
      <c r="I2143" s="8" t="s">
        <v>317</v>
      </c>
      <c r="J2143" s="41" t="s">
        <v>1690</v>
      </c>
      <c r="K2143" s="57">
        <v>30</v>
      </c>
      <c r="L2143" s="58">
        <v>30</v>
      </c>
    </row>
    <row r="2144" spans="1:12" ht="15.75">
      <c r="A2144" s="105">
        <v>2041</v>
      </c>
      <c r="B2144" s="125"/>
      <c r="C2144" s="125"/>
      <c r="D2144" s="160">
        <v>9056450213</v>
      </c>
      <c r="E2144" s="194" t="s">
        <v>361</v>
      </c>
      <c r="F2144" s="112"/>
      <c r="G2144" s="112"/>
      <c r="H2144" s="112"/>
      <c r="I2144" s="8" t="s">
        <v>317</v>
      </c>
      <c r="J2144" s="41" t="s">
        <v>1690</v>
      </c>
      <c r="K2144" s="57">
        <v>30</v>
      </c>
      <c r="L2144" s="58">
        <v>30</v>
      </c>
    </row>
    <row r="2145" spans="1:12" ht="15.75">
      <c r="A2145" s="105">
        <v>2042</v>
      </c>
      <c r="B2145" s="125"/>
      <c r="C2145" s="125"/>
      <c r="D2145" s="160">
        <v>9056450214</v>
      </c>
      <c r="E2145" s="194" t="s">
        <v>361</v>
      </c>
      <c r="F2145" s="112"/>
      <c r="G2145" s="112"/>
      <c r="H2145" s="112"/>
      <c r="I2145" s="8" t="s">
        <v>317</v>
      </c>
      <c r="J2145" s="41" t="s">
        <v>1690</v>
      </c>
      <c r="K2145" s="57">
        <v>30</v>
      </c>
      <c r="L2145" s="58">
        <v>30</v>
      </c>
    </row>
    <row r="2146" spans="1:12" ht="15.75">
      <c r="A2146" s="105">
        <v>2043</v>
      </c>
      <c r="B2146" s="125"/>
      <c r="C2146" s="125"/>
      <c r="D2146" s="160">
        <v>9056450215</v>
      </c>
      <c r="E2146" s="194" t="s">
        <v>361</v>
      </c>
      <c r="F2146" s="112"/>
      <c r="G2146" s="112"/>
      <c r="H2146" s="112"/>
      <c r="I2146" s="8" t="s">
        <v>317</v>
      </c>
      <c r="J2146" s="41" t="s">
        <v>1690</v>
      </c>
      <c r="K2146" s="57">
        <v>30</v>
      </c>
      <c r="L2146" s="58">
        <v>30</v>
      </c>
    </row>
    <row r="2147" spans="1:12" ht="15.75">
      <c r="A2147" s="105">
        <v>2044</v>
      </c>
      <c r="B2147" s="125"/>
      <c r="C2147" s="125"/>
      <c r="D2147" s="160">
        <v>9056450216</v>
      </c>
      <c r="E2147" s="194" t="s">
        <v>361</v>
      </c>
      <c r="F2147" s="112"/>
      <c r="G2147" s="112"/>
      <c r="H2147" s="112"/>
      <c r="I2147" s="8" t="s">
        <v>317</v>
      </c>
      <c r="J2147" s="41" t="s">
        <v>1690</v>
      </c>
      <c r="K2147" s="57">
        <v>30</v>
      </c>
      <c r="L2147" s="58">
        <v>30</v>
      </c>
    </row>
    <row r="2148" spans="1:12" ht="15.75">
      <c r="A2148" s="105">
        <v>2045</v>
      </c>
      <c r="B2148" s="125"/>
      <c r="C2148" s="125"/>
      <c r="D2148" s="160">
        <v>9056450217</v>
      </c>
      <c r="E2148" s="194" t="s">
        <v>361</v>
      </c>
      <c r="F2148" s="112"/>
      <c r="G2148" s="112"/>
      <c r="H2148" s="112"/>
      <c r="I2148" s="8" t="s">
        <v>317</v>
      </c>
      <c r="J2148" s="41" t="s">
        <v>1690</v>
      </c>
      <c r="K2148" s="57">
        <v>30</v>
      </c>
      <c r="L2148" s="58">
        <v>30</v>
      </c>
    </row>
    <row r="2149" spans="1:12" ht="15.75">
      <c r="A2149" s="105">
        <v>2046</v>
      </c>
      <c r="B2149" s="125"/>
      <c r="C2149" s="125"/>
      <c r="D2149" s="160">
        <v>9056450218</v>
      </c>
      <c r="E2149" s="194" t="s">
        <v>361</v>
      </c>
      <c r="F2149" s="112"/>
      <c r="G2149" s="112"/>
      <c r="H2149" s="112"/>
      <c r="I2149" s="8" t="s">
        <v>317</v>
      </c>
      <c r="J2149" s="41" t="s">
        <v>1690</v>
      </c>
      <c r="K2149" s="57">
        <v>30</v>
      </c>
      <c r="L2149" s="58">
        <v>30</v>
      </c>
    </row>
    <row r="2150" spans="1:12" ht="15.75">
      <c r="A2150" s="105">
        <v>2047</v>
      </c>
      <c r="B2150" s="125"/>
      <c r="C2150" s="125"/>
      <c r="D2150" s="160">
        <v>9056450219</v>
      </c>
      <c r="E2150" s="194" t="s">
        <v>361</v>
      </c>
      <c r="F2150" s="112"/>
      <c r="G2150" s="112"/>
      <c r="H2150" s="112"/>
      <c r="I2150" s="8" t="s">
        <v>317</v>
      </c>
      <c r="J2150" s="41" t="s">
        <v>1690</v>
      </c>
      <c r="K2150" s="57">
        <v>30</v>
      </c>
      <c r="L2150" s="58">
        <v>30</v>
      </c>
    </row>
    <row r="2151" spans="1:12" ht="15.75">
      <c r="A2151" s="105">
        <v>2048</v>
      </c>
      <c r="B2151" s="125"/>
      <c r="C2151" s="125"/>
      <c r="D2151" s="160">
        <v>9056450220</v>
      </c>
      <c r="E2151" s="194" t="s">
        <v>361</v>
      </c>
      <c r="F2151" s="112"/>
      <c r="G2151" s="112"/>
      <c r="H2151" s="112"/>
      <c r="I2151" s="8" t="s">
        <v>317</v>
      </c>
      <c r="J2151" s="41" t="s">
        <v>1690</v>
      </c>
      <c r="K2151" s="57">
        <v>30</v>
      </c>
      <c r="L2151" s="58">
        <v>30</v>
      </c>
    </row>
    <row r="2152" spans="1:12" ht="15.75">
      <c r="A2152" s="105">
        <v>2049</v>
      </c>
      <c r="B2152" s="125"/>
      <c r="C2152" s="125"/>
      <c r="D2152" s="160">
        <v>9056450221</v>
      </c>
      <c r="E2152" s="194" t="s">
        <v>361</v>
      </c>
      <c r="F2152" s="112"/>
      <c r="G2152" s="112"/>
      <c r="H2152" s="112"/>
      <c r="I2152" s="8" t="s">
        <v>317</v>
      </c>
      <c r="J2152" s="41" t="s">
        <v>1690</v>
      </c>
      <c r="K2152" s="57">
        <v>30</v>
      </c>
      <c r="L2152" s="58">
        <v>30</v>
      </c>
    </row>
    <row r="2153" spans="1:12" ht="15.75">
      <c r="A2153" s="105">
        <v>2050</v>
      </c>
      <c r="B2153" s="125"/>
      <c r="C2153" s="125"/>
      <c r="D2153" s="160">
        <v>9056450222</v>
      </c>
      <c r="E2153" s="194" t="s">
        <v>361</v>
      </c>
      <c r="F2153" s="112"/>
      <c r="G2153" s="112"/>
      <c r="H2153" s="112"/>
      <c r="I2153" s="8" t="s">
        <v>317</v>
      </c>
      <c r="J2153" s="41" t="s">
        <v>1690</v>
      </c>
      <c r="K2153" s="57">
        <v>30</v>
      </c>
      <c r="L2153" s="58">
        <v>30</v>
      </c>
    </row>
    <row r="2154" spans="1:12" ht="15.75">
      <c r="A2154" s="105">
        <v>2051</v>
      </c>
      <c r="B2154" s="125"/>
      <c r="C2154" s="125"/>
      <c r="D2154" s="160">
        <v>9056450223</v>
      </c>
      <c r="E2154" s="194" t="s">
        <v>361</v>
      </c>
      <c r="F2154" s="112"/>
      <c r="G2154" s="112"/>
      <c r="H2154" s="112"/>
      <c r="I2154" s="8" t="s">
        <v>317</v>
      </c>
      <c r="J2154" s="41" t="s">
        <v>1690</v>
      </c>
      <c r="K2154" s="57">
        <v>30</v>
      </c>
      <c r="L2154" s="58">
        <v>30</v>
      </c>
    </row>
    <row r="2155" spans="1:12" ht="15.75">
      <c r="A2155" s="105">
        <v>2052</v>
      </c>
      <c r="B2155" s="125"/>
      <c r="C2155" s="125"/>
      <c r="D2155" s="160">
        <v>9056459044</v>
      </c>
      <c r="E2155" s="194" t="s">
        <v>361</v>
      </c>
      <c r="F2155" s="112"/>
      <c r="G2155" s="112"/>
      <c r="H2155" s="112"/>
      <c r="I2155" s="8" t="s">
        <v>317</v>
      </c>
      <c r="J2155" s="41" t="s">
        <v>1690</v>
      </c>
      <c r="K2155" s="57">
        <v>30</v>
      </c>
      <c r="L2155" s="58">
        <v>30</v>
      </c>
    </row>
    <row r="2156" spans="1:12" ht="15.75">
      <c r="A2156" s="105">
        <v>2053</v>
      </c>
      <c r="B2156" s="125"/>
      <c r="C2156" s="125"/>
      <c r="D2156" s="160">
        <v>9056459045</v>
      </c>
      <c r="E2156" s="194" t="s">
        <v>361</v>
      </c>
      <c r="F2156" s="112"/>
      <c r="G2156" s="112"/>
      <c r="H2156" s="112"/>
      <c r="I2156" s="8" t="s">
        <v>317</v>
      </c>
      <c r="J2156" s="41" t="s">
        <v>1690</v>
      </c>
      <c r="K2156" s="57">
        <v>30</v>
      </c>
      <c r="L2156" s="58">
        <v>30</v>
      </c>
    </row>
    <row r="2157" spans="1:12" ht="15.75">
      <c r="A2157" s="105">
        <v>2054</v>
      </c>
      <c r="B2157" s="125"/>
      <c r="C2157" s="125"/>
      <c r="D2157" s="160">
        <v>9056459046</v>
      </c>
      <c r="E2157" s="194" t="s">
        <v>361</v>
      </c>
      <c r="F2157" s="112"/>
      <c r="G2157" s="112"/>
      <c r="H2157" s="112"/>
      <c r="I2157" s="8" t="s">
        <v>317</v>
      </c>
      <c r="J2157" s="41" t="s">
        <v>1690</v>
      </c>
      <c r="K2157" s="57">
        <v>30</v>
      </c>
      <c r="L2157" s="58">
        <v>30</v>
      </c>
    </row>
    <row r="2158" spans="1:12" ht="15.75">
      <c r="A2158" s="105">
        <v>2055</v>
      </c>
      <c r="B2158" s="125"/>
      <c r="C2158" s="125"/>
      <c r="D2158" s="160">
        <v>9056459047</v>
      </c>
      <c r="E2158" s="194" t="s">
        <v>361</v>
      </c>
      <c r="F2158" s="112"/>
      <c r="G2158" s="112"/>
      <c r="H2158" s="112"/>
      <c r="I2158" s="8" t="s">
        <v>317</v>
      </c>
      <c r="J2158" s="41" t="s">
        <v>1690</v>
      </c>
      <c r="K2158" s="57">
        <v>30</v>
      </c>
      <c r="L2158" s="58">
        <v>30</v>
      </c>
    </row>
    <row r="2159" spans="1:12" ht="15.75">
      <c r="A2159" s="105">
        <v>2056</v>
      </c>
      <c r="B2159" s="125"/>
      <c r="C2159" s="125"/>
      <c r="D2159" s="160">
        <v>9056459048</v>
      </c>
      <c r="E2159" s="194" t="s">
        <v>361</v>
      </c>
      <c r="F2159" s="112"/>
      <c r="G2159" s="112"/>
      <c r="H2159" s="112"/>
      <c r="I2159" s="8" t="s">
        <v>317</v>
      </c>
      <c r="J2159" s="41" t="s">
        <v>1690</v>
      </c>
      <c r="K2159" s="57">
        <v>30</v>
      </c>
      <c r="L2159" s="58">
        <v>30</v>
      </c>
    </row>
    <row r="2160" spans="1:12" ht="15.75">
      <c r="A2160" s="105">
        <v>2057</v>
      </c>
      <c r="B2160" s="125"/>
      <c r="C2160" s="125"/>
      <c r="D2160" s="160">
        <v>9056459049</v>
      </c>
      <c r="E2160" s="194" t="s">
        <v>361</v>
      </c>
      <c r="F2160" s="112"/>
      <c r="G2160" s="112"/>
      <c r="H2160" s="112"/>
      <c r="I2160" s="8" t="s">
        <v>317</v>
      </c>
      <c r="J2160" s="41" t="s">
        <v>1690</v>
      </c>
      <c r="K2160" s="57">
        <v>30</v>
      </c>
      <c r="L2160" s="58">
        <v>30</v>
      </c>
    </row>
    <row r="2161" spans="1:12" ht="15.75">
      <c r="A2161" s="105">
        <v>2058</v>
      </c>
      <c r="B2161" s="125"/>
      <c r="C2161" s="125"/>
      <c r="D2161" s="160">
        <v>9056459050</v>
      </c>
      <c r="E2161" s="194" t="s">
        <v>361</v>
      </c>
      <c r="F2161" s="112"/>
      <c r="G2161" s="112"/>
      <c r="H2161" s="112"/>
      <c r="I2161" s="8" t="s">
        <v>317</v>
      </c>
      <c r="J2161" s="41" t="s">
        <v>1690</v>
      </c>
      <c r="K2161" s="57">
        <v>30</v>
      </c>
      <c r="L2161" s="58">
        <v>30</v>
      </c>
    </row>
    <row r="2162" spans="1:12" ht="15.75">
      <c r="A2162" s="105">
        <v>2059</v>
      </c>
      <c r="B2162" s="125"/>
      <c r="C2162" s="125"/>
      <c r="D2162" s="160">
        <v>9056459051</v>
      </c>
      <c r="E2162" s="194" t="s">
        <v>361</v>
      </c>
      <c r="F2162" s="112"/>
      <c r="G2162" s="112"/>
      <c r="H2162" s="112"/>
      <c r="I2162" s="8" t="s">
        <v>317</v>
      </c>
      <c r="J2162" s="41" t="s">
        <v>1690</v>
      </c>
      <c r="K2162" s="57">
        <v>30</v>
      </c>
      <c r="L2162" s="58">
        <v>30</v>
      </c>
    </row>
    <row r="2163" spans="1:12" ht="15.75">
      <c r="A2163" s="105">
        <v>2060</v>
      </c>
      <c r="B2163" s="125"/>
      <c r="C2163" s="125"/>
      <c r="D2163" s="160">
        <v>9056459052</v>
      </c>
      <c r="E2163" s="194" t="s">
        <v>361</v>
      </c>
      <c r="F2163" s="112"/>
      <c r="G2163" s="112"/>
      <c r="H2163" s="112"/>
      <c r="I2163" s="8" t="s">
        <v>317</v>
      </c>
      <c r="J2163" s="41" t="s">
        <v>1690</v>
      </c>
      <c r="K2163" s="57">
        <v>30</v>
      </c>
      <c r="L2163" s="58">
        <v>30</v>
      </c>
    </row>
    <row r="2164" spans="1:12" ht="15.75">
      <c r="A2164" s="105">
        <v>2061</v>
      </c>
      <c r="B2164" s="125"/>
      <c r="C2164" s="125"/>
      <c r="D2164" s="160">
        <v>9056459053</v>
      </c>
      <c r="E2164" s="194" t="s">
        <v>361</v>
      </c>
      <c r="F2164" s="112"/>
      <c r="G2164" s="112"/>
      <c r="H2164" s="112"/>
      <c r="I2164" s="8" t="s">
        <v>317</v>
      </c>
      <c r="J2164" s="41" t="s">
        <v>1690</v>
      </c>
      <c r="K2164" s="57">
        <v>30</v>
      </c>
      <c r="L2164" s="58">
        <v>30</v>
      </c>
    </row>
    <row r="2165" spans="1:12" ht="15.75">
      <c r="A2165" s="105">
        <v>2062</v>
      </c>
      <c r="B2165" s="125"/>
      <c r="C2165" s="125"/>
      <c r="D2165" s="160">
        <v>9056459054</v>
      </c>
      <c r="E2165" s="194" t="s">
        <v>361</v>
      </c>
      <c r="F2165" s="112"/>
      <c r="G2165" s="112"/>
      <c r="H2165" s="112"/>
      <c r="I2165" s="8" t="s">
        <v>317</v>
      </c>
      <c r="J2165" s="41" t="s">
        <v>1690</v>
      </c>
      <c r="K2165" s="57">
        <v>30</v>
      </c>
      <c r="L2165" s="58">
        <v>30</v>
      </c>
    </row>
    <row r="2166" spans="1:12" ht="15.75">
      <c r="A2166" s="105">
        <v>2063</v>
      </c>
      <c r="B2166" s="125"/>
      <c r="C2166" s="125"/>
      <c r="D2166" s="160">
        <v>9056459055</v>
      </c>
      <c r="E2166" s="194" t="s">
        <v>361</v>
      </c>
      <c r="F2166" s="112"/>
      <c r="G2166" s="112"/>
      <c r="H2166" s="112"/>
      <c r="I2166" s="8" t="s">
        <v>317</v>
      </c>
      <c r="J2166" s="41" t="s">
        <v>1690</v>
      </c>
      <c r="K2166" s="57">
        <v>30</v>
      </c>
      <c r="L2166" s="58">
        <v>30</v>
      </c>
    </row>
    <row r="2167" spans="1:12" ht="15.75">
      <c r="A2167" s="105">
        <v>2064</v>
      </c>
      <c r="B2167" s="125"/>
      <c r="C2167" s="125"/>
      <c r="D2167" s="160">
        <v>9056459056</v>
      </c>
      <c r="E2167" s="194" t="s">
        <v>361</v>
      </c>
      <c r="F2167" s="112"/>
      <c r="G2167" s="112"/>
      <c r="H2167" s="112"/>
      <c r="I2167" s="8" t="s">
        <v>317</v>
      </c>
      <c r="J2167" s="41" t="s">
        <v>1690</v>
      </c>
      <c r="K2167" s="57">
        <v>30</v>
      </c>
      <c r="L2167" s="58">
        <v>30</v>
      </c>
    </row>
    <row r="2168" spans="1:12" ht="15.75">
      <c r="A2168" s="105">
        <v>2065</v>
      </c>
      <c r="B2168" s="125"/>
      <c r="C2168" s="125"/>
      <c r="D2168" s="160">
        <v>9056459057</v>
      </c>
      <c r="E2168" s="194" t="s">
        <v>361</v>
      </c>
      <c r="F2168" s="112"/>
      <c r="G2168" s="112"/>
      <c r="H2168" s="112"/>
      <c r="I2168" s="8" t="s">
        <v>317</v>
      </c>
      <c r="J2168" s="41" t="s">
        <v>1690</v>
      </c>
      <c r="K2168" s="57">
        <v>30</v>
      </c>
      <c r="L2168" s="58">
        <v>30</v>
      </c>
    </row>
    <row r="2169" spans="1:12" ht="15.75">
      <c r="A2169" s="105">
        <v>2066</v>
      </c>
      <c r="B2169" s="125"/>
      <c r="C2169" s="125"/>
      <c r="D2169" s="160">
        <v>9056459058</v>
      </c>
      <c r="E2169" s="194" t="s">
        <v>361</v>
      </c>
      <c r="F2169" s="112"/>
      <c r="G2169" s="112"/>
      <c r="H2169" s="112"/>
      <c r="I2169" s="8" t="s">
        <v>317</v>
      </c>
      <c r="J2169" s="41" t="s">
        <v>1690</v>
      </c>
      <c r="K2169" s="57">
        <v>30</v>
      </c>
      <c r="L2169" s="58">
        <v>30</v>
      </c>
    </row>
    <row r="2170" spans="1:12" ht="15.75">
      <c r="A2170" s="105">
        <v>2067</v>
      </c>
      <c r="B2170" s="125"/>
      <c r="C2170" s="125"/>
      <c r="D2170" s="160">
        <v>9056459059</v>
      </c>
      <c r="E2170" s="194" t="s">
        <v>361</v>
      </c>
      <c r="F2170" s="112"/>
      <c r="G2170" s="112"/>
      <c r="H2170" s="112"/>
      <c r="I2170" s="8" t="s">
        <v>317</v>
      </c>
      <c r="J2170" s="41" t="s">
        <v>1690</v>
      </c>
      <c r="K2170" s="57">
        <v>30</v>
      </c>
      <c r="L2170" s="58">
        <v>30</v>
      </c>
    </row>
    <row r="2171" spans="1:12" ht="15.75">
      <c r="A2171" s="105">
        <v>2068</v>
      </c>
      <c r="B2171" s="125"/>
      <c r="C2171" s="125"/>
      <c r="D2171" s="160">
        <v>9056459060</v>
      </c>
      <c r="E2171" s="194" t="s">
        <v>361</v>
      </c>
      <c r="F2171" s="112"/>
      <c r="G2171" s="112"/>
      <c r="H2171" s="112"/>
      <c r="I2171" s="8" t="s">
        <v>317</v>
      </c>
      <c r="J2171" s="41" t="s">
        <v>1690</v>
      </c>
      <c r="K2171" s="57">
        <v>30</v>
      </c>
      <c r="L2171" s="58">
        <v>30</v>
      </c>
    </row>
    <row r="2172" spans="1:12" ht="15.75">
      <c r="A2172" s="105">
        <v>2069</v>
      </c>
      <c r="B2172" s="125"/>
      <c r="C2172" s="125"/>
      <c r="D2172" s="160">
        <v>9056459061</v>
      </c>
      <c r="E2172" s="194" t="s">
        <v>361</v>
      </c>
      <c r="F2172" s="112"/>
      <c r="G2172" s="112"/>
      <c r="H2172" s="112"/>
      <c r="I2172" s="8" t="s">
        <v>317</v>
      </c>
      <c r="J2172" s="41" t="s">
        <v>1690</v>
      </c>
      <c r="K2172" s="57">
        <v>30</v>
      </c>
      <c r="L2172" s="58">
        <v>30</v>
      </c>
    </row>
    <row r="2173" spans="1:12" ht="15.75">
      <c r="A2173" s="105">
        <v>2070</v>
      </c>
      <c r="B2173" s="125"/>
      <c r="C2173" s="125"/>
      <c r="D2173" s="160">
        <v>9056459062</v>
      </c>
      <c r="E2173" s="194" t="s">
        <v>361</v>
      </c>
      <c r="F2173" s="112"/>
      <c r="G2173" s="112"/>
      <c r="H2173" s="112"/>
      <c r="I2173" s="8" t="s">
        <v>317</v>
      </c>
      <c r="J2173" s="41" t="s">
        <v>1690</v>
      </c>
      <c r="K2173" s="57">
        <v>30</v>
      </c>
      <c r="L2173" s="58">
        <v>30</v>
      </c>
    </row>
    <row r="2174" spans="1:12" ht="15.75">
      <c r="A2174" s="105">
        <v>2071</v>
      </c>
      <c r="B2174" s="125"/>
      <c r="C2174" s="125"/>
      <c r="D2174" s="160">
        <v>9056459063</v>
      </c>
      <c r="E2174" s="194" t="s">
        <v>361</v>
      </c>
      <c r="F2174" s="112"/>
      <c r="G2174" s="112"/>
      <c r="H2174" s="112"/>
      <c r="I2174" s="8" t="s">
        <v>317</v>
      </c>
      <c r="J2174" s="41" t="s">
        <v>1690</v>
      </c>
      <c r="K2174" s="57">
        <v>30</v>
      </c>
      <c r="L2174" s="58">
        <v>30</v>
      </c>
    </row>
    <row r="2175" spans="1:12" ht="15.75">
      <c r="A2175" s="105">
        <v>2072</v>
      </c>
      <c r="B2175" s="125"/>
      <c r="C2175" s="125"/>
      <c r="D2175" s="160">
        <v>9056459064</v>
      </c>
      <c r="E2175" s="194" t="s">
        <v>361</v>
      </c>
      <c r="F2175" s="112"/>
      <c r="G2175" s="112"/>
      <c r="H2175" s="112"/>
      <c r="I2175" s="8" t="s">
        <v>317</v>
      </c>
      <c r="J2175" s="41" t="s">
        <v>1690</v>
      </c>
      <c r="K2175" s="57">
        <v>30</v>
      </c>
      <c r="L2175" s="58">
        <v>30</v>
      </c>
    </row>
    <row r="2176" spans="1:12" ht="15.75">
      <c r="A2176" s="105">
        <v>2073</v>
      </c>
      <c r="B2176" s="125"/>
      <c r="C2176" s="125"/>
      <c r="D2176" s="160">
        <v>9056459065</v>
      </c>
      <c r="E2176" s="194" t="s">
        <v>361</v>
      </c>
      <c r="F2176" s="112"/>
      <c r="G2176" s="112"/>
      <c r="H2176" s="112"/>
      <c r="I2176" s="8" t="s">
        <v>317</v>
      </c>
      <c r="J2176" s="41" t="s">
        <v>1690</v>
      </c>
      <c r="K2176" s="57">
        <v>30</v>
      </c>
      <c r="L2176" s="58">
        <v>30</v>
      </c>
    </row>
    <row r="2177" spans="1:12" ht="15.75">
      <c r="A2177" s="105">
        <v>2074</v>
      </c>
      <c r="B2177" s="125"/>
      <c r="C2177" s="125"/>
      <c r="D2177" s="160">
        <v>9056459066</v>
      </c>
      <c r="E2177" s="194" t="s">
        <v>361</v>
      </c>
      <c r="F2177" s="112"/>
      <c r="G2177" s="112"/>
      <c r="H2177" s="112"/>
      <c r="I2177" s="41" t="s">
        <v>2763</v>
      </c>
      <c r="J2177" s="41" t="s">
        <v>1690</v>
      </c>
      <c r="K2177" s="57">
        <v>30</v>
      </c>
      <c r="L2177" s="58">
        <v>30</v>
      </c>
    </row>
    <row r="2178" spans="1:12" ht="15.75">
      <c r="A2178" s="105">
        <v>2075</v>
      </c>
      <c r="B2178" s="125"/>
      <c r="C2178" s="125"/>
      <c r="D2178" s="160">
        <v>9056459067</v>
      </c>
      <c r="E2178" s="194" t="s">
        <v>361</v>
      </c>
      <c r="F2178" s="112"/>
      <c r="G2178" s="112"/>
      <c r="H2178" s="112"/>
      <c r="I2178" s="41" t="s">
        <v>2763</v>
      </c>
      <c r="J2178" s="41" t="s">
        <v>1690</v>
      </c>
      <c r="K2178" s="57">
        <v>30</v>
      </c>
      <c r="L2178" s="58">
        <v>30</v>
      </c>
    </row>
    <row r="2179" spans="1:12" ht="15.75">
      <c r="A2179" s="105">
        <v>2076</v>
      </c>
      <c r="B2179" s="125"/>
      <c r="C2179" s="125"/>
      <c r="D2179" s="160">
        <v>9056459068</v>
      </c>
      <c r="E2179" s="194" t="s">
        <v>361</v>
      </c>
      <c r="F2179" s="112"/>
      <c r="G2179" s="112"/>
      <c r="H2179" s="112"/>
      <c r="I2179" s="41" t="s">
        <v>2763</v>
      </c>
      <c r="J2179" s="41" t="s">
        <v>1690</v>
      </c>
      <c r="K2179" s="57">
        <v>30</v>
      </c>
      <c r="L2179" s="58">
        <v>30</v>
      </c>
    </row>
    <row r="2180" spans="1:12" ht="15.75">
      <c r="A2180" s="105">
        <v>2077</v>
      </c>
      <c r="B2180" s="125"/>
      <c r="C2180" s="125"/>
      <c r="D2180" s="160">
        <v>9056459069</v>
      </c>
      <c r="E2180" s="194" t="s">
        <v>361</v>
      </c>
      <c r="F2180" s="112"/>
      <c r="G2180" s="112"/>
      <c r="H2180" s="112"/>
      <c r="I2180" s="41" t="s">
        <v>2763</v>
      </c>
      <c r="J2180" s="41" t="s">
        <v>1690</v>
      </c>
      <c r="K2180" s="57">
        <v>30</v>
      </c>
      <c r="L2180" s="58">
        <v>30</v>
      </c>
    </row>
    <row r="2181" spans="1:12" ht="15.75">
      <c r="A2181" s="105">
        <v>2078</v>
      </c>
      <c r="B2181" s="125"/>
      <c r="C2181" s="125"/>
      <c r="D2181" s="160">
        <v>9056459070</v>
      </c>
      <c r="E2181" s="194" t="s">
        <v>361</v>
      </c>
      <c r="F2181" s="112"/>
      <c r="G2181" s="112"/>
      <c r="H2181" s="112"/>
      <c r="I2181" s="41" t="s">
        <v>2763</v>
      </c>
      <c r="J2181" s="41" t="s">
        <v>1690</v>
      </c>
      <c r="K2181" s="57">
        <v>30</v>
      </c>
      <c r="L2181" s="58">
        <v>30</v>
      </c>
    </row>
    <row r="2182" spans="1:12" ht="15.75">
      <c r="A2182" s="105">
        <v>2079</v>
      </c>
      <c r="B2182" s="125"/>
      <c r="C2182" s="125"/>
      <c r="D2182" s="160">
        <v>9056459071</v>
      </c>
      <c r="E2182" s="194" t="s">
        <v>361</v>
      </c>
      <c r="F2182" s="112"/>
      <c r="G2182" s="112"/>
      <c r="H2182" s="112"/>
      <c r="I2182" s="41" t="s">
        <v>2763</v>
      </c>
      <c r="J2182" s="41" t="s">
        <v>1690</v>
      </c>
      <c r="K2182" s="57">
        <v>30</v>
      </c>
      <c r="L2182" s="58">
        <v>30</v>
      </c>
    </row>
    <row r="2183" spans="1:12" ht="15.75">
      <c r="A2183" s="105">
        <v>2080</v>
      </c>
      <c r="B2183" s="125"/>
      <c r="C2183" s="125"/>
      <c r="D2183" s="160">
        <v>9056459072</v>
      </c>
      <c r="E2183" s="194" t="s">
        <v>361</v>
      </c>
      <c r="F2183" s="112"/>
      <c r="G2183" s="112"/>
      <c r="H2183" s="112"/>
      <c r="I2183" s="41" t="s">
        <v>2763</v>
      </c>
      <c r="J2183" s="41" t="s">
        <v>1690</v>
      </c>
      <c r="K2183" s="57">
        <v>30</v>
      </c>
      <c r="L2183" s="58">
        <v>30</v>
      </c>
    </row>
    <row r="2184" spans="1:12" ht="15.75">
      <c r="A2184" s="105">
        <v>2081</v>
      </c>
      <c r="B2184" s="125"/>
      <c r="C2184" s="125"/>
      <c r="D2184" s="160">
        <v>9056459073</v>
      </c>
      <c r="E2184" s="194" t="s">
        <v>361</v>
      </c>
      <c r="F2184" s="112"/>
      <c r="G2184" s="112"/>
      <c r="H2184" s="112"/>
      <c r="I2184" s="41" t="s">
        <v>2763</v>
      </c>
      <c r="J2184" s="41" t="s">
        <v>1690</v>
      </c>
      <c r="K2184" s="57">
        <v>30</v>
      </c>
      <c r="L2184" s="58">
        <v>30</v>
      </c>
    </row>
    <row r="2185" spans="1:12" ht="15.75">
      <c r="A2185" s="105">
        <v>2082</v>
      </c>
      <c r="B2185" s="125"/>
      <c r="C2185" s="125"/>
      <c r="D2185" s="160">
        <v>9056459074</v>
      </c>
      <c r="E2185" s="194" t="s">
        <v>361</v>
      </c>
      <c r="F2185" s="112"/>
      <c r="G2185" s="112"/>
      <c r="H2185" s="112"/>
      <c r="I2185" s="41" t="s">
        <v>2763</v>
      </c>
      <c r="J2185" s="41" t="s">
        <v>1690</v>
      </c>
      <c r="K2185" s="57">
        <v>30</v>
      </c>
      <c r="L2185" s="58">
        <v>30</v>
      </c>
    </row>
    <row r="2186" spans="1:12" ht="15.75">
      <c r="A2186" s="105">
        <v>2083</v>
      </c>
      <c r="B2186" s="125"/>
      <c r="C2186" s="125"/>
      <c r="D2186" s="160">
        <v>9056459075</v>
      </c>
      <c r="E2186" s="194" t="s">
        <v>361</v>
      </c>
      <c r="F2186" s="112"/>
      <c r="G2186" s="112"/>
      <c r="H2186" s="112"/>
      <c r="I2186" s="41" t="s">
        <v>2763</v>
      </c>
      <c r="J2186" s="41" t="s">
        <v>1690</v>
      </c>
      <c r="K2186" s="57">
        <v>30</v>
      </c>
      <c r="L2186" s="58">
        <v>30</v>
      </c>
    </row>
    <row r="2187" spans="1:12" ht="15.75">
      <c r="A2187" s="105">
        <v>2084</v>
      </c>
      <c r="B2187" s="125"/>
      <c r="C2187" s="125"/>
      <c r="D2187" s="160">
        <v>9056459076</v>
      </c>
      <c r="E2187" s="194" t="s">
        <v>361</v>
      </c>
      <c r="F2187" s="112"/>
      <c r="G2187" s="112"/>
      <c r="H2187" s="112"/>
      <c r="I2187" s="41" t="s">
        <v>2763</v>
      </c>
      <c r="J2187" s="41" t="s">
        <v>1690</v>
      </c>
      <c r="K2187" s="57">
        <v>30</v>
      </c>
      <c r="L2187" s="58">
        <v>30</v>
      </c>
    </row>
    <row r="2188" spans="1:12" ht="15.75">
      <c r="A2188" s="105">
        <v>2085</v>
      </c>
      <c r="B2188" s="125"/>
      <c r="C2188" s="125"/>
      <c r="D2188" s="160">
        <v>9056459077</v>
      </c>
      <c r="E2188" s="194" t="s">
        <v>361</v>
      </c>
      <c r="F2188" s="112"/>
      <c r="G2188" s="112"/>
      <c r="H2188" s="112"/>
      <c r="I2188" s="41" t="s">
        <v>2763</v>
      </c>
      <c r="J2188" s="41" t="s">
        <v>1690</v>
      </c>
      <c r="K2188" s="57">
        <v>30</v>
      </c>
      <c r="L2188" s="58">
        <v>30</v>
      </c>
    </row>
    <row r="2189" spans="1:12" ht="15.75">
      <c r="A2189" s="105">
        <v>2086</v>
      </c>
      <c r="B2189" s="125"/>
      <c r="C2189" s="125"/>
      <c r="D2189" s="160">
        <v>9056459078</v>
      </c>
      <c r="E2189" s="194" t="s">
        <v>361</v>
      </c>
      <c r="F2189" s="112"/>
      <c r="G2189" s="112"/>
      <c r="H2189" s="112"/>
      <c r="I2189" s="41" t="s">
        <v>2763</v>
      </c>
      <c r="J2189" s="41" t="s">
        <v>1690</v>
      </c>
      <c r="K2189" s="57">
        <v>30</v>
      </c>
      <c r="L2189" s="58">
        <v>30</v>
      </c>
    </row>
    <row r="2190" spans="1:12" ht="15.75">
      <c r="A2190" s="105">
        <v>2087</v>
      </c>
      <c r="B2190" s="125"/>
      <c r="C2190" s="125"/>
      <c r="D2190" s="160">
        <v>9056459079</v>
      </c>
      <c r="E2190" s="194" t="s">
        <v>361</v>
      </c>
      <c r="F2190" s="112"/>
      <c r="G2190" s="112"/>
      <c r="H2190" s="112"/>
      <c r="I2190" s="41" t="s">
        <v>2763</v>
      </c>
      <c r="J2190" s="41" t="s">
        <v>1690</v>
      </c>
      <c r="K2190" s="57">
        <v>30</v>
      </c>
      <c r="L2190" s="58">
        <v>30</v>
      </c>
    </row>
    <row r="2191" spans="1:12" ht="15.75">
      <c r="A2191" s="105">
        <v>2088</v>
      </c>
      <c r="B2191" s="125"/>
      <c r="C2191" s="125"/>
      <c r="D2191" s="160">
        <v>9056459080</v>
      </c>
      <c r="E2191" s="194" t="s">
        <v>361</v>
      </c>
      <c r="F2191" s="112"/>
      <c r="G2191" s="112"/>
      <c r="H2191" s="112"/>
      <c r="I2191" s="41" t="s">
        <v>2763</v>
      </c>
      <c r="J2191" s="41" t="s">
        <v>1690</v>
      </c>
      <c r="K2191" s="57">
        <v>30</v>
      </c>
      <c r="L2191" s="58">
        <v>30</v>
      </c>
    </row>
    <row r="2192" spans="1:12" ht="15.75">
      <c r="A2192" s="105">
        <v>2089</v>
      </c>
      <c r="B2192" s="125"/>
      <c r="C2192" s="125"/>
      <c r="D2192" s="160">
        <v>9056459081</v>
      </c>
      <c r="E2192" s="194" t="s">
        <v>361</v>
      </c>
      <c r="F2192" s="112"/>
      <c r="G2192" s="112"/>
      <c r="H2192" s="112"/>
      <c r="I2192" s="41" t="s">
        <v>2763</v>
      </c>
      <c r="J2192" s="41" t="s">
        <v>1690</v>
      </c>
      <c r="K2192" s="57">
        <v>30</v>
      </c>
      <c r="L2192" s="58">
        <v>30</v>
      </c>
    </row>
    <row r="2193" spans="1:12" ht="15.75">
      <c r="A2193" s="105">
        <v>2090</v>
      </c>
      <c r="B2193" s="125"/>
      <c r="C2193" s="125"/>
      <c r="D2193" s="160">
        <v>9056459082</v>
      </c>
      <c r="E2193" s="194" t="s">
        <v>361</v>
      </c>
      <c r="F2193" s="112"/>
      <c r="G2193" s="112"/>
      <c r="H2193" s="112"/>
      <c r="I2193" s="41" t="s">
        <v>2763</v>
      </c>
      <c r="J2193" s="41" t="s">
        <v>1690</v>
      </c>
      <c r="K2193" s="57">
        <v>30</v>
      </c>
      <c r="L2193" s="58">
        <v>30</v>
      </c>
    </row>
    <row r="2194" spans="1:12" ht="15.75">
      <c r="A2194" s="105">
        <v>2091</v>
      </c>
      <c r="B2194" s="125"/>
      <c r="C2194" s="125"/>
      <c r="D2194" s="160">
        <v>9056459083</v>
      </c>
      <c r="E2194" s="194" t="s">
        <v>361</v>
      </c>
      <c r="F2194" s="112"/>
      <c r="G2194" s="112"/>
      <c r="H2194" s="112"/>
      <c r="I2194" s="41" t="s">
        <v>2763</v>
      </c>
      <c r="J2194" s="41" t="s">
        <v>1690</v>
      </c>
      <c r="K2194" s="57">
        <v>30</v>
      </c>
      <c r="L2194" s="58">
        <v>30</v>
      </c>
    </row>
    <row r="2195" spans="1:12" ht="15.75">
      <c r="A2195" s="105">
        <v>2092</v>
      </c>
      <c r="B2195" s="125"/>
      <c r="C2195" s="125"/>
      <c r="D2195" s="160">
        <v>9056459084</v>
      </c>
      <c r="E2195" s="194" t="s">
        <v>361</v>
      </c>
      <c r="F2195" s="112"/>
      <c r="G2195" s="112"/>
      <c r="H2195" s="112"/>
      <c r="I2195" s="41" t="s">
        <v>2763</v>
      </c>
      <c r="J2195" s="41" t="s">
        <v>1690</v>
      </c>
      <c r="K2195" s="57">
        <v>30</v>
      </c>
      <c r="L2195" s="58">
        <v>30</v>
      </c>
    </row>
    <row r="2196" spans="1:12" ht="15.75">
      <c r="A2196" s="105">
        <v>2093</v>
      </c>
      <c r="B2196" s="125"/>
      <c r="C2196" s="125"/>
      <c r="D2196" s="160">
        <v>9056459085</v>
      </c>
      <c r="E2196" s="194" t="s">
        <v>361</v>
      </c>
      <c r="F2196" s="112"/>
      <c r="G2196" s="112"/>
      <c r="H2196" s="112"/>
      <c r="I2196" s="41" t="s">
        <v>2763</v>
      </c>
      <c r="J2196" s="41" t="s">
        <v>1690</v>
      </c>
      <c r="K2196" s="57">
        <v>30</v>
      </c>
      <c r="L2196" s="58">
        <v>30</v>
      </c>
    </row>
    <row r="2197" spans="1:12" ht="15.75">
      <c r="A2197" s="105">
        <v>2094</v>
      </c>
      <c r="B2197" s="125"/>
      <c r="C2197" s="125"/>
      <c r="D2197" s="160">
        <v>9056459086</v>
      </c>
      <c r="E2197" s="194" t="s">
        <v>361</v>
      </c>
      <c r="F2197" s="112"/>
      <c r="G2197" s="112"/>
      <c r="H2197" s="112"/>
      <c r="I2197" s="41" t="s">
        <v>2763</v>
      </c>
      <c r="J2197" s="41" t="s">
        <v>1690</v>
      </c>
      <c r="K2197" s="57">
        <v>30</v>
      </c>
      <c r="L2197" s="58">
        <v>30</v>
      </c>
    </row>
    <row r="2198" spans="1:12" ht="15.75">
      <c r="A2198" s="105">
        <v>2095</v>
      </c>
      <c r="B2198" s="125"/>
      <c r="C2198" s="125"/>
      <c r="D2198" s="160">
        <v>9056459087</v>
      </c>
      <c r="E2198" s="194" t="s">
        <v>361</v>
      </c>
      <c r="F2198" s="112"/>
      <c r="G2198" s="112"/>
      <c r="H2198" s="112"/>
      <c r="I2198" s="41" t="s">
        <v>2763</v>
      </c>
      <c r="J2198" s="41" t="s">
        <v>1690</v>
      </c>
      <c r="K2198" s="57">
        <v>30</v>
      </c>
      <c r="L2198" s="58">
        <v>30</v>
      </c>
    </row>
    <row r="2199" spans="1:12" ht="15.75">
      <c r="A2199" s="105">
        <v>2096</v>
      </c>
      <c r="B2199" s="125"/>
      <c r="C2199" s="125"/>
      <c r="D2199" s="160">
        <v>9056459088</v>
      </c>
      <c r="E2199" s="194" t="s">
        <v>361</v>
      </c>
      <c r="F2199" s="112"/>
      <c r="G2199" s="112"/>
      <c r="H2199" s="112"/>
      <c r="I2199" s="41" t="s">
        <v>2763</v>
      </c>
      <c r="J2199" s="41" t="s">
        <v>1690</v>
      </c>
      <c r="K2199" s="57">
        <v>30</v>
      </c>
      <c r="L2199" s="58">
        <v>30</v>
      </c>
    </row>
    <row r="2200" spans="1:12" ht="15.75">
      <c r="A2200" s="105">
        <v>2097</v>
      </c>
      <c r="B2200" s="125"/>
      <c r="C2200" s="125"/>
      <c r="D2200" s="160">
        <v>9056459089</v>
      </c>
      <c r="E2200" s="194" t="s">
        <v>361</v>
      </c>
      <c r="F2200" s="112"/>
      <c r="G2200" s="112"/>
      <c r="H2200" s="112"/>
      <c r="I2200" s="41" t="s">
        <v>2763</v>
      </c>
      <c r="J2200" s="41" t="s">
        <v>1690</v>
      </c>
      <c r="K2200" s="57">
        <v>30</v>
      </c>
      <c r="L2200" s="58">
        <v>30</v>
      </c>
    </row>
    <row r="2201" spans="1:12" ht="15.75">
      <c r="A2201" s="105">
        <v>2098</v>
      </c>
      <c r="B2201" s="125"/>
      <c r="C2201" s="125"/>
      <c r="D2201" s="160">
        <v>9056459090</v>
      </c>
      <c r="E2201" s="194" t="s">
        <v>361</v>
      </c>
      <c r="F2201" s="112"/>
      <c r="G2201" s="112"/>
      <c r="H2201" s="112"/>
      <c r="I2201" s="41" t="s">
        <v>2763</v>
      </c>
      <c r="J2201" s="41" t="s">
        <v>1690</v>
      </c>
      <c r="K2201" s="57">
        <v>30</v>
      </c>
      <c r="L2201" s="58">
        <v>30</v>
      </c>
    </row>
    <row r="2202" spans="1:12" ht="15.75">
      <c r="A2202" s="105">
        <v>2099</v>
      </c>
      <c r="B2202" s="125"/>
      <c r="C2202" s="125"/>
      <c r="D2202" s="160">
        <v>9056459091</v>
      </c>
      <c r="E2202" s="194" t="s">
        <v>361</v>
      </c>
      <c r="F2202" s="112"/>
      <c r="G2202" s="112"/>
      <c r="H2202" s="112"/>
      <c r="I2202" s="41" t="s">
        <v>2763</v>
      </c>
      <c r="J2202" s="41" t="s">
        <v>1690</v>
      </c>
      <c r="K2202" s="57">
        <v>30</v>
      </c>
      <c r="L2202" s="58">
        <v>30</v>
      </c>
    </row>
    <row r="2203" spans="1:12" ht="15.75">
      <c r="A2203" s="105">
        <v>2100</v>
      </c>
      <c r="B2203" s="125"/>
      <c r="C2203" s="125"/>
      <c r="D2203" s="160">
        <v>9056459092</v>
      </c>
      <c r="E2203" s="194" t="s">
        <v>361</v>
      </c>
      <c r="F2203" s="112"/>
      <c r="G2203" s="112"/>
      <c r="H2203" s="112"/>
      <c r="I2203" s="41" t="s">
        <v>2763</v>
      </c>
      <c r="J2203" s="41" t="s">
        <v>1690</v>
      </c>
      <c r="K2203" s="57">
        <v>30</v>
      </c>
      <c r="L2203" s="58">
        <v>30</v>
      </c>
    </row>
    <row r="2204" spans="1:12" ht="15.75">
      <c r="A2204" s="105">
        <v>2101</v>
      </c>
      <c r="B2204" s="125"/>
      <c r="C2204" s="125"/>
      <c r="D2204" s="160">
        <v>9056459093</v>
      </c>
      <c r="E2204" s="194" t="s">
        <v>361</v>
      </c>
      <c r="F2204" s="112"/>
      <c r="G2204" s="112"/>
      <c r="H2204" s="112"/>
      <c r="I2204" s="41" t="s">
        <v>2763</v>
      </c>
      <c r="J2204" s="41" t="s">
        <v>1690</v>
      </c>
      <c r="K2204" s="57">
        <v>30</v>
      </c>
      <c r="L2204" s="58">
        <v>30</v>
      </c>
    </row>
    <row r="2205" spans="1:12" ht="15.75">
      <c r="A2205" s="105">
        <v>2102</v>
      </c>
      <c r="B2205" s="125"/>
      <c r="C2205" s="125"/>
      <c r="D2205" s="160">
        <v>9056459094</v>
      </c>
      <c r="E2205" s="194" t="s">
        <v>361</v>
      </c>
      <c r="F2205" s="112"/>
      <c r="G2205" s="112"/>
      <c r="H2205" s="112"/>
      <c r="I2205" s="41" t="s">
        <v>2763</v>
      </c>
      <c r="J2205" s="41" t="s">
        <v>1690</v>
      </c>
      <c r="K2205" s="57">
        <v>30</v>
      </c>
      <c r="L2205" s="58">
        <v>30</v>
      </c>
    </row>
    <row r="2206" spans="1:12" ht="15.75">
      <c r="A2206" s="105">
        <v>2103</v>
      </c>
      <c r="B2206" s="125"/>
      <c r="C2206" s="125"/>
      <c r="D2206" s="160">
        <v>9056459095</v>
      </c>
      <c r="E2206" s="194" t="s">
        <v>361</v>
      </c>
      <c r="F2206" s="112"/>
      <c r="G2206" s="112"/>
      <c r="H2206" s="112"/>
      <c r="I2206" s="41" t="s">
        <v>2763</v>
      </c>
      <c r="J2206" s="41" t="s">
        <v>1690</v>
      </c>
      <c r="K2206" s="57">
        <v>30</v>
      </c>
      <c r="L2206" s="58">
        <v>30</v>
      </c>
    </row>
    <row r="2207" spans="1:12" ht="15.75">
      <c r="A2207" s="105">
        <v>2104</v>
      </c>
      <c r="B2207" s="125"/>
      <c r="C2207" s="125"/>
      <c r="D2207" s="160">
        <v>9056459096</v>
      </c>
      <c r="E2207" s="194" t="s">
        <v>361</v>
      </c>
      <c r="F2207" s="112"/>
      <c r="G2207" s="112"/>
      <c r="H2207" s="112"/>
      <c r="I2207" s="41" t="s">
        <v>2763</v>
      </c>
      <c r="J2207" s="41" t="s">
        <v>1690</v>
      </c>
      <c r="K2207" s="57">
        <v>30</v>
      </c>
      <c r="L2207" s="58">
        <v>30</v>
      </c>
    </row>
    <row r="2208" spans="1:12" ht="15.75">
      <c r="A2208" s="105">
        <v>2105</v>
      </c>
      <c r="B2208" s="125"/>
      <c r="C2208" s="125"/>
      <c r="D2208" s="160">
        <v>9056459097</v>
      </c>
      <c r="E2208" s="194" t="s">
        <v>361</v>
      </c>
      <c r="F2208" s="112"/>
      <c r="G2208" s="112"/>
      <c r="H2208" s="112"/>
      <c r="I2208" s="41" t="s">
        <v>2763</v>
      </c>
      <c r="J2208" s="41" t="s">
        <v>1690</v>
      </c>
      <c r="K2208" s="57">
        <v>30</v>
      </c>
      <c r="L2208" s="58">
        <v>30</v>
      </c>
    </row>
    <row r="2209" spans="1:12" ht="15.75">
      <c r="A2209" s="105">
        <v>2106</v>
      </c>
      <c r="B2209" s="125"/>
      <c r="C2209" s="125"/>
      <c r="D2209" s="160">
        <v>9056459098</v>
      </c>
      <c r="E2209" s="194" t="s">
        <v>361</v>
      </c>
      <c r="F2209" s="112"/>
      <c r="G2209" s="112"/>
      <c r="H2209" s="112"/>
      <c r="I2209" s="41" t="s">
        <v>2763</v>
      </c>
      <c r="J2209" s="41" t="s">
        <v>1690</v>
      </c>
      <c r="K2209" s="57">
        <v>30</v>
      </c>
      <c r="L2209" s="58">
        <v>30</v>
      </c>
    </row>
    <row r="2210" spans="1:12" ht="15.75">
      <c r="A2210" s="105">
        <v>2107</v>
      </c>
      <c r="B2210" s="125"/>
      <c r="C2210" s="125"/>
      <c r="D2210" s="160">
        <v>9056459099</v>
      </c>
      <c r="E2210" s="194" t="s">
        <v>361</v>
      </c>
      <c r="F2210" s="112"/>
      <c r="G2210" s="112"/>
      <c r="H2210" s="112"/>
      <c r="I2210" s="41" t="s">
        <v>2763</v>
      </c>
      <c r="J2210" s="41" t="s">
        <v>1690</v>
      </c>
      <c r="K2210" s="57">
        <v>30</v>
      </c>
      <c r="L2210" s="58">
        <v>30</v>
      </c>
    </row>
    <row r="2211" spans="1:12" ht="15.75">
      <c r="A2211" s="105">
        <v>2108</v>
      </c>
      <c r="B2211" s="125"/>
      <c r="C2211" s="125"/>
      <c r="D2211" s="160">
        <v>9056459100</v>
      </c>
      <c r="E2211" s="194" t="s">
        <v>361</v>
      </c>
      <c r="F2211" s="112"/>
      <c r="G2211" s="112"/>
      <c r="H2211" s="112"/>
      <c r="I2211" s="41" t="s">
        <v>2763</v>
      </c>
      <c r="J2211" s="41" t="s">
        <v>1690</v>
      </c>
      <c r="K2211" s="57">
        <v>30</v>
      </c>
      <c r="L2211" s="58">
        <v>30</v>
      </c>
    </row>
    <row r="2212" spans="1:12" ht="15.75">
      <c r="A2212" s="105">
        <v>2109</v>
      </c>
      <c r="B2212" s="125"/>
      <c r="C2212" s="125"/>
      <c r="D2212" s="160">
        <v>9056459101</v>
      </c>
      <c r="E2212" s="194" t="s">
        <v>361</v>
      </c>
      <c r="F2212" s="112"/>
      <c r="G2212" s="112"/>
      <c r="H2212" s="112"/>
      <c r="I2212" s="41" t="s">
        <v>2763</v>
      </c>
      <c r="J2212" s="41" t="s">
        <v>1690</v>
      </c>
      <c r="K2212" s="57">
        <v>30</v>
      </c>
      <c r="L2212" s="58">
        <v>30</v>
      </c>
    </row>
    <row r="2213" spans="1:12" ht="15.75">
      <c r="A2213" s="105">
        <v>2110</v>
      </c>
      <c r="B2213" s="125"/>
      <c r="C2213" s="125"/>
      <c r="D2213" s="160">
        <v>9056459102</v>
      </c>
      <c r="E2213" s="194" t="s">
        <v>361</v>
      </c>
      <c r="F2213" s="112"/>
      <c r="G2213" s="112"/>
      <c r="H2213" s="112"/>
      <c r="I2213" s="41" t="s">
        <v>2763</v>
      </c>
      <c r="J2213" s="41" t="s">
        <v>1690</v>
      </c>
      <c r="K2213" s="57">
        <v>30</v>
      </c>
      <c r="L2213" s="58">
        <v>30</v>
      </c>
    </row>
    <row r="2214" spans="1:12" ht="15.75">
      <c r="A2214" s="105">
        <v>2111</v>
      </c>
      <c r="B2214" s="125"/>
      <c r="C2214" s="125"/>
      <c r="D2214" s="160">
        <v>9056459103</v>
      </c>
      <c r="E2214" s="194" t="s">
        <v>361</v>
      </c>
      <c r="F2214" s="112"/>
      <c r="G2214" s="112"/>
      <c r="H2214" s="112"/>
      <c r="I2214" s="41" t="s">
        <v>2763</v>
      </c>
      <c r="J2214" s="41" t="s">
        <v>1690</v>
      </c>
      <c r="K2214" s="57">
        <v>30</v>
      </c>
      <c r="L2214" s="58">
        <v>30</v>
      </c>
    </row>
    <row r="2215" spans="1:12" ht="15.75">
      <c r="A2215" s="105">
        <v>2112</v>
      </c>
      <c r="B2215" s="125"/>
      <c r="C2215" s="125"/>
      <c r="D2215" s="160">
        <v>9056459104</v>
      </c>
      <c r="E2215" s="194" t="s">
        <v>361</v>
      </c>
      <c r="F2215" s="112"/>
      <c r="G2215" s="112"/>
      <c r="H2215" s="112"/>
      <c r="I2215" s="41" t="s">
        <v>2763</v>
      </c>
      <c r="J2215" s="41" t="s">
        <v>1690</v>
      </c>
      <c r="K2215" s="57">
        <v>30</v>
      </c>
      <c r="L2215" s="58">
        <v>30</v>
      </c>
    </row>
    <row r="2216" spans="1:12" ht="15.75">
      <c r="A2216" s="105">
        <v>2113</v>
      </c>
      <c r="B2216" s="125"/>
      <c r="C2216" s="125"/>
      <c r="D2216" s="160">
        <v>9056459105</v>
      </c>
      <c r="E2216" s="194" t="s">
        <v>361</v>
      </c>
      <c r="F2216" s="112"/>
      <c r="G2216" s="112"/>
      <c r="H2216" s="112"/>
      <c r="I2216" s="41" t="s">
        <v>2763</v>
      </c>
      <c r="J2216" s="41" t="s">
        <v>1690</v>
      </c>
      <c r="K2216" s="57">
        <v>30</v>
      </c>
      <c r="L2216" s="58">
        <v>30</v>
      </c>
    </row>
    <row r="2217" spans="1:12" ht="15.75">
      <c r="A2217" s="105">
        <v>2114</v>
      </c>
      <c r="B2217" s="125"/>
      <c r="C2217" s="125"/>
      <c r="D2217" s="160">
        <v>9056459106</v>
      </c>
      <c r="E2217" s="194" t="s">
        <v>361</v>
      </c>
      <c r="F2217" s="112"/>
      <c r="G2217" s="112"/>
      <c r="H2217" s="112"/>
      <c r="I2217" s="41" t="s">
        <v>2763</v>
      </c>
      <c r="J2217" s="41" t="s">
        <v>1690</v>
      </c>
      <c r="K2217" s="57">
        <v>30</v>
      </c>
      <c r="L2217" s="58">
        <v>30</v>
      </c>
    </row>
    <row r="2218" spans="1:12" ht="15.75">
      <c r="A2218" s="105">
        <v>2115</v>
      </c>
      <c r="B2218" s="125"/>
      <c r="C2218" s="125"/>
      <c r="D2218" s="160">
        <v>9056478001</v>
      </c>
      <c r="E2218" s="194" t="s">
        <v>361</v>
      </c>
      <c r="F2218" s="112"/>
      <c r="G2218" s="112"/>
      <c r="H2218" s="112"/>
      <c r="I2218" s="41" t="s">
        <v>2763</v>
      </c>
      <c r="J2218" s="41" t="s">
        <v>1690</v>
      </c>
      <c r="K2218" s="57">
        <v>30</v>
      </c>
      <c r="L2218" s="58">
        <v>30</v>
      </c>
    </row>
    <row r="2219" spans="1:12" ht="15.75">
      <c r="A2219" s="105">
        <v>2116</v>
      </c>
      <c r="B2219" s="125"/>
      <c r="C2219" s="125"/>
      <c r="D2219" s="160">
        <v>9056478002</v>
      </c>
      <c r="E2219" s="194" t="s">
        <v>361</v>
      </c>
      <c r="F2219" s="112"/>
      <c r="G2219" s="112"/>
      <c r="H2219" s="112"/>
      <c r="I2219" s="41" t="s">
        <v>2763</v>
      </c>
      <c r="J2219" s="41" t="s">
        <v>1690</v>
      </c>
      <c r="K2219" s="57">
        <v>30</v>
      </c>
      <c r="L2219" s="58">
        <v>30</v>
      </c>
    </row>
    <row r="2220" spans="1:12" ht="15.75">
      <c r="A2220" s="105">
        <v>2117</v>
      </c>
      <c r="B2220" s="125"/>
      <c r="C2220" s="125"/>
      <c r="D2220" s="160">
        <v>9056478003</v>
      </c>
      <c r="E2220" s="194" t="s">
        <v>361</v>
      </c>
      <c r="F2220" s="112"/>
      <c r="G2220" s="112"/>
      <c r="H2220" s="112"/>
      <c r="I2220" s="41" t="s">
        <v>2763</v>
      </c>
      <c r="J2220" s="41" t="s">
        <v>1690</v>
      </c>
      <c r="K2220" s="57">
        <v>30</v>
      </c>
      <c r="L2220" s="58">
        <v>30</v>
      </c>
    </row>
    <row r="2221" spans="1:12" ht="15.75">
      <c r="A2221" s="105">
        <v>2118</v>
      </c>
      <c r="B2221" s="125"/>
      <c r="C2221" s="125"/>
      <c r="D2221" s="160">
        <v>9056478004</v>
      </c>
      <c r="E2221" s="194" t="s">
        <v>361</v>
      </c>
      <c r="F2221" s="112"/>
      <c r="G2221" s="112"/>
      <c r="H2221" s="112"/>
      <c r="I2221" s="41" t="s">
        <v>2763</v>
      </c>
      <c r="J2221" s="41" t="s">
        <v>1690</v>
      </c>
      <c r="K2221" s="57">
        <v>30</v>
      </c>
      <c r="L2221" s="58">
        <v>30</v>
      </c>
    </row>
    <row r="2222" spans="1:12" ht="15.75">
      <c r="A2222" s="105">
        <v>2119</v>
      </c>
      <c r="B2222" s="125"/>
      <c r="C2222" s="125"/>
      <c r="D2222" s="160">
        <v>9056478005</v>
      </c>
      <c r="E2222" s="194" t="s">
        <v>361</v>
      </c>
      <c r="F2222" s="112"/>
      <c r="G2222" s="112"/>
      <c r="H2222" s="112"/>
      <c r="I2222" s="41" t="s">
        <v>2763</v>
      </c>
      <c r="J2222" s="41" t="s">
        <v>1690</v>
      </c>
      <c r="K2222" s="57">
        <v>30</v>
      </c>
      <c r="L2222" s="58">
        <v>30</v>
      </c>
    </row>
    <row r="2223" spans="1:12" ht="15.75">
      <c r="A2223" s="105">
        <v>2120</v>
      </c>
      <c r="B2223" s="125"/>
      <c r="C2223" s="125"/>
      <c r="D2223" s="160">
        <v>9056478006</v>
      </c>
      <c r="E2223" s="194" t="s">
        <v>361</v>
      </c>
      <c r="F2223" s="112"/>
      <c r="G2223" s="112"/>
      <c r="H2223" s="112"/>
      <c r="I2223" s="41" t="s">
        <v>2763</v>
      </c>
      <c r="J2223" s="41" t="s">
        <v>1690</v>
      </c>
      <c r="K2223" s="57">
        <v>30</v>
      </c>
      <c r="L2223" s="58">
        <v>30</v>
      </c>
    </row>
    <row r="2224" spans="1:12" ht="15.75">
      <c r="A2224" s="105">
        <v>2121</v>
      </c>
      <c r="B2224" s="125"/>
      <c r="C2224" s="125"/>
      <c r="D2224" s="160">
        <v>9056478007</v>
      </c>
      <c r="E2224" s="194" t="s">
        <v>361</v>
      </c>
      <c r="F2224" s="112"/>
      <c r="G2224" s="112"/>
      <c r="H2224" s="112"/>
      <c r="I2224" s="41" t="s">
        <v>2763</v>
      </c>
      <c r="J2224" s="41" t="s">
        <v>1690</v>
      </c>
      <c r="K2224" s="57">
        <v>30</v>
      </c>
      <c r="L2224" s="58">
        <v>30</v>
      </c>
    </row>
    <row r="2225" spans="1:12" ht="15.75">
      <c r="A2225" s="105">
        <v>2122</v>
      </c>
      <c r="B2225" s="125"/>
      <c r="C2225" s="125"/>
      <c r="D2225" s="160">
        <v>9056478008</v>
      </c>
      <c r="E2225" s="194" t="s">
        <v>361</v>
      </c>
      <c r="F2225" s="112"/>
      <c r="G2225" s="112"/>
      <c r="H2225" s="112"/>
      <c r="I2225" s="41" t="s">
        <v>2763</v>
      </c>
      <c r="J2225" s="41" t="s">
        <v>1690</v>
      </c>
      <c r="K2225" s="57">
        <v>30</v>
      </c>
      <c r="L2225" s="58">
        <v>30</v>
      </c>
    </row>
    <row r="2226" spans="1:12" ht="15.75">
      <c r="A2226" s="105">
        <v>2123</v>
      </c>
      <c r="B2226" s="125"/>
      <c r="C2226" s="125"/>
      <c r="D2226" s="160">
        <v>9056478009</v>
      </c>
      <c r="E2226" s="194" t="s">
        <v>361</v>
      </c>
      <c r="F2226" s="112"/>
      <c r="G2226" s="112"/>
      <c r="H2226" s="112"/>
      <c r="I2226" s="41" t="s">
        <v>2763</v>
      </c>
      <c r="J2226" s="41" t="s">
        <v>1690</v>
      </c>
      <c r="K2226" s="57">
        <v>30</v>
      </c>
      <c r="L2226" s="58">
        <v>30</v>
      </c>
    </row>
    <row r="2227" spans="1:12" ht="15.75">
      <c r="A2227" s="105">
        <v>2124</v>
      </c>
      <c r="B2227" s="125"/>
      <c r="C2227" s="125"/>
      <c r="D2227" s="160">
        <v>9056478010</v>
      </c>
      <c r="E2227" s="194" t="s">
        <v>361</v>
      </c>
      <c r="F2227" s="112"/>
      <c r="G2227" s="112"/>
      <c r="H2227" s="112"/>
      <c r="I2227" s="41" t="s">
        <v>2763</v>
      </c>
      <c r="J2227" s="41" t="s">
        <v>1690</v>
      </c>
      <c r="K2227" s="57">
        <v>30</v>
      </c>
      <c r="L2227" s="58">
        <v>30</v>
      </c>
    </row>
    <row r="2228" spans="1:12" ht="15.75">
      <c r="A2228" s="105">
        <v>2125</v>
      </c>
      <c r="B2228" s="125"/>
      <c r="C2228" s="125"/>
      <c r="D2228" s="160">
        <v>9056478011</v>
      </c>
      <c r="E2228" s="194" t="s">
        <v>361</v>
      </c>
      <c r="F2228" s="112"/>
      <c r="G2228" s="112"/>
      <c r="H2228" s="112"/>
      <c r="I2228" s="41" t="s">
        <v>2763</v>
      </c>
      <c r="J2228" s="41" t="s">
        <v>1690</v>
      </c>
      <c r="K2228" s="57">
        <v>30</v>
      </c>
      <c r="L2228" s="58">
        <v>30</v>
      </c>
    </row>
    <row r="2229" spans="1:12" ht="15.75">
      <c r="A2229" s="105">
        <v>2126</v>
      </c>
      <c r="B2229" s="125"/>
      <c r="C2229" s="125"/>
      <c r="D2229" s="160">
        <v>9056478012</v>
      </c>
      <c r="E2229" s="194" t="s">
        <v>361</v>
      </c>
      <c r="F2229" s="112"/>
      <c r="G2229" s="112"/>
      <c r="H2229" s="112"/>
      <c r="I2229" s="41" t="s">
        <v>2763</v>
      </c>
      <c r="J2229" s="41" t="s">
        <v>1690</v>
      </c>
      <c r="K2229" s="57">
        <v>30</v>
      </c>
      <c r="L2229" s="58">
        <v>30</v>
      </c>
    </row>
    <row r="2230" spans="1:12" ht="15.75">
      <c r="A2230" s="105">
        <v>2127</v>
      </c>
      <c r="B2230" s="125"/>
      <c r="C2230" s="125"/>
      <c r="D2230" s="160">
        <v>9056478013</v>
      </c>
      <c r="E2230" s="194" t="s">
        <v>361</v>
      </c>
      <c r="F2230" s="112"/>
      <c r="G2230" s="112"/>
      <c r="H2230" s="112"/>
      <c r="I2230" s="41" t="s">
        <v>2763</v>
      </c>
      <c r="J2230" s="41" t="s">
        <v>1690</v>
      </c>
      <c r="K2230" s="57">
        <v>30</v>
      </c>
      <c r="L2230" s="58">
        <v>30</v>
      </c>
    </row>
    <row r="2231" spans="1:12" ht="15.75">
      <c r="A2231" s="105">
        <v>2128</v>
      </c>
      <c r="B2231" s="125"/>
      <c r="C2231" s="125"/>
      <c r="D2231" s="160">
        <v>9056478014</v>
      </c>
      <c r="E2231" s="194" t="s">
        <v>361</v>
      </c>
      <c r="F2231" s="112"/>
      <c r="G2231" s="112"/>
      <c r="H2231" s="112"/>
      <c r="I2231" s="41" t="s">
        <v>2763</v>
      </c>
      <c r="J2231" s="41" t="s">
        <v>1690</v>
      </c>
      <c r="K2231" s="57">
        <v>30</v>
      </c>
      <c r="L2231" s="58">
        <v>30</v>
      </c>
    </row>
    <row r="2232" spans="1:12" ht="15.75">
      <c r="A2232" s="105">
        <v>2129</v>
      </c>
      <c r="B2232" s="125"/>
      <c r="C2232" s="125"/>
      <c r="D2232" s="160">
        <v>9056478015</v>
      </c>
      <c r="E2232" s="194" t="s">
        <v>361</v>
      </c>
      <c r="F2232" s="112"/>
      <c r="G2232" s="112"/>
      <c r="H2232" s="112"/>
      <c r="I2232" s="41" t="s">
        <v>2763</v>
      </c>
      <c r="J2232" s="41" t="s">
        <v>1690</v>
      </c>
      <c r="K2232" s="57">
        <v>30</v>
      </c>
      <c r="L2232" s="58">
        <v>30</v>
      </c>
    </row>
    <row r="2233" spans="1:12" ht="15.75">
      <c r="A2233" s="105">
        <v>2130</v>
      </c>
      <c r="B2233" s="125"/>
      <c r="C2233" s="125"/>
      <c r="D2233" s="160">
        <v>9056478016</v>
      </c>
      <c r="E2233" s="194" t="s">
        <v>361</v>
      </c>
      <c r="F2233" s="112"/>
      <c r="G2233" s="112"/>
      <c r="H2233" s="112"/>
      <c r="I2233" s="41" t="s">
        <v>2763</v>
      </c>
      <c r="J2233" s="41" t="s">
        <v>1690</v>
      </c>
      <c r="K2233" s="57">
        <v>30</v>
      </c>
      <c r="L2233" s="58">
        <v>30</v>
      </c>
    </row>
    <row r="2234" spans="1:12" ht="15.75">
      <c r="A2234" s="105">
        <v>2131</v>
      </c>
      <c r="B2234" s="125"/>
      <c r="C2234" s="125"/>
      <c r="D2234" s="160">
        <v>9056478017</v>
      </c>
      <c r="E2234" s="194" t="s">
        <v>361</v>
      </c>
      <c r="F2234" s="112"/>
      <c r="G2234" s="112"/>
      <c r="H2234" s="112"/>
      <c r="I2234" s="41" t="s">
        <v>2763</v>
      </c>
      <c r="J2234" s="41" t="s">
        <v>1690</v>
      </c>
      <c r="K2234" s="57">
        <v>30</v>
      </c>
      <c r="L2234" s="58">
        <v>30</v>
      </c>
    </row>
    <row r="2235" spans="1:12" ht="15.75">
      <c r="A2235" s="105">
        <v>2132</v>
      </c>
      <c r="B2235" s="125"/>
      <c r="C2235" s="125"/>
      <c r="D2235" s="160">
        <v>9056478018</v>
      </c>
      <c r="E2235" s="194" t="s">
        <v>361</v>
      </c>
      <c r="F2235" s="112"/>
      <c r="G2235" s="112"/>
      <c r="H2235" s="112"/>
      <c r="I2235" s="41" t="s">
        <v>2763</v>
      </c>
      <c r="J2235" s="41" t="s">
        <v>1690</v>
      </c>
      <c r="K2235" s="57">
        <v>30</v>
      </c>
      <c r="L2235" s="58">
        <v>30</v>
      </c>
    </row>
    <row r="2236" spans="1:12" ht="15.75">
      <c r="A2236" s="105">
        <v>2133</v>
      </c>
      <c r="B2236" s="125"/>
      <c r="C2236" s="125"/>
      <c r="D2236" s="160">
        <v>9056478019</v>
      </c>
      <c r="E2236" s="194" t="s">
        <v>361</v>
      </c>
      <c r="F2236" s="112"/>
      <c r="G2236" s="112"/>
      <c r="H2236" s="112"/>
      <c r="I2236" s="41" t="s">
        <v>2763</v>
      </c>
      <c r="J2236" s="41" t="s">
        <v>1690</v>
      </c>
      <c r="K2236" s="57">
        <v>30</v>
      </c>
      <c r="L2236" s="58">
        <v>30</v>
      </c>
    </row>
    <row r="2237" spans="1:12" ht="15.75">
      <c r="A2237" s="105">
        <v>2134</v>
      </c>
      <c r="B2237" s="125"/>
      <c r="C2237" s="125"/>
      <c r="D2237" s="160">
        <v>9056478020</v>
      </c>
      <c r="E2237" s="194" t="s">
        <v>361</v>
      </c>
      <c r="F2237" s="112"/>
      <c r="G2237" s="112"/>
      <c r="H2237" s="112"/>
      <c r="I2237" s="41" t="s">
        <v>2763</v>
      </c>
      <c r="J2237" s="41" t="s">
        <v>1690</v>
      </c>
      <c r="K2237" s="57">
        <v>30</v>
      </c>
      <c r="L2237" s="58">
        <v>30</v>
      </c>
    </row>
    <row r="2238" spans="1:12" ht="15.75">
      <c r="A2238" s="105">
        <v>2135</v>
      </c>
      <c r="B2238" s="125"/>
      <c r="C2238" s="125"/>
      <c r="D2238" s="160">
        <v>9056478021</v>
      </c>
      <c r="E2238" s="194" t="s">
        <v>361</v>
      </c>
      <c r="F2238" s="112"/>
      <c r="G2238" s="112"/>
      <c r="H2238" s="112"/>
      <c r="I2238" s="41" t="s">
        <v>2763</v>
      </c>
      <c r="J2238" s="41" t="s">
        <v>1690</v>
      </c>
      <c r="K2238" s="57">
        <v>30</v>
      </c>
      <c r="L2238" s="58">
        <v>30</v>
      </c>
    </row>
    <row r="2239" spans="1:12" ht="15.75">
      <c r="A2239" s="105">
        <v>2136</v>
      </c>
      <c r="B2239" s="125"/>
      <c r="C2239" s="125"/>
      <c r="D2239" s="160">
        <v>9056478022</v>
      </c>
      <c r="E2239" s="194" t="s">
        <v>361</v>
      </c>
      <c r="F2239" s="112"/>
      <c r="G2239" s="112"/>
      <c r="H2239" s="112"/>
      <c r="I2239" s="41" t="s">
        <v>2763</v>
      </c>
      <c r="J2239" s="41" t="s">
        <v>1690</v>
      </c>
      <c r="K2239" s="57">
        <v>30</v>
      </c>
      <c r="L2239" s="58">
        <v>30</v>
      </c>
    </row>
    <row r="2240" spans="1:12" ht="15.75">
      <c r="A2240" s="105">
        <v>2137</v>
      </c>
      <c r="B2240" s="125"/>
      <c r="C2240" s="125"/>
      <c r="D2240" s="160">
        <v>9056478023</v>
      </c>
      <c r="E2240" s="194" t="s">
        <v>361</v>
      </c>
      <c r="F2240" s="112"/>
      <c r="G2240" s="112"/>
      <c r="H2240" s="112"/>
      <c r="I2240" s="41" t="s">
        <v>2763</v>
      </c>
      <c r="J2240" s="41" t="s">
        <v>1690</v>
      </c>
      <c r="K2240" s="57">
        <v>30</v>
      </c>
      <c r="L2240" s="58">
        <v>30</v>
      </c>
    </row>
    <row r="2241" spans="1:12" ht="15.75">
      <c r="A2241" s="105">
        <v>2138</v>
      </c>
      <c r="B2241" s="125"/>
      <c r="C2241" s="125"/>
      <c r="D2241" s="156" t="s">
        <v>2973</v>
      </c>
      <c r="E2241" s="220" t="s">
        <v>2974</v>
      </c>
      <c r="F2241" s="112"/>
      <c r="G2241" s="112"/>
      <c r="H2241" s="112"/>
      <c r="I2241" s="41" t="s">
        <v>2768</v>
      </c>
      <c r="J2241" s="41" t="s">
        <v>2975</v>
      </c>
      <c r="K2241" s="57">
        <v>30</v>
      </c>
      <c r="L2241" s="58">
        <v>30</v>
      </c>
    </row>
    <row r="2242" spans="1:12" ht="15.75">
      <c r="A2242" s="105">
        <v>2139</v>
      </c>
      <c r="B2242" s="125"/>
      <c r="C2242" s="125"/>
      <c r="D2242" s="41" t="s">
        <v>4365</v>
      </c>
      <c r="E2242" s="194" t="s">
        <v>4367</v>
      </c>
      <c r="F2242" s="112"/>
      <c r="G2242" s="112"/>
      <c r="H2242" s="112"/>
      <c r="I2242" s="41" t="s">
        <v>317</v>
      </c>
      <c r="J2242" s="41" t="s">
        <v>1110</v>
      </c>
      <c r="K2242" s="57">
        <v>30</v>
      </c>
      <c r="L2242" s="58">
        <v>30</v>
      </c>
    </row>
    <row r="2243" spans="1:12" ht="15.75">
      <c r="A2243" s="105">
        <v>2140</v>
      </c>
      <c r="B2243" s="125"/>
      <c r="C2243" s="125"/>
      <c r="D2243" s="41" t="s">
        <v>4530</v>
      </c>
      <c r="E2243" s="194" t="s">
        <v>2647</v>
      </c>
      <c r="F2243" s="112"/>
      <c r="G2243" s="112"/>
      <c r="H2243" s="112"/>
      <c r="I2243" s="41" t="s">
        <v>310</v>
      </c>
      <c r="J2243" s="8" t="s">
        <v>1690</v>
      </c>
      <c r="K2243" s="57">
        <v>30</v>
      </c>
      <c r="L2243" s="58">
        <v>30</v>
      </c>
    </row>
    <row r="2244" spans="1:12" ht="15.75">
      <c r="A2244" s="105">
        <v>2141</v>
      </c>
      <c r="B2244" s="125"/>
      <c r="C2244" s="125"/>
      <c r="D2244" s="41" t="s">
        <v>4531</v>
      </c>
      <c r="E2244" s="194" t="s">
        <v>2647</v>
      </c>
      <c r="F2244" s="112"/>
      <c r="G2244" s="112"/>
      <c r="H2244" s="112"/>
      <c r="I2244" s="41" t="s">
        <v>310</v>
      </c>
      <c r="J2244" s="8" t="s">
        <v>1690</v>
      </c>
      <c r="K2244" s="57">
        <v>30</v>
      </c>
      <c r="L2244" s="58">
        <v>30</v>
      </c>
    </row>
    <row r="2245" spans="1:12" ht="15.75">
      <c r="A2245" s="105">
        <v>2142</v>
      </c>
      <c r="B2245" s="125"/>
      <c r="C2245" s="125"/>
      <c r="D2245" s="41" t="s">
        <v>4532</v>
      </c>
      <c r="E2245" s="194" t="s">
        <v>2647</v>
      </c>
      <c r="F2245" s="112"/>
      <c r="G2245" s="112"/>
      <c r="H2245" s="112"/>
      <c r="I2245" s="41" t="s">
        <v>310</v>
      </c>
      <c r="J2245" s="8" t="s">
        <v>1690</v>
      </c>
      <c r="K2245" s="57">
        <v>30</v>
      </c>
      <c r="L2245" s="58">
        <v>30</v>
      </c>
    </row>
    <row r="2246" spans="1:12" ht="15.75">
      <c r="A2246" s="105">
        <v>2143</v>
      </c>
      <c r="B2246" s="125"/>
      <c r="C2246" s="125"/>
      <c r="D2246" s="41" t="s">
        <v>4533</v>
      </c>
      <c r="E2246" s="194" t="s">
        <v>2647</v>
      </c>
      <c r="F2246" s="112"/>
      <c r="G2246" s="112"/>
      <c r="H2246" s="112"/>
      <c r="I2246" s="41" t="s">
        <v>310</v>
      </c>
      <c r="J2246" s="8" t="s">
        <v>1690</v>
      </c>
      <c r="K2246" s="57">
        <v>30</v>
      </c>
      <c r="L2246" s="58">
        <v>30</v>
      </c>
    </row>
    <row r="2247" spans="1:12" s="9" customFormat="1" ht="15">
      <c r="A2247" s="105">
        <v>2144</v>
      </c>
      <c r="B2247" s="106" t="s">
        <v>4547</v>
      </c>
      <c r="C2247" s="106"/>
      <c r="D2247" s="8" t="s">
        <v>4543</v>
      </c>
      <c r="E2247" s="189" t="s">
        <v>4544</v>
      </c>
      <c r="F2247" s="106"/>
      <c r="G2247" s="106" t="s">
        <v>4546</v>
      </c>
      <c r="H2247" s="107">
        <v>4300</v>
      </c>
      <c r="I2247" s="8" t="s">
        <v>4603</v>
      </c>
      <c r="J2247" s="108" t="s">
        <v>1110</v>
      </c>
      <c r="K2247" s="57">
        <v>30</v>
      </c>
      <c r="L2247" s="58">
        <v>30</v>
      </c>
    </row>
    <row r="2248" spans="1:12" s="9" customFormat="1" ht="15">
      <c r="A2248" s="105">
        <v>2145</v>
      </c>
      <c r="B2248" s="106" t="s">
        <v>4547</v>
      </c>
      <c r="C2248" s="106"/>
      <c r="D2248" s="8" t="s">
        <v>5299</v>
      </c>
      <c r="E2248" s="189" t="s">
        <v>4556</v>
      </c>
      <c r="F2248" s="106"/>
      <c r="G2248" s="106"/>
      <c r="H2248" s="107"/>
      <c r="I2248" s="8" t="s">
        <v>2764</v>
      </c>
      <c r="J2248" s="108" t="s">
        <v>1110</v>
      </c>
      <c r="K2248" s="57">
        <v>30</v>
      </c>
      <c r="L2248" s="58">
        <v>30</v>
      </c>
    </row>
    <row r="2249" spans="1:12" s="9" customFormat="1" ht="15">
      <c r="A2249" s="105">
        <v>2145</v>
      </c>
      <c r="B2249" s="106" t="s">
        <v>4547</v>
      </c>
      <c r="C2249" s="106"/>
      <c r="D2249" s="8" t="s">
        <v>4549</v>
      </c>
      <c r="E2249" s="189" t="s">
        <v>4556</v>
      </c>
      <c r="F2249" s="106"/>
      <c r="G2249" s="106"/>
      <c r="H2249" s="107"/>
      <c r="I2249" s="8" t="s">
        <v>2764</v>
      </c>
      <c r="J2249" s="108" t="s">
        <v>1110</v>
      </c>
      <c r="K2249" s="57">
        <v>30</v>
      </c>
      <c r="L2249" s="58">
        <v>30</v>
      </c>
    </row>
    <row r="2250" spans="1:12" ht="15.75">
      <c r="A2250" s="105">
        <v>2146</v>
      </c>
      <c r="B2250" s="106" t="s">
        <v>4547</v>
      </c>
      <c r="C2250" s="125"/>
      <c r="D2250" s="8" t="s">
        <v>4548</v>
      </c>
      <c r="E2250" s="189" t="s">
        <v>4553</v>
      </c>
      <c r="F2250" s="112"/>
      <c r="G2250" s="112"/>
      <c r="H2250" s="112"/>
      <c r="I2250" s="41" t="s">
        <v>2763</v>
      </c>
      <c r="J2250" s="108" t="s">
        <v>1110</v>
      </c>
      <c r="K2250" s="57">
        <v>30</v>
      </c>
      <c r="L2250" s="58">
        <v>30</v>
      </c>
    </row>
    <row r="2251" spans="1:12" ht="15.75">
      <c r="A2251" s="105">
        <v>2147</v>
      </c>
      <c r="B2251" s="106" t="s">
        <v>4547</v>
      </c>
      <c r="C2251" s="125"/>
      <c r="D2251" s="8" t="s">
        <v>4550</v>
      </c>
      <c r="E2251" s="189" t="s">
        <v>4554</v>
      </c>
      <c r="F2251" s="112"/>
      <c r="G2251" s="112"/>
      <c r="H2251" s="112"/>
      <c r="I2251" s="41" t="s">
        <v>317</v>
      </c>
      <c r="J2251" s="108" t="s">
        <v>1110</v>
      </c>
      <c r="K2251" s="57">
        <v>30</v>
      </c>
      <c r="L2251" s="58">
        <v>30</v>
      </c>
    </row>
    <row r="2252" spans="1:12" ht="15.75">
      <c r="A2252" s="105">
        <v>2148</v>
      </c>
      <c r="B2252" s="106" t="s">
        <v>4547</v>
      </c>
      <c r="C2252" s="125"/>
      <c r="D2252" s="8" t="s">
        <v>4551</v>
      </c>
      <c r="E2252" s="189" t="s">
        <v>4554</v>
      </c>
      <c r="F2252" s="112"/>
      <c r="G2252" s="112"/>
      <c r="H2252" s="112"/>
      <c r="I2252" s="41" t="s">
        <v>317</v>
      </c>
      <c r="J2252" s="108" t="s">
        <v>1110</v>
      </c>
      <c r="K2252" s="57">
        <v>30</v>
      </c>
      <c r="L2252" s="58">
        <v>30</v>
      </c>
    </row>
    <row r="2253" spans="1:12" ht="15.75">
      <c r="A2253" s="105">
        <v>2149</v>
      </c>
      <c r="B2253" s="106" t="s">
        <v>4547</v>
      </c>
      <c r="C2253" s="125"/>
      <c r="D2253" s="8" t="s">
        <v>4552</v>
      </c>
      <c r="E2253" s="189" t="s">
        <v>4555</v>
      </c>
      <c r="F2253" s="112"/>
      <c r="G2253" s="112"/>
      <c r="H2253" s="112"/>
      <c r="I2253" s="41" t="s">
        <v>317</v>
      </c>
      <c r="J2253" s="108" t="s">
        <v>1110</v>
      </c>
      <c r="K2253" s="57">
        <v>30</v>
      </c>
      <c r="L2253" s="58">
        <v>30</v>
      </c>
    </row>
    <row r="2254" spans="1:12" s="9" customFormat="1" ht="15">
      <c r="A2254" s="105">
        <v>2150</v>
      </c>
      <c r="B2254" s="106" t="s">
        <v>1896</v>
      </c>
      <c r="C2254" s="106"/>
      <c r="D2254" s="8" t="s">
        <v>4557</v>
      </c>
      <c r="E2254" s="189" t="s">
        <v>86</v>
      </c>
      <c r="F2254" s="106"/>
      <c r="G2254" s="107" t="s">
        <v>1763</v>
      </c>
      <c r="H2254" s="107">
        <v>4100</v>
      </c>
      <c r="I2254" s="8" t="s">
        <v>317</v>
      </c>
      <c r="J2254" s="8" t="s">
        <v>377</v>
      </c>
      <c r="K2254" s="57">
        <v>30</v>
      </c>
      <c r="L2254" s="58">
        <v>30</v>
      </c>
    </row>
    <row r="2255" spans="1:12" ht="15.75">
      <c r="A2255" s="105">
        <v>2151</v>
      </c>
      <c r="B2255" s="106" t="s">
        <v>4547</v>
      </c>
      <c r="C2255" s="125"/>
      <c r="D2255" s="8" t="s">
        <v>4564</v>
      </c>
      <c r="E2255" s="189" t="s">
        <v>4565</v>
      </c>
      <c r="F2255" s="112"/>
      <c r="G2255" s="112"/>
      <c r="H2255" s="112"/>
      <c r="I2255" s="41" t="s">
        <v>2763</v>
      </c>
      <c r="J2255" s="108" t="s">
        <v>1110</v>
      </c>
      <c r="K2255" s="57">
        <v>30</v>
      </c>
      <c r="L2255" s="58">
        <v>30</v>
      </c>
    </row>
    <row r="2256" spans="1:12" ht="15.75">
      <c r="A2256" s="105">
        <v>2152</v>
      </c>
      <c r="B2256" s="125"/>
      <c r="C2256" s="125"/>
      <c r="D2256" s="8" t="s">
        <v>4563</v>
      </c>
      <c r="E2256" s="189" t="s">
        <v>2676</v>
      </c>
      <c r="F2256" s="112"/>
      <c r="G2256" s="112"/>
      <c r="H2256" s="112"/>
      <c r="I2256" s="114" t="s">
        <v>260</v>
      </c>
      <c r="J2256" s="108" t="s">
        <v>1110</v>
      </c>
      <c r="K2256" s="57">
        <v>30</v>
      </c>
      <c r="L2256" s="58">
        <v>30</v>
      </c>
    </row>
    <row r="2257" spans="1:12" s="9" customFormat="1" ht="15">
      <c r="A2257" s="105">
        <v>2153</v>
      </c>
      <c r="B2257" s="106" t="s">
        <v>4547</v>
      </c>
      <c r="C2257" s="106"/>
      <c r="D2257" s="8" t="str">
        <f>"51021KK010"</f>
        <v>51021KK010</v>
      </c>
      <c r="E2257" s="189" t="s">
        <v>684</v>
      </c>
      <c r="F2257" s="106"/>
      <c r="G2257" s="106" t="s">
        <v>4566</v>
      </c>
      <c r="H2257" s="107">
        <v>5110</v>
      </c>
      <c r="I2257" s="8" t="s">
        <v>267</v>
      </c>
      <c r="J2257" s="108" t="s">
        <v>275</v>
      </c>
      <c r="K2257" s="57">
        <v>30</v>
      </c>
      <c r="L2257" s="58">
        <v>30</v>
      </c>
    </row>
    <row r="2258" spans="1:12" s="3" customFormat="1" ht="15">
      <c r="A2258" s="105">
        <v>2154</v>
      </c>
      <c r="B2258" s="106" t="s">
        <v>4547</v>
      </c>
      <c r="C2258" s="106"/>
      <c r="D2258" s="8" t="s">
        <v>4567</v>
      </c>
      <c r="E2258" s="189" t="s">
        <v>2425</v>
      </c>
      <c r="F2258" s="106"/>
      <c r="G2258" s="106" t="s">
        <v>4568</v>
      </c>
      <c r="H2258" s="107">
        <v>5110</v>
      </c>
      <c r="I2258" s="8" t="s">
        <v>267</v>
      </c>
      <c r="J2258" s="108" t="s">
        <v>293</v>
      </c>
      <c r="K2258" s="57">
        <v>30</v>
      </c>
      <c r="L2258" s="58">
        <v>30</v>
      </c>
    </row>
    <row r="2259" spans="1:12" ht="15.75">
      <c r="A2259" s="105">
        <v>2155</v>
      </c>
      <c r="B2259" s="125" t="s">
        <v>4547</v>
      </c>
      <c r="C2259" s="125"/>
      <c r="D2259" s="8" t="s">
        <v>4569</v>
      </c>
      <c r="E2259" s="189" t="s">
        <v>2641</v>
      </c>
      <c r="F2259" s="112"/>
      <c r="G2259" s="112"/>
      <c r="H2259" s="112"/>
      <c r="I2259" s="41" t="s">
        <v>2763</v>
      </c>
      <c r="J2259" s="8" t="s">
        <v>2890</v>
      </c>
      <c r="K2259" s="57">
        <v>100</v>
      </c>
      <c r="L2259" s="58">
        <v>100</v>
      </c>
    </row>
    <row r="2260" spans="1:12" s="9" customFormat="1" ht="15">
      <c r="A2260" s="105">
        <v>100</v>
      </c>
      <c r="B2260" s="106" t="s">
        <v>4547</v>
      </c>
      <c r="C2260" s="106"/>
      <c r="D2260" s="8" t="s">
        <v>4570</v>
      </c>
      <c r="E2260" s="189" t="s">
        <v>4572</v>
      </c>
      <c r="F2260" s="106"/>
      <c r="G2260" s="107" t="s">
        <v>4571</v>
      </c>
      <c r="H2260" s="107">
        <v>4100</v>
      </c>
      <c r="I2260" s="41" t="s">
        <v>2763</v>
      </c>
      <c r="J2260" s="8" t="s">
        <v>2890</v>
      </c>
      <c r="K2260" s="57">
        <v>100</v>
      </c>
      <c r="L2260" s="58">
        <v>100</v>
      </c>
    </row>
    <row r="2261" spans="1:12" ht="15.75">
      <c r="A2261" s="125">
        <v>2156</v>
      </c>
      <c r="B2261" s="125" t="s">
        <v>4547</v>
      </c>
      <c r="C2261" s="125"/>
      <c r="D2261" s="41" t="str">
        <f>"90109T0030"</f>
        <v>90109T0030</v>
      </c>
      <c r="E2261" s="194" t="s">
        <v>849</v>
      </c>
      <c r="F2261" s="112"/>
      <c r="G2261" s="112" t="s">
        <v>4575</v>
      </c>
      <c r="H2261" s="112">
        <v>4100</v>
      </c>
      <c r="I2261" s="41" t="s">
        <v>2763</v>
      </c>
      <c r="J2261" s="41" t="s">
        <v>377</v>
      </c>
      <c r="K2261" s="57">
        <v>30</v>
      </c>
      <c r="L2261" s="58">
        <v>30</v>
      </c>
    </row>
    <row r="2262" spans="1:12" s="13" customFormat="1" ht="15">
      <c r="A2262" s="105">
        <v>546</v>
      </c>
      <c r="B2262" s="106" t="s">
        <v>4547</v>
      </c>
      <c r="C2262" s="106"/>
      <c r="D2262" s="8" t="s">
        <v>4580</v>
      </c>
      <c r="E2262" s="189" t="s">
        <v>1449</v>
      </c>
      <c r="F2262" s="107"/>
      <c r="G2262" s="107" t="s">
        <v>4582</v>
      </c>
      <c r="H2262" s="107">
        <v>6570</v>
      </c>
      <c r="I2262" s="8" t="s">
        <v>1444</v>
      </c>
      <c r="J2262" s="8" t="s">
        <v>394</v>
      </c>
      <c r="K2262" s="57">
        <v>30</v>
      </c>
      <c r="L2262" s="58">
        <v>30</v>
      </c>
    </row>
    <row r="2263" spans="1:12" s="13" customFormat="1" ht="15">
      <c r="A2263" s="105">
        <v>546</v>
      </c>
      <c r="B2263" s="106" t="s">
        <v>4547</v>
      </c>
      <c r="C2263" s="106"/>
      <c r="D2263" s="8" t="s">
        <v>4581</v>
      </c>
      <c r="E2263" s="189" t="s">
        <v>1447</v>
      </c>
      <c r="F2263" s="107"/>
      <c r="G2263" s="107" t="s">
        <v>4583</v>
      </c>
      <c r="H2263" s="107">
        <v>6570</v>
      </c>
      <c r="I2263" s="8" t="s">
        <v>1444</v>
      </c>
      <c r="J2263" s="8" t="s">
        <v>394</v>
      </c>
      <c r="K2263" s="57">
        <v>30</v>
      </c>
      <c r="L2263" s="58">
        <v>30</v>
      </c>
    </row>
    <row r="2264" spans="1:12" ht="15.75">
      <c r="A2264" s="125"/>
      <c r="B2264" s="106" t="s">
        <v>4547</v>
      </c>
      <c r="C2264" s="125"/>
      <c r="D2264" s="41" t="s">
        <v>4644</v>
      </c>
      <c r="E2264" s="194" t="s">
        <v>4646</v>
      </c>
      <c r="F2264" s="112"/>
      <c r="G2264" s="107" t="s">
        <v>4647</v>
      </c>
      <c r="H2264" s="112">
        <v>4100</v>
      </c>
      <c r="I2264" s="41" t="s">
        <v>2763</v>
      </c>
      <c r="J2264" s="41" t="s">
        <v>2890</v>
      </c>
      <c r="K2264" s="57">
        <v>60</v>
      </c>
      <c r="L2264" s="58">
        <v>60</v>
      </c>
    </row>
    <row r="2265" spans="1:12" ht="15.75">
      <c r="A2265" s="125"/>
      <c r="B2265" s="106" t="s">
        <v>4547</v>
      </c>
      <c r="C2265" s="125"/>
      <c r="D2265" s="41" t="s">
        <v>4645</v>
      </c>
      <c r="E2265" s="194" t="s">
        <v>4646</v>
      </c>
      <c r="F2265" s="112"/>
      <c r="G2265" s="107" t="s">
        <v>4648</v>
      </c>
      <c r="H2265" s="112">
        <v>4100</v>
      </c>
      <c r="I2265" s="41" t="s">
        <v>2763</v>
      </c>
      <c r="J2265" s="41" t="s">
        <v>2890</v>
      </c>
      <c r="K2265" s="57">
        <v>60</v>
      </c>
      <c r="L2265" s="58">
        <v>60</v>
      </c>
    </row>
    <row r="2266" spans="1:12" ht="15.75">
      <c r="A2266" s="125"/>
      <c r="B2266" s="125"/>
      <c r="C2266" s="125"/>
      <c r="D2266" s="41" t="s">
        <v>4716</v>
      </c>
      <c r="E2266" s="193" t="s">
        <v>4718</v>
      </c>
      <c r="F2266" s="112"/>
      <c r="G2266" s="107"/>
      <c r="H2266" s="112"/>
      <c r="I2266" s="41" t="s">
        <v>310</v>
      </c>
      <c r="J2266" s="41" t="s">
        <v>4721</v>
      </c>
      <c r="K2266" s="57">
        <v>100</v>
      </c>
      <c r="L2266" s="58">
        <v>100</v>
      </c>
    </row>
    <row r="2267" spans="1:12" ht="15.75">
      <c r="A2267" s="125"/>
      <c r="B2267" s="125"/>
      <c r="C2267" s="125"/>
      <c r="D2267" s="41" t="s">
        <v>4717</v>
      </c>
      <c r="E2267" s="193" t="s">
        <v>4718</v>
      </c>
      <c r="F2267" s="112"/>
      <c r="G2267" s="112"/>
      <c r="H2267" s="112"/>
      <c r="I2267" s="41" t="s">
        <v>310</v>
      </c>
      <c r="J2267" s="41" t="s">
        <v>4721</v>
      </c>
      <c r="K2267" s="57">
        <v>100</v>
      </c>
      <c r="L2267" s="58">
        <v>100</v>
      </c>
    </row>
    <row r="2268" spans="1:12" ht="15.75">
      <c r="A2268" s="105">
        <v>1231</v>
      </c>
      <c r="B2268" s="125"/>
      <c r="C2268" s="125"/>
      <c r="D2268" s="7" t="str">
        <f>"90311T0101"</f>
        <v>90311T0101</v>
      </c>
      <c r="E2268" s="192" t="s">
        <v>4368</v>
      </c>
      <c r="F2268" s="113"/>
      <c r="G2268" s="113"/>
      <c r="H2268" s="113"/>
      <c r="I2268" s="7" t="s">
        <v>317</v>
      </c>
      <c r="J2268" s="7" t="s">
        <v>2633</v>
      </c>
      <c r="K2268" s="57">
        <v>60</v>
      </c>
      <c r="L2268" s="58">
        <v>60</v>
      </c>
    </row>
    <row r="2269" spans="1:12" ht="15.75">
      <c r="A2269" s="105">
        <v>1231</v>
      </c>
      <c r="B2269" s="125"/>
      <c r="C2269" s="125"/>
      <c r="D2269" s="7" t="str">
        <f>"90311T0102"</f>
        <v>90311T0102</v>
      </c>
      <c r="E2269" s="192" t="s">
        <v>4369</v>
      </c>
      <c r="F2269" s="113"/>
      <c r="G2269" s="113"/>
      <c r="H2269" s="113"/>
      <c r="I2269" s="7" t="s">
        <v>317</v>
      </c>
      <c r="J2269" s="7" t="s">
        <v>2633</v>
      </c>
      <c r="K2269" s="57">
        <v>60</v>
      </c>
      <c r="L2269" s="58">
        <v>60</v>
      </c>
    </row>
    <row r="2270" spans="1:12" s="3" customFormat="1" ht="15">
      <c r="A2270" s="105"/>
      <c r="B2270" s="106"/>
      <c r="C2270" s="106"/>
      <c r="D2270" s="8" t="s">
        <v>4743</v>
      </c>
      <c r="E2270" s="189" t="s">
        <v>4749</v>
      </c>
      <c r="F2270" s="107"/>
      <c r="G2270" s="8" t="s">
        <v>4743</v>
      </c>
      <c r="H2270" s="107">
        <v>4200</v>
      </c>
      <c r="I2270" s="8" t="s">
        <v>310</v>
      </c>
      <c r="J2270" s="108" t="s">
        <v>373</v>
      </c>
      <c r="K2270" s="57">
        <v>100</v>
      </c>
      <c r="L2270" s="58">
        <v>100</v>
      </c>
    </row>
    <row r="2271" spans="1:12" ht="15.75">
      <c r="A2271" s="125"/>
      <c r="B2271" s="125"/>
      <c r="C2271" s="125"/>
      <c r="D2271" s="41" t="s">
        <v>4744</v>
      </c>
      <c r="E2271" s="194" t="s">
        <v>4750</v>
      </c>
      <c r="F2271" s="112"/>
      <c r="G2271" s="41" t="s">
        <v>4744</v>
      </c>
      <c r="H2271" s="107">
        <v>4200</v>
      </c>
      <c r="I2271" s="8" t="s">
        <v>310</v>
      </c>
      <c r="J2271" s="108" t="s">
        <v>373</v>
      </c>
      <c r="K2271" s="57">
        <v>100</v>
      </c>
      <c r="L2271" s="58">
        <v>100</v>
      </c>
    </row>
    <row r="2272" spans="1:12" ht="15.75">
      <c r="A2272" s="125"/>
      <c r="B2272" s="125"/>
      <c r="C2272" s="125"/>
      <c r="D2272" s="41" t="s">
        <v>4745</v>
      </c>
      <c r="E2272" s="194" t="s">
        <v>178</v>
      </c>
      <c r="F2272" s="112"/>
      <c r="G2272" s="41" t="s">
        <v>4745</v>
      </c>
      <c r="H2272" s="107">
        <v>4200</v>
      </c>
      <c r="I2272" s="8" t="s">
        <v>310</v>
      </c>
      <c r="J2272" s="108" t="s">
        <v>373</v>
      </c>
      <c r="K2272" s="57">
        <v>100</v>
      </c>
      <c r="L2272" s="58">
        <v>100</v>
      </c>
    </row>
    <row r="2273" spans="1:12" ht="15.75">
      <c r="A2273" s="125"/>
      <c r="B2273" s="125"/>
      <c r="C2273" s="125"/>
      <c r="D2273" s="41" t="s">
        <v>4746</v>
      </c>
      <c r="E2273" s="194" t="s">
        <v>4751</v>
      </c>
      <c r="F2273" s="112"/>
      <c r="G2273" s="41" t="s">
        <v>4746</v>
      </c>
      <c r="H2273" s="107">
        <v>4200</v>
      </c>
      <c r="I2273" s="8" t="s">
        <v>310</v>
      </c>
      <c r="J2273" s="108" t="s">
        <v>373</v>
      </c>
      <c r="K2273" s="57">
        <v>100</v>
      </c>
      <c r="L2273" s="58">
        <v>100</v>
      </c>
    </row>
    <row r="2274" spans="1:12" ht="15.75">
      <c r="A2274" s="125"/>
      <c r="B2274" s="125"/>
      <c r="C2274" s="125"/>
      <c r="D2274" s="41" t="s">
        <v>4747</v>
      </c>
      <c r="E2274" s="194" t="s">
        <v>4752</v>
      </c>
      <c r="F2274" s="112"/>
      <c r="G2274" s="41" t="s">
        <v>4747</v>
      </c>
      <c r="H2274" s="107">
        <v>4200</v>
      </c>
      <c r="I2274" s="8" t="s">
        <v>310</v>
      </c>
      <c r="J2274" s="108" t="s">
        <v>373</v>
      </c>
      <c r="K2274" s="57">
        <v>100</v>
      </c>
      <c r="L2274" s="58">
        <v>100</v>
      </c>
    </row>
    <row r="2275" spans="1:12" ht="15.75">
      <c r="A2275" s="125"/>
      <c r="B2275" s="125"/>
      <c r="C2275" s="125"/>
      <c r="D2275" s="41" t="s">
        <v>4748</v>
      </c>
      <c r="E2275" s="194" t="s">
        <v>4753</v>
      </c>
      <c r="F2275" s="112"/>
      <c r="G2275" s="41" t="s">
        <v>4748</v>
      </c>
      <c r="H2275" s="107">
        <v>4200</v>
      </c>
      <c r="I2275" s="8" t="s">
        <v>310</v>
      </c>
      <c r="J2275" s="108" t="s">
        <v>373</v>
      </c>
      <c r="K2275" s="57">
        <v>100</v>
      </c>
      <c r="L2275" s="58">
        <v>100</v>
      </c>
    </row>
    <row r="2276" spans="1:12" ht="15.75">
      <c r="A2276" s="125"/>
      <c r="B2276" s="125"/>
      <c r="C2276" s="125"/>
      <c r="D2276" s="41" t="s">
        <v>4757</v>
      </c>
      <c r="E2276" s="194" t="s">
        <v>4768</v>
      </c>
      <c r="F2276" s="112"/>
      <c r="G2276" s="41" t="s">
        <v>4757</v>
      </c>
      <c r="H2276" s="112">
        <v>4200</v>
      </c>
      <c r="I2276" s="8" t="s">
        <v>310</v>
      </c>
      <c r="J2276" s="108" t="s">
        <v>373</v>
      </c>
      <c r="K2276" s="57">
        <v>100</v>
      </c>
      <c r="L2276" s="58">
        <v>100</v>
      </c>
    </row>
    <row r="2277" spans="1:12" ht="15.75">
      <c r="A2277" s="125"/>
      <c r="B2277" s="125"/>
      <c r="C2277" s="125"/>
      <c r="D2277" s="41" t="s">
        <v>4760</v>
      </c>
      <c r="E2277" s="194" t="s">
        <v>4764</v>
      </c>
      <c r="F2277" s="112"/>
      <c r="G2277" s="41" t="s">
        <v>4760</v>
      </c>
      <c r="H2277" s="112">
        <v>4200</v>
      </c>
      <c r="I2277" s="8" t="s">
        <v>310</v>
      </c>
      <c r="J2277" s="108" t="s">
        <v>373</v>
      </c>
      <c r="K2277" s="57">
        <v>100</v>
      </c>
      <c r="L2277" s="58">
        <v>100</v>
      </c>
    </row>
    <row r="2278" spans="1:12" ht="15.75">
      <c r="A2278" s="125"/>
      <c r="B2278" s="125"/>
      <c r="C2278" s="125"/>
      <c r="D2278" s="41" t="s">
        <v>4761</v>
      </c>
      <c r="E2278" s="194" t="s">
        <v>4764</v>
      </c>
      <c r="F2278" s="112"/>
      <c r="G2278" s="41" t="s">
        <v>4761</v>
      </c>
      <c r="H2278" s="112">
        <v>4200</v>
      </c>
      <c r="I2278" s="8" t="s">
        <v>310</v>
      </c>
      <c r="J2278" s="108" t="s">
        <v>373</v>
      </c>
      <c r="K2278" s="57">
        <v>100</v>
      </c>
      <c r="L2278" s="58">
        <v>100</v>
      </c>
    </row>
    <row r="2279" spans="1:12" ht="15.75">
      <c r="A2279" s="125"/>
      <c r="B2279" s="125"/>
      <c r="C2279" s="125"/>
      <c r="D2279" s="41" t="s">
        <v>4762</v>
      </c>
      <c r="E2279" s="194" t="s">
        <v>4764</v>
      </c>
      <c r="F2279" s="112"/>
      <c r="G2279" s="41" t="s">
        <v>4762</v>
      </c>
      <c r="H2279" s="112">
        <v>4200</v>
      </c>
      <c r="I2279" s="8" t="s">
        <v>310</v>
      </c>
      <c r="J2279" s="108" t="s">
        <v>373</v>
      </c>
      <c r="K2279" s="57">
        <v>100</v>
      </c>
      <c r="L2279" s="58">
        <v>100</v>
      </c>
    </row>
    <row r="2280" spans="1:12" ht="15.75">
      <c r="A2280" s="125"/>
      <c r="B2280" s="125"/>
      <c r="C2280" s="125"/>
      <c r="D2280" s="41" t="s">
        <v>4763</v>
      </c>
      <c r="E2280" s="194" t="s">
        <v>4764</v>
      </c>
      <c r="F2280" s="112"/>
      <c r="G2280" s="41" t="s">
        <v>4763</v>
      </c>
      <c r="H2280" s="112">
        <v>4200</v>
      </c>
      <c r="I2280" s="8" t="s">
        <v>310</v>
      </c>
      <c r="J2280" s="108" t="s">
        <v>373</v>
      </c>
      <c r="K2280" s="57">
        <v>100</v>
      </c>
      <c r="L2280" s="58">
        <v>100</v>
      </c>
    </row>
    <row r="2281" spans="1:12" ht="15.75">
      <c r="A2281" s="125"/>
      <c r="B2281" s="125"/>
      <c r="C2281" s="125"/>
      <c r="D2281" s="41" t="s">
        <v>4765</v>
      </c>
      <c r="E2281" s="194" t="s">
        <v>4767</v>
      </c>
      <c r="F2281" s="112"/>
      <c r="G2281" s="41" t="s">
        <v>4765</v>
      </c>
      <c r="H2281" s="112">
        <v>4200</v>
      </c>
      <c r="I2281" s="8" t="s">
        <v>310</v>
      </c>
      <c r="J2281" s="108" t="s">
        <v>373</v>
      </c>
      <c r="K2281" s="57">
        <v>100</v>
      </c>
      <c r="L2281" s="58">
        <v>100</v>
      </c>
    </row>
    <row r="2282" spans="1:12" ht="15.75">
      <c r="A2282" s="125"/>
      <c r="B2282" s="125"/>
      <c r="C2282" s="125"/>
      <c r="D2282" s="41" t="s">
        <v>4766</v>
      </c>
      <c r="E2282" s="194" t="s">
        <v>4767</v>
      </c>
      <c r="F2282" s="112"/>
      <c r="G2282" s="41" t="s">
        <v>4766</v>
      </c>
      <c r="H2282" s="112">
        <v>4200</v>
      </c>
      <c r="I2282" s="8" t="s">
        <v>310</v>
      </c>
      <c r="J2282" s="108" t="s">
        <v>373</v>
      </c>
      <c r="K2282" s="57">
        <v>100</v>
      </c>
      <c r="L2282" s="58">
        <v>100</v>
      </c>
    </row>
    <row r="2283" spans="1:12" ht="15.75">
      <c r="A2283" s="125"/>
      <c r="B2283" s="125"/>
      <c r="C2283" s="125"/>
      <c r="D2283" s="41" t="str">
        <f>"470510K010"</f>
        <v>470510K010</v>
      </c>
      <c r="E2283" s="194" t="s">
        <v>4769</v>
      </c>
      <c r="F2283" s="112"/>
      <c r="G2283" s="41" t="s">
        <v>4770</v>
      </c>
      <c r="H2283" s="112">
        <v>4200</v>
      </c>
      <c r="I2283" s="41" t="s">
        <v>310</v>
      </c>
      <c r="J2283" s="108" t="s">
        <v>373</v>
      </c>
      <c r="K2283" s="57">
        <v>100</v>
      </c>
      <c r="L2283" s="58">
        <v>100</v>
      </c>
    </row>
    <row r="2284" spans="1:12" ht="15.75">
      <c r="A2284" s="125"/>
      <c r="B2284" s="125"/>
      <c r="C2284" s="125"/>
      <c r="D2284" s="41" t="s">
        <v>4773</v>
      </c>
      <c r="E2284" s="194" t="s">
        <v>4775</v>
      </c>
      <c r="F2284" s="112"/>
      <c r="G2284" s="41" t="s">
        <v>4773</v>
      </c>
      <c r="H2284" s="112">
        <v>4200</v>
      </c>
      <c r="I2284" s="41" t="s">
        <v>310</v>
      </c>
      <c r="J2284" s="108" t="s">
        <v>373</v>
      </c>
      <c r="K2284" s="57">
        <v>100</v>
      </c>
      <c r="L2284" s="58">
        <v>100</v>
      </c>
    </row>
    <row r="2285" spans="1:12" ht="15.75">
      <c r="A2285" s="125"/>
      <c r="B2285" s="125"/>
      <c r="C2285" s="125"/>
      <c r="D2285" s="41" t="s">
        <v>4774</v>
      </c>
      <c r="E2285" s="194" t="s">
        <v>4775</v>
      </c>
      <c r="F2285" s="112"/>
      <c r="G2285" s="41" t="s">
        <v>4774</v>
      </c>
      <c r="H2285" s="112">
        <v>4200</v>
      </c>
      <c r="I2285" s="41" t="s">
        <v>310</v>
      </c>
      <c r="J2285" s="108" t="s">
        <v>373</v>
      </c>
      <c r="K2285" s="57">
        <v>100</v>
      </c>
      <c r="L2285" s="58">
        <v>100</v>
      </c>
    </row>
    <row r="2286" spans="1:12" ht="15.75">
      <c r="A2286" s="125"/>
      <c r="B2286" s="125"/>
      <c r="C2286" s="125"/>
      <c r="D2286" s="41">
        <v>4655060050</v>
      </c>
      <c r="E2286" s="194" t="s">
        <v>4776</v>
      </c>
      <c r="F2286" s="112"/>
      <c r="G2286" s="41">
        <v>4655060050</v>
      </c>
      <c r="H2286" s="112">
        <v>4200</v>
      </c>
      <c r="I2286" s="41" t="s">
        <v>310</v>
      </c>
      <c r="J2286" s="108" t="s">
        <v>373</v>
      </c>
      <c r="K2286" s="57">
        <v>100</v>
      </c>
      <c r="L2286" s="58">
        <v>100</v>
      </c>
    </row>
    <row r="2287" spans="1:12" ht="15.75">
      <c r="A2287" s="125"/>
      <c r="B2287" s="125"/>
      <c r="C2287" s="125"/>
      <c r="D2287" s="41" t="s">
        <v>4771</v>
      </c>
      <c r="E2287" s="194" t="s">
        <v>4777</v>
      </c>
      <c r="F2287" s="112"/>
      <c r="G2287" s="41" t="s">
        <v>4771</v>
      </c>
      <c r="H2287" s="112">
        <v>4200</v>
      </c>
      <c r="I2287" s="41" t="s">
        <v>310</v>
      </c>
      <c r="J2287" s="108" t="s">
        <v>373</v>
      </c>
      <c r="K2287" s="57">
        <v>100</v>
      </c>
      <c r="L2287" s="58">
        <v>100</v>
      </c>
    </row>
    <row r="2288" spans="1:12" ht="15.75">
      <c r="A2288" s="125"/>
      <c r="B2288" s="125"/>
      <c r="C2288" s="125"/>
      <c r="D2288" s="41">
        <v>4658060040</v>
      </c>
      <c r="E2288" s="194" t="s">
        <v>4778</v>
      </c>
      <c r="F2288" s="112"/>
      <c r="G2288" s="41">
        <v>4658060040</v>
      </c>
      <c r="H2288" s="112">
        <v>4200</v>
      </c>
      <c r="I2288" s="41" t="s">
        <v>310</v>
      </c>
      <c r="J2288" s="108" t="s">
        <v>373</v>
      </c>
      <c r="K2288" s="57">
        <v>100</v>
      </c>
      <c r="L2288" s="58">
        <v>100</v>
      </c>
    </row>
    <row r="2289" spans="1:12" ht="15.75">
      <c r="A2289" s="125"/>
      <c r="B2289" s="125"/>
      <c r="C2289" s="125"/>
      <c r="D2289" s="41" t="s">
        <v>4772</v>
      </c>
      <c r="E2289" s="194" t="s">
        <v>4778</v>
      </c>
      <c r="F2289" s="112"/>
      <c r="G2289" s="41" t="s">
        <v>4772</v>
      </c>
      <c r="H2289" s="112">
        <v>4200</v>
      </c>
      <c r="I2289" s="41" t="s">
        <v>310</v>
      </c>
      <c r="J2289" s="108" t="s">
        <v>373</v>
      </c>
      <c r="K2289" s="57">
        <v>100</v>
      </c>
      <c r="L2289" s="58">
        <v>100</v>
      </c>
    </row>
    <row r="2290" spans="1:12" ht="15.75">
      <c r="A2290" s="125"/>
      <c r="B2290" s="125"/>
      <c r="C2290" s="125"/>
      <c r="D2290" s="41">
        <v>4761260020</v>
      </c>
      <c r="E2290" s="194" t="s">
        <v>4779</v>
      </c>
      <c r="F2290" s="112"/>
      <c r="G2290" s="41">
        <v>4761260020</v>
      </c>
      <c r="H2290" s="112">
        <v>4200</v>
      </c>
      <c r="I2290" s="41" t="s">
        <v>310</v>
      </c>
      <c r="J2290" s="108" t="s">
        <v>373</v>
      </c>
      <c r="K2290" s="57">
        <v>100</v>
      </c>
      <c r="L2290" s="58">
        <v>100</v>
      </c>
    </row>
    <row r="2291" spans="1:12" ht="15.75">
      <c r="A2291" s="125"/>
      <c r="B2291" s="125"/>
      <c r="C2291" s="125"/>
      <c r="D2291" s="41">
        <v>4761360020</v>
      </c>
      <c r="E2291" s="194" t="s">
        <v>4780</v>
      </c>
      <c r="F2291" s="112"/>
      <c r="G2291" s="41">
        <v>4761360020</v>
      </c>
      <c r="H2291" s="112">
        <v>4200</v>
      </c>
      <c r="I2291" s="41" t="s">
        <v>310</v>
      </c>
      <c r="J2291" s="108" t="s">
        <v>373</v>
      </c>
      <c r="K2291" s="57">
        <v>100</v>
      </c>
      <c r="L2291" s="58">
        <v>100</v>
      </c>
    </row>
    <row r="2292" spans="1:12" ht="15.75">
      <c r="A2292" s="125"/>
      <c r="B2292" s="125"/>
      <c r="C2292" s="125"/>
      <c r="D2292" s="41">
        <v>9050414002</v>
      </c>
      <c r="E2292" s="194" t="s">
        <v>180</v>
      </c>
      <c r="F2292" s="112"/>
      <c r="G2292" s="41">
        <v>9050414002</v>
      </c>
      <c r="H2292" s="112">
        <v>4200</v>
      </c>
      <c r="I2292" s="41" t="s">
        <v>310</v>
      </c>
      <c r="J2292" s="108" t="s">
        <v>373</v>
      </c>
      <c r="K2292" s="57">
        <v>100</v>
      </c>
      <c r="L2292" s="58">
        <v>100</v>
      </c>
    </row>
    <row r="2293" spans="1:12" ht="15.75">
      <c r="A2293" s="125"/>
      <c r="B2293" s="125"/>
      <c r="C2293" s="125"/>
      <c r="D2293" s="41" t="s">
        <v>5188</v>
      </c>
      <c r="E2293" s="194" t="s">
        <v>5196</v>
      </c>
      <c r="F2293" s="112"/>
      <c r="G2293" s="41" t="s">
        <v>5188</v>
      </c>
      <c r="H2293" s="107">
        <v>6570</v>
      </c>
      <c r="I2293" s="41" t="s">
        <v>1444</v>
      </c>
      <c r="J2293" s="41" t="s">
        <v>1864</v>
      </c>
      <c r="K2293" s="57">
        <v>30</v>
      </c>
      <c r="L2293" s="58">
        <v>30</v>
      </c>
    </row>
    <row r="2294" spans="1:12" ht="15.75">
      <c r="A2294" s="125"/>
      <c r="B2294" s="125"/>
      <c r="C2294" s="125"/>
      <c r="D2294" s="41" t="s">
        <v>5189</v>
      </c>
      <c r="E2294" s="194" t="s">
        <v>5196</v>
      </c>
      <c r="F2294" s="112"/>
      <c r="G2294" s="41" t="s">
        <v>5189</v>
      </c>
      <c r="H2294" s="107">
        <v>6570</v>
      </c>
      <c r="I2294" s="41" t="s">
        <v>1444</v>
      </c>
      <c r="J2294" s="41" t="s">
        <v>1864</v>
      </c>
      <c r="K2294" s="57">
        <v>30</v>
      </c>
      <c r="L2294" s="58">
        <v>30</v>
      </c>
    </row>
    <row r="2295" spans="1:12" ht="15.75">
      <c r="A2295" s="125"/>
      <c r="B2295" s="125"/>
      <c r="C2295" s="125"/>
      <c r="D2295" s="41" t="s">
        <v>5190</v>
      </c>
      <c r="E2295" s="194" t="s">
        <v>5196</v>
      </c>
      <c r="F2295" s="112"/>
      <c r="G2295" s="41" t="s">
        <v>5190</v>
      </c>
      <c r="H2295" s="107">
        <v>6570</v>
      </c>
      <c r="I2295" s="41" t="s">
        <v>1444</v>
      </c>
      <c r="J2295" s="41" t="s">
        <v>1864</v>
      </c>
      <c r="K2295" s="57">
        <v>30</v>
      </c>
      <c r="L2295" s="58">
        <v>30</v>
      </c>
    </row>
    <row r="2296" spans="1:12" ht="15.75">
      <c r="A2296" s="125"/>
      <c r="B2296" s="125"/>
      <c r="C2296" s="125"/>
      <c r="D2296" s="41" t="s">
        <v>5191</v>
      </c>
      <c r="E2296" s="194" t="s">
        <v>5196</v>
      </c>
      <c r="F2296" s="112"/>
      <c r="G2296" s="41" t="s">
        <v>5191</v>
      </c>
      <c r="H2296" s="107">
        <v>6570</v>
      </c>
      <c r="I2296" s="41" t="s">
        <v>1444</v>
      </c>
      <c r="J2296" s="41" t="s">
        <v>1864</v>
      </c>
      <c r="K2296" s="57">
        <v>30</v>
      </c>
      <c r="L2296" s="58">
        <v>30</v>
      </c>
    </row>
    <row r="2297" spans="1:12" ht="15.75">
      <c r="A2297" s="125"/>
      <c r="B2297" s="125"/>
      <c r="C2297" s="125"/>
      <c r="D2297" s="41" t="s">
        <v>5192</v>
      </c>
      <c r="E2297" s="194" t="s">
        <v>5196</v>
      </c>
      <c r="F2297" s="112"/>
      <c r="G2297" s="41" t="s">
        <v>5192</v>
      </c>
      <c r="H2297" s="107">
        <v>6570</v>
      </c>
      <c r="I2297" s="41" t="s">
        <v>1444</v>
      </c>
      <c r="J2297" s="41" t="s">
        <v>1864</v>
      </c>
      <c r="K2297" s="57">
        <v>30</v>
      </c>
      <c r="L2297" s="58">
        <v>30</v>
      </c>
    </row>
    <row r="2298" spans="1:12" ht="15.75">
      <c r="A2298" s="125"/>
      <c r="B2298" s="125"/>
      <c r="C2298" s="125"/>
      <c r="D2298" s="41" t="s">
        <v>5193</v>
      </c>
      <c r="E2298" s="194" t="s">
        <v>5196</v>
      </c>
      <c r="F2298" s="112"/>
      <c r="G2298" s="41" t="s">
        <v>5193</v>
      </c>
      <c r="H2298" s="107">
        <v>6570</v>
      </c>
      <c r="I2298" s="41" t="s">
        <v>1444</v>
      </c>
      <c r="J2298" s="41" t="s">
        <v>1864</v>
      </c>
      <c r="K2298" s="57">
        <v>30</v>
      </c>
      <c r="L2298" s="58">
        <v>30</v>
      </c>
    </row>
    <row r="2299" spans="1:12" ht="15.75">
      <c r="A2299" s="125"/>
      <c r="B2299" s="125"/>
      <c r="C2299" s="125"/>
      <c r="D2299" s="41" t="s">
        <v>5194</v>
      </c>
      <c r="E2299" s="194" t="s">
        <v>2919</v>
      </c>
      <c r="F2299" s="112"/>
      <c r="G2299" s="41" t="s">
        <v>5194</v>
      </c>
      <c r="H2299" s="107">
        <v>6570</v>
      </c>
      <c r="I2299" s="41" t="s">
        <v>1444</v>
      </c>
      <c r="J2299" s="41" t="s">
        <v>1864</v>
      </c>
      <c r="K2299" s="57">
        <v>30</v>
      </c>
      <c r="L2299" s="58">
        <v>30</v>
      </c>
    </row>
    <row r="2300" spans="1:12" ht="15.75">
      <c r="A2300" s="125"/>
      <c r="B2300" s="125"/>
      <c r="C2300" s="125"/>
      <c r="D2300" s="41" t="s">
        <v>5195</v>
      </c>
      <c r="E2300" s="194" t="s">
        <v>2919</v>
      </c>
      <c r="F2300" s="112"/>
      <c r="G2300" s="41" t="s">
        <v>5195</v>
      </c>
      <c r="H2300" s="107">
        <v>6570</v>
      </c>
      <c r="I2300" s="41" t="s">
        <v>1444</v>
      </c>
      <c r="J2300" s="41" t="s">
        <v>1864</v>
      </c>
      <c r="K2300" s="57">
        <v>30</v>
      </c>
      <c r="L2300" s="58">
        <v>30</v>
      </c>
    </row>
    <row r="2301" spans="1:12" ht="15.75">
      <c r="A2301" s="125"/>
      <c r="B2301" s="125"/>
      <c r="C2301" s="125"/>
      <c r="D2301" s="41" t="s">
        <v>5219</v>
      </c>
      <c r="E2301" s="194" t="s">
        <v>5220</v>
      </c>
      <c r="F2301" s="112"/>
      <c r="G2301" s="41" t="s">
        <v>5318</v>
      </c>
      <c r="H2301" s="112">
        <v>4100</v>
      </c>
      <c r="I2301" s="41" t="s">
        <v>2763</v>
      </c>
      <c r="J2301" s="41" t="s">
        <v>2890</v>
      </c>
      <c r="K2301" s="57">
        <v>100</v>
      </c>
      <c r="L2301" s="58">
        <v>100</v>
      </c>
    </row>
    <row r="2302" spans="1:12" ht="15.75">
      <c r="A2302" s="105"/>
      <c r="B2302" s="125"/>
      <c r="C2302" s="125"/>
      <c r="D2302" s="129" t="str">
        <f>"9031147035"</f>
        <v>9031147035</v>
      </c>
      <c r="E2302" s="189" t="s">
        <v>843</v>
      </c>
      <c r="F2302" s="112"/>
      <c r="G2302" s="41"/>
      <c r="H2302" s="112"/>
      <c r="I2302" s="8" t="s">
        <v>317</v>
      </c>
      <c r="J2302" s="41" t="s">
        <v>2633</v>
      </c>
      <c r="K2302" s="57">
        <v>0</v>
      </c>
      <c r="L2302" s="58">
        <v>0</v>
      </c>
    </row>
    <row r="2303" spans="1:12" s="9" customFormat="1" ht="15">
      <c r="A2303" s="105">
        <v>450</v>
      </c>
      <c r="B2303" s="106" t="s">
        <v>5254</v>
      </c>
      <c r="C2303" s="106"/>
      <c r="D2303" s="8" t="str">
        <f>"57082KK010"</f>
        <v>57082KK010</v>
      </c>
      <c r="E2303" s="189" t="s">
        <v>5276</v>
      </c>
      <c r="F2303" s="107"/>
      <c r="G2303" s="41" t="s">
        <v>5319</v>
      </c>
      <c r="H2303" s="107">
        <v>5110</v>
      </c>
      <c r="I2303" s="8" t="s">
        <v>267</v>
      </c>
      <c r="J2303" s="8" t="s">
        <v>275</v>
      </c>
      <c r="K2303" s="57">
        <v>30</v>
      </c>
      <c r="L2303" s="58">
        <v>30</v>
      </c>
    </row>
    <row r="2304" spans="1:12" s="9" customFormat="1" ht="15">
      <c r="A2304" s="105">
        <v>450</v>
      </c>
      <c r="B2304" s="106" t="s">
        <v>5254</v>
      </c>
      <c r="C2304" s="106"/>
      <c r="D2304" s="8" t="str">
        <f>"57082KK020"</f>
        <v>57082KK020</v>
      </c>
      <c r="E2304" s="189" t="s">
        <v>5275</v>
      </c>
      <c r="F2304" s="107"/>
      <c r="G2304" s="41" t="s">
        <v>5320</v>
      </c>
      <c r="H2304" s="107">
        <v>5110</v>
      </c>
      <c r="I2304" s="8" t="s">
        <v>267</v>
      </c>
      <c r="J2304" s="8" t="s">
        <v>275</v>
      </c>
      <c r="K2304" s="57">
        <v>30</v>
      </c>
      <c r="L2304" s="58">
        <v>30</v>
      </c>
    </row>
    <row r="2305" spans="1:12" ht="15.75">
      <c r="A2305" s="105">
        <v>1618</v>
      </c>
      <c r="B2305" s="125"/>
      <c r="C2305" s="125"/>
      <c r="D2305" s="150" t="str">
        <f>"51001KK232"</f>
        <v>51001KK232</v>
      </c>
      <c r="E2305" s="217" t="s">
        <v>681</v>
      </c>
      <c r="F2305" s="112"/>
      <c r="G2305" s="41"/>
      <c r="H2305" s="112"/>
      <c r="I2305" s="41" t="s">
        <v>267</v>
      </c>
      <c r="J2305" s="41" t="s">
        <v>1110</v>
      </c>
      <c r="K2305" s="57">
        <v>30</v>
      </c>
      <c r="L2305" s="58">
        <v>30</v>
      </c>
    </row>
    <row r="2306" spans="1:12" s="3" customFormat="1" ht="15">
      <c r="A2306" s="105">
        <v>983</v>
      </c>
      <c r="B2306" s="106"/>
      <c r="C2306" s="106"/>
      <c r="D2306" s="8" t="str">
        <f>"049430K080"</f>
        <v>049430K080</v>
      </c>
      <c r="E2306" s="189" t="s">
        <v>167</v>
      </c>
      <c r="F2306" s="107"/>
      <c r="G2306" s="41" t="s">
        <v>5300</v>
      </c>
      <c r="H2306" s="107">
        <v>4200</v>
      </c>
      <c r="I2306" s="8" t="s">
        <v>310</v>
      </c>
      <c r="J2306" s="108" t="s">
        <v>373</v>
      </c>
      <c r="K2306" s="57">
        <v>100</v>
      </c>
      <c r="L2306" s="58">
        <v>100</v>
      </c>
    </row>
    <row r="2307" spans="1:12" ht="15.75">
      <c r="A2307" s="125"/>
      <c r="B2307" s="125"/>
      <c r="C2307" s="125"/>
      <c r="D2307" s="8" t="str">
        <f>"842220K010"</f>
        <v>842220K010</v>
      </c>
      <c r="E2307" s="194" t="s">
        <v>5316</v>
      </c>
      <c r="F2307" s="112"/>
      <c r="G2307" s="41" t="str">
        <f>"842220K010"</f>
        <v>842220K010</v>
      </c>
      <c r="H2307" s="112">
        <v>4100</v>
      </c>
      <c r="I2307" s="41" t="s">
        <v>2763</v>
      </c>
      <c r="J2307" s="41" t="s">
        <v>2890</v>
      </c>
      <c r="K2307" s="57">
        <v>100</v>
      </c>
      <c r="L2307" s="58">
        <v>100</v>
      </c>
    </row>
    <row r="2308" spans="1:12" ht="15.75">
      <c r="A2308" s="125"/>
      <c r="B2308" s="125"/>
      <c r="C2308" s="125"/>
      <c r="D2308" s="8" t="str">
        <f>"828240K060"</f>
        <v>828240K060</v>
      </c>
      <c r="E2308" s="194" t="s">
        <v>5317</v>
      </c>
      <c r="F2308" s="112"/>
      <c r="G2308" s="41" t="str">
        <f>"828240K060"</f>
        <v>828240K060</v>
      </c>
      <c r="H2308" s="112">
        <v>4100</v>
      </c>
      <c r="I2308" s="41" t="s">
        <v>2763</v>
      </c>
      <c r="J2308" s="41" t="s">
        <v>2890</v>
      </c>
      <c r="K2308" s="57">
        <v>100</v>
      </c>
      <c r="L2308" s="58">
        <v>100</v>
      </c>
    </row>
    <row r="2309" spans="1:12" ht="15.75">
      <c r="A2309" s="125"/>
      <c r="B2309" s="125"/>
      <c r="C2309" s="125"/>
      <c r="D2309" s="41"/>
      <c r="E2309" s="194"/>
      <c r="F2309" s="112"/>
      <c r="G2309" s="112"/>
      <c r="H2309" s="112"/>
      <c r="I2309" s="41"/>
      <c r="J2309" s="41"/>
      <c r="K2309" s="57"/>
      <c r="L2309" s="58"/>
    </row>
    <row r="2310" spans="1:12" ht="15.75">
      <c r="A2310" s="125"/>
      <c r="B2310" s="125"/>
      <c r="C2310" s="125"/>
      <c r="D2310" s="41"/>
      <c r="E2310" s="194"/>
      <c r="F2310" s="112"/>
      <c r="G2310" s="112"/>
      <c r="H2310" s="112"/>
      <c r="I2310" s="41"/>
      <c r="J2310" s="41"/>
      <c r="K2310" s="57"/>
      <c r="L2310" s="58"/>
    </row>
    <row r="2311" spans="1:12" ht="15.75">
      <c r="A2311" s="125"/>
      <c r="B2311" s="125"/>
      <c r="C2311" s="125"/>
      <c r="D2311" s="41"/>
      <c r="E2311" s="194"/>
      <c r="F2311" s="112"/>
      <c r="G2311" s="112"/>
      <c r="H2311" s="112"/>
      <c r="I2311" s="41"/>
      <c r="J2311" s="41"/>
      <c r="K2311" s="57"/>
      <c r="L2311" s="58"/>
    </row>
    <row r="2312" spans="1:12" ht="15.75">
      <c r="A2312" s="125"/>
      <c r="B2312" s="125"/>
      <c r="C2312" s="125"/>
      <c r="D2312" s="41"/>
      <c r="E2312" s="194"/>
      <c r="F2312" s="112"/>
      <c r="G2312" s="112"/>
      <c r="H2312" s="112"/>
      <c r="I2312" s="41"/>
      <c r="J2312" s="41"/>
      <c r="K2312" s="57"/>
      <c r="L2312" s="58"/>
    </row>
    <row r="2313" spans="1:12" ht="15.75">
      <c r="A2313" s="125"/>
      <c r="B2313" s="125"/>
      <c r="C2313" s="125"/>
      <c r="D2313" s="41"/>
      <c r="E2313" s="194"/>
      <c r="F2313" s="112"/>
      <c r="G2313" s="112"/>
      <c r="H2313" s="112"/>
      <c r="I2313" s="41"/>
      <c r="J2313" s="41"/>
      <c r="K2313" s="57"/>
      <c r="L2313" s="58"/>
    </row>
    <row r="2314" spans="1:12" ht="15.75">
      <c r="A2314" s="125"/>
      <c r="B2314" s="125"/>
      <c r="C2314" s="125"/>
      <c r="D2314" s="41"/>
      <c r="E2314" s="194"/>
      <c r="F2314" s="112"/>
      <c r="G2314" s="112"/>
      <c r="H2314" s="112"/>
      <c r="I2314" s="41"/>
      <c r="J2314" s="41"/>
      <c r="K2314" s="57"/>
      <c r="L2314" s="58"/>
    </row>
    <row r="2315" spans="1:12" ht="15.75">
      <c r="A2315" s="125"/>
      <c r="B2315" s="125"/>
      <c r="C2315" s="125"/>
      <c r="D2315" s="41"/>
      <c r="E2315" s="194"/>
      <c r="F2315" s="112"/>
      <c r="G2315" s="112"/>
      <c r="H2315" s="112"/>
      <c r="I2315" s="41"/>
      <c r="J2315" s="41"/>
      <c r="K2315" s="57"/>
      <c r="L2315" s="58"/>
    </row>
    <row r="2316" spans="1:12" ht="15.75">
      <c r="A2316" s="125"/>
      <c r="B2316" s="125"/>
      <c r="C2316" s="125"/>
      <c r="D2316" s="41"/>
      <c r="E2316" s="194"/>
      <c r="F2316" s="112"/>
      <c r="G2316" s="112"/>
      <c r="H2316" s="112"/>
      <c r="I2316" s="41"/>
      <c r="J2316" s="41"/>
      <c r="K2316" s="57"/>
      <c r="L2316" s="58"/>
    </row>
    <row r="2317" spans="1:12" ht="15.75">
      <c r="A2317" s="125"/>
      <c r="B2317" s="125"/>
      <c r="C2317" s="125"/>
      <c r="D2317" s="41"/>
      <c r="E2317" s="194"/>
      <c r="F2317" s="112"/>
      <c r="G2317" s="112"/>
      <c r="H2317" s="112"/>
      <c r="I2317" s="41"/>
      <c r="J2317" s="41"/>
      <c r="K2317" s="57"/>
      <c r="L2317" s="58"/>
    </row>
    <row r="2318" spans="1:12" ht="15.75">
      <c r="A2318" s="125"/>
      <c r="B2318" s="125"/>
      <c r="C2318" s="125"/>
      <c r="D2318" s="41"/>
      <c r="E2318" s="194"/>
      <c r="F2318" s="112"/>
      <c r="G2318" s="112"/>
      <c r="H2318" s="112"/>
      <c r="I2318" s="41"/>
      <c r="J2318" s="41"/>
      <c r="K2318" s="57"/>
      <c r="L2318" s="58"/>
    </row>
    <row r="2319" spans="1:12" ht="15.75">
      <c r="A2319" s="125"/>
      <c r="B2319" s="125"/>
      <c r="C2319" s="125"/>
      <c r="D2319" s="41"/>
      <c r="E2319" s="194"/>
      <c r="F2319" s="112"/>
      <c r="G2319" s="112"/>
      <c r="H2319" s="112"/>
      <c r="I2319" s="41"/>
      <c r="J2319" s="41"/>
      <c r="K2319" s="57"/>
      <c r="L2319" s="58"/>
    </row>
    <row r="2320" spans="1:12" ht="15.75">
      <c r="A2320" s="125"/>
      <c r="B2320" s="125"/>
      <c r="C2320" s="125"/>
      <c r="D2320" s="41"/>
      <c r="E2320" s="194"/>
      <c r="F2320" s="112"/>
      <c r="G2320" s="112"/>
      <c r="H2320" s="112"/>
      <c r="I2320" s="41"/>
      <c r="J2320" s="41"/>
      <c r="K2320" s="57"/>
      <c r="L2320" s="58"/>
    </row>
    <row r="2321" spans="1:12" ht="15.75">
      <c r="A2321" s="125"/>
      <c r="B2321" s="125"/>
      <c r="C2321" s="125"/>
      <c r="D2321" s="41"/>
      <c r="E2321" s="194"/>
      <c r="F2321" s="112"/>
      <c r="G2321" s="112"/>
      <c r="H2321" s="112"/>
      <c r="I2321" s="41"/>
      <c r="J2321" s="41"/>
      <c r="K2321" s="57"/>
      <c r="L2321" s="58"/>
    </row>
    <row r="2322" spans="1:12" ht="15.75">
      <c r="A2322" s="125"/>
      <c r="B2322" s="125"/>
      <c r="C2322" s="125"/>
      <c r="D2322" s="41"/>
      <c r="E2322" s="194"/>
      <c r="F2322" s="112"/>
      <c r="G2322" s="112"/>
      <c r="H2322" s="112"/>
      <c r="I2322" s="41"/>
      <c r="J2322" s="41"/>
      <c r="K2322" s="57"/>
      <c r="L2322" s="58"/>
    </row>
    <row r="2323" spans="1:12" ht="15.75">
      <c r="A2323" s="125"/>
      <c r="B2323" s="125"/>
      <c r="C2323" s="125"/>
      <c r="D2323" s="41"/>
      <c r="E2323" s="194"/>
      <c r="F2323" s="112"/>
      <c r="G2323" s="112"/>
      <c r="H2323" s="112"/>
      <c r="I2323" s="41"/>
      <c r="J2323" s="41"/>
      <c r="K2323" s="57"/>
      <c r="L2323" s="58"/>
    </row>
    <row r="2324" spans="1:12" ht="15.75">
      <c r="A2324" s="125"/>
      <c r="B2324" s="125"/>
      <c r="C2324" s="125"/>
      <c r="D2324" s="41"/>
      <c r="E2324" s="194"/>
      <c r="F2324" s="112"/>
      <c r="G2324" s="112"/>
      <c r="H2324" s="112"/>
      <c r="I2324" s="41"/>
      <c r="J2324" s="41"/>
      <c r="K2324" s="57"/>
      <c r="L2324" s="58"/>
    </row>
    <row r="2325" spans="1:12" ht="15.75">
      <c r="A2325" s="125"/>
      <c r="B2325" s="125"/>
      <c r="C2325" s="125"/>
      <c r="D2325" s="41"/>
      <c r="E2325" s="194"/>
      <c r="F2325" s="112"/>
      <c r="G2325" s="112"/>
      <c r="H2325" s="112"/>
      <c r="I2325" s="41"/>
      <c r="J2325" s="41"/>
      <c r="K2325" s="57"/>
      <c r="L2325" s="58"/>
    </row>
    <row r="2326" spans="1:12" ht="15.75">
      <c r="A2326" s="125"/>
      <c r="B2326" s="125"/>
      <c r="C2326" s="125"/>
      <c r="D2326" s="41"/>
      <c r="E2326" s="194"/>
      <c r="F2326" s="112"/>
      <c r="G2326" s="112"/>
      <c r="H2326" s="112"/>
      <c r="I2326" s="41"/>
      <c r="J2326" s="41"/>
      <c r="K2326" s="57"/>
      <c r="L2326" s="58"/>
    </row>
    <row r="2327" spans="1:12" ht="15.75">
      <c r="A2327" s="125"/>
      <c r="B2327" s="125"/>
      <c r="C2327" s="125"/>
      <c r="D2327" s="41"/>
      <c r="E2327" s="194"/>
      <c r="F2327" s="112"/>
      <c r="G2327" s="112"/>
      <c r="H2327" s="112"/>
      <c r="I2327" s="41"/>
      <c r="J2327" s="41"/>
      <c r="K2327" s="57"/>
      <c r="L2327" s="58"/>
    </row>
    <row r="2328" spans="1:12" ht="15.75">
      <c r="A2328" s="125"/>
      <c r="B2328" s="125"/>
      <c r="C2328" s="125"/>
      <c r="D2328" s="41"/>
      <c r="E2328" s="194"/>
      <c r="F2328" s="112"/>
      <c r="G2328" s="112"/>
      <c r="H2328" s="112"/>
      <c r="I2328" s="41"/>
      <c r="J2328" s="41"/>
      <c r="K2328" s="57"/>
      <c r="L2328" s="58"/>
    </row>
    <row r="2329" spans="1:12" ht="15.75">
      <c r="A2329" s="125"/>
      <c r="B2329" s="125"/>
      <c r="C2329" s="125"/>
      <c r="D2329" s="41"/>
      <c r="E2329" s="194"/>
      <c r="F2329" s="112"/>
      <c r="G2329" s="112"/>
      <c r="H2329" s="112"/>
      <c r="I2329" s="41"/>
      <c r="J2329" s="41"/>
      <c r="K2329" s="57"/>
      <c r="L2329" s="58"/>
    </row>
    <row r="2330" spans="1:12" ht="15.75">
      <c r="A2330" s="125"/>
      <c r="B2330" s="125"/>
      <c r="C2330" s="125"/>
      <c r="D2330" s="41"/>
      <c r="E2330" s="194"/>
      <c r="F2330" s="112"/>
      <c r="G2330" s="112"/>
      <c r="H2330" s="112"/>
      <c r="I2330" s="41"/>
      <c r="J2330" s="41"/>
      <c r="K2330" s="57"/>
      <c r="L2330" s="58"/>
    </row>
    <row r="2331" spans="1:12" ht="15.75">
      <c r="A2331" s="125"/>
      <c r="B2331" s="125"/>
      <c r="C2331" s="125"/>
      <c r="D2331" s="41"/>
      <c r="E2331" s="194"/>
      <c r="F2331" s="112"/>
      <c r="G2331" s="112"/>
      <c r="H2331" s="112"/>
      <c r="I2331" s="41"/>
      <c r="J2331" s="41"/>
      <c r="K2331" s="57"/>
      <c r="L2331" s="58"/>
    </row>
    <row r="2332" spans="1:12" ht="15.75">
      <c r="A2332" s="125"/>
      <c r="B2332" s="125"/>
      <c r="C2332" s="125"/>
      <c r="D2332" s="41"/>
      <c r="E2332" s="194"/>
      <c r="F2332" s="112"/>
      <c r="G2332" s="112"/>
      <c r="H2332" s="112"/>
      <c r="I2332" s="41"/>
      <c r="J2332" s="41"/>
      <c r="K2332" s="57"/>
      <c r="L2332" s="58"/>
    </row>
    <row r="2333" spans="1:12" ht="15.75">
      <c r="A2333" s="125"/>
      <c r="B2333" s="125"/>
      <c r="C2333" s="125"/>
      <c r="D2333" s="41"/>
      <c r="E2333" s="194"/>
      <c r="F2333" s="112"/>
      <c r="G2333" s="112"/>
      <c r="H2333" s="112"/>
      <c r="I2333" s="41"/>
      <c r="J2333" s="41"/>
      <c r="K2333" s="57"/>
      <c r="L2333" s="58"/>
    </row>
    <row r="2334" spans="1:12" ht="15.75">
      <c r="A2334" s="125"/>
      <c r="B2334" s="125"/>
      <c r="C2334" s="125"/>
      <c r="D2334" s="41"/>
      <c r="E2334" s="194"/>
      <c r="F2334" s="112"/>
      <c r="G2334" s="112"/>
      <c r="H2334" s="112"/>
      <c r="I2334" s="41"/>
      <c r="J2334" s="41"/>
      <c r="K2334" s="57"/>
      <c r="L2334" s="58"/>
    </row>
    <row r="2335" spans="1:12" ht="15.75">
      <c r="A2335" s="125"/>
      <c r="B2335" s="125"/>
      <c r="C2335" s="125"/>
      <c r="D2335" s="41"/>
      <c r="E2335" s="194"/>
      <c r="F2335" s="112"/>
      <c r="G2335" s="112"/>
      <c r="H2335" s="112"/>
      <c r="I2335" s="41"/>
      <c r="J2335" s="41"/>
      <c r="K2335" s="57"/>
      <c r="L2335" s="58"/>
    </row>
    <row r="2336" spans="1:12" ht="15.75">
      <c r="A2336" s="125"/>
      <c r="B2336" s="125"/>
      <c r="C2336" s="125"/>
      <c r="D2336" s="41"/>
      <c r="E2336" s="194"/>
      <c r="F2336" s="112"/>
      <c r="G2336" s="112"/>
      <c r="H2336" s="112"/>
      <c r="I2336" s="41"/>
      <c r="J2336" s="41"/>
      <c r="K2336" s="57"/>
      <c r="L2336" s="58"/>
    </row>
    <row r="2337" spans="1:12" ht="15.75">
      <c r="A2337" s="125"/>
      <c r="B2337" s="125"/>
      <c r="C2337" s="125"/>
      <c r="D2337" s="41"/>
      <c r="E2337" s="194"/>
      <c r="F2337" s="112"/>
      <c r="G2337" s="112"/>
      <c r="H2337" s="112"/>
      <c r="I2337" s="41"/>
      <c r="J2337" s="41"/>
      <c r="K2337" s="57"/>
      <c r="L2337" s="58"/>
    </row>
    <row r="2338" spans="1:12" ht="15.75">
      <c r="A2338" s="125"/>
      <c r="B2338" s="125"/>
      <c r="C2338" s="125"/>
      <c r="D2338" s="41"/>
      <c r="E2338" s="194"/>
      <c r="F2338" s="112"/>
      <c r="G2338" s="112"/>
      <c r="H2338" s="112"/>
      <c r="I2338" s="41"/>
      <c r="J2338" s="41"/>
      <c r="K2338" s="57"/>
      <c r="L2338" s="58"/>
    </row>
    <row r="2339" spans="1:12" ht="15.75">
      <c r="A2339" s="125"/>
      <c r="B2339" s="125"/>
      <c r="C2339" s="125"/>
      <c r="D2339" s="41"/>
      <c r="E2339" s="194"/>
      <c r="F2339" s="112"/>
      <c r="G2339" s="112"/>
      <c r="H2339" s="112"/>
      <c r="I2339" s="41"/>
      <c r="J2339" s="41"/>
      <c r="K2339" s="57"/>
      <c r="L2339" s="58"/>
    </row>
    <row r="2340" spans="1:12" ht="15.75">
      <c r="A2340" s="125"/>
      <c r="B2340" s="125"/>
      <c r="C2340" s="125"/>
      <c r="D2340" s="41"/>
      <c r="E2340" s="194"/>
      <c r="F2340" s="112"/>
      <c r="G2340" s="112"/>
      <c r="H2340" s="112"/>
      <c r="I2340" s="41"/>
      <c r="J2340" s="41"/>
      <c r="K2340" s="57"/>
      <c r="L2340" s="58"/>
    </row>
    <row r="2341" spans="1:12" ht="15.75">
      <c r="A2341" s="125"/>
      <c r="B2341" s="125"/>
      <c r="C2341" s="125"/>
      <c r="D2341" s="41"/>
      <c r="E2341" s="194"/>
      <c r="F2341" s="112"/>
      <c r="G2341" s="112"/>
      <c r="H2341" s="112"/>
      <c r="I2341" s="41"/>
      <c r="J2341" s="41"/>
      <c r="K2341" s="57"/>
      <c r="L2341" s="58"/>
    </row>
    <row r="2342" spans="1:12" ht="15.75">
      <c r="A2342" s="125"/>
      <c r="B2342" s="125"/>
      <c r="C2342" s="125"/>
      <c r="D2342" s="41"/>
      <c r="E2342" s="194"/>
      <c r="F2342" s="112"/>
      <c r="G2342" s="112"/>
      <c r="H2342" s="112"/>
      <c r="I2342" s="41"/>
      <c r="J2342" s="41"/>
      <c r="K2342" s="57"/>
      <c r="L2342" s="58"/>
    </row>
    <row r="2343" spans="1:12" ht="15.75">
      <c r="A2343" s="125"/>
      <c r="B2343" s="125"/>
      <c r="C2343" s="125"/>
      <c r="D2343" s="41"/>
      <c r="E2343" s="194"/>
      <c r="F2343" s="112"/>
      <c r="G2343" s="112"/>
      <c r="H2343" s="112"/>
      <c r="I2343" s="41"/>
      <c r="J2343" s="41"/>
      <c r="K2343" s="57"/>
      <c r="L2343" s="58"/>
    </row>
    <row r="2344" spans="1:12" ht="15.75">
      <c r="A2344" s="125"/>
      <c r="B2344" s="125"/>
      <c r="C2344" s="125"/>
      <c r="D2344" s="41"/>
      <c r="E2344" s="194"/>
      <c r="F2344" s="112"/>
      <c r="G2344" s="112"/>
      <c r="H2344" s="112"/>
      <c r="I2344" s="41"/>
      <c r="J2344" s="41"/>
      <c r="K2344" s="57"/>
      <c r="L2344" s="58"/>
    </row>
    <row r="2345" spans="1:12" ht="15.75">
      <c r="A2345" s="125"/>
      <c r="B2345" s="125"/>
      <c r="C2345" s="125"/>
      <c r="D2345" s="41"/>
      <c r="E2345" s="194"/>
      <c r="F2345" s="112"/>
      <c r="G2345" s="112"/>
      <c r="H2345" s="112"/>
      <c r="I2345" s="41"/>
      <c r="J2345" s="41"/>
      <c r="K2345" s="57"/>
      <c r="L2345" s="58"/>
    </row>
    <row r="2346" spans="1:12" ht="15.75">
      <c r="A2346" s="125"/>
      <c r="B2346" s="125"/>
      <c r="C2346" s="125"/>
      <c r="D2346" s="41"/>
      <c r="E2346" s="194"/>
      <c r="F2346" s="112"/>
      <c r="G2346" s="112"/>
      <c r="H2346" s="112"/>
      <c r="I2346" s="41"/>
      <c r="J2346" s="41"/>
      <c r="K2346" s="57"/>
      <c r="L2346" s="58"/>
    </row>
    <row r="2347" spans="1:12" ht="15.75">
      <c r="A2347" s="125"/>
      <c r="B2347" s="125"/>
      <c r="C2347" s="125"/>
      <c r="D2347" s="41"/>
      <c r="E2347" s="194"/>
      <c r="F2347" s="112"/>
      <c r="G2347" s="112"/>
      <c r="H2347" s="112"/>
      <c r="I2347" s="41"/>
      <c r="J2347" s="41"/>
      <c r="K2347" s="57"/>
      <c r="L2347" s="58"/>
    </row>
    <row r="2348" spans="1:12" ht="15.75">
      <c r="A2348" s="125"/>
      <c r="B2348" s="125"/>
      <c r="C2348" s="125"/>
      <c r="D2348" s="41"/>
      <c r="E2348" s="194"/>
      <c r="F2348" s="112"/>
      <c r="G2348" s="112"/>
      <c r="H2348" s="112"/>
      <c r="I2348" s="41"/>
      <c r="J2348" s="41"/>
      <c r="K2348" s="57"/>
      <c r="L2348" s="58"/>
    </row>
    <row r="2349" spans="1:12" ht="15.75">
      <c r="A2349" s="125"/>
      <c r="B2349" s="125"/>
      <c r="C2349" s="125"/>
      <c r="D2349" s="41"/>
      <c r="E2349" s="194"/>
      <c r="F2349" s="112"/>
      <c r="G2349" s="112"/>
      <c r="H2349" s="112"/>
      <c r="I2349" s="41"/>
      <c r="J2349" s="41"/>
      <c r="K2349" s="57"/>
      <c r="L2349" s="58"/>
    </row>
    <row r="2350" spans="1:12" ht="15.75">
      <c r="A2350" s="125"/>
      <c r="B2350" s="125"/>
      <c r="C2350" s="125"/>
      <c r="D2350" s="41"/>
      <c r="E2350" s="194"/>
      <c r="F2350" s="112"/>
      <c r="G2350" s="112"/>
      <c r="H2350" s="112"/>
      <c r="I2350" s="41"/>
      <c r="J2350" s="41"/>
      <c r="K2350" s="57"/>
      <c r="L2350" s="58"/>
    </row>
    <row r="2351" spans="1:12" ht="15.75">
      <c r="A2351" s="125"/>
      <c r="B2351" s="125"/>
      <c r="C2351" s="125"/>
      <c r="D2351" s="41"/>
      <c r="E2351" s="194"/>
      <c r="F2351" s="112"/>
      <c r="G2351" s="112"/>
      <c r="H2351" s="112"/>
      <c r="I2351" s="41"/>
      <c r="J2351" s="41"/>
      <c r="K2351" s="57"/>
      <c r="L2351" s="58"/>
    </row>
    <row r="2352" spans="1:12" ht="15.75">
      <c r="A2352" s="125"/>
      <c r="B2352" s="125"/>
      <c r="C2352" s="125"/>
      <c r="D2352" s="41"/>
      <c r="E2352" s="194"/>
      <c r="F2352" s="112"/>
      <c r="G2352" s="112"/>
      <c r="H2352" s="112"/>
      <c r="I2352" s="41"/>
      <c r="J2352" s="41"/>
      <c r="K2352" s="57"/>
      <c r="L2352" s="58"/>
    </row>
    <row r="2353" spans="1:12" ht="15.75">
      <c r="A2353" s="125"/>
      <c r="B2353" s="125"/>
      <c r="C2353" s="125"/>
      <c r="D2353" s="41"/>
      <c r="E2353" s="194"/>
      <c r="F2353" s="112"/>
      <c r="G2353" s="112"/>
      <c r="H2353" s="112"/>
      <c r="I2353" s="41"/>
      <c r="J2353" s="41"/>
      <c r="K2353" s="57"/>
      <c r="L2353" s="58"/>
    </row>
    <row r="2354" spans="1:12" ht="15.75">
      <c r="A2354" s="125"/>
      <c r="B2354" s="125"/>
      <c r="C2354" s="125"/>
      <c r="D2354" s="41"/>
      <c r="E2354" s="194"/>
      <c r="F2354" s="112"/>
      <c r="G2354" s="112"/>
      <c r="H2354" s="112"/>
      <c r="I2354" s="41"/>
      <c r="J2354" s="41"/>
      <c r="K2354" s="57"/>
      <c r="L2354" s="58"/>
    </row>
    <row r="2355" spans="1:12" ht="15.75">
      <c r="A2355" s="125"/>
      <c r="B2355" s="125"/>
      <c r="C2355" s="125"/>
      <c r="D2355" s="41"/>
      <c r="E2355" s="194"/>
      <c r="F2355" s="112"/>
      <c r="G2355" s="112"/>
      <c r="H2355" s="112"/>
      <c r="I2355" s="41"/>
      <c r="J2355" s="41"/>
      <c r="K2355" s="57"/>
      <c r="L2355" s="58"/>
    </row>
    <row r="2356" spans="1:12" ht="15.75">
      <c r="A2356" s="125"/>
      <c r="B2356" s="125"/>
      <c r="C2356" s="125"/>
      <c r="D2356" s="41"/>
      <c r="E2356" s="194"/>
      <c r="F2356" s="112"/>
      <c r="G2356" s="112"/>
      <c r="H2356" s="112"/>
      <c r="I2356" s="41"/>
      <c r="J2356" s="41"/>
      <c r="K2356" s="57"/>
      <c r="L2356" s="58"/>
    </row>
    <row r="2357" spans="1:12" ht="15.75">
      <c r="A2357" s="125"/>
      <c r="B2357" s="125"/>
      <c r="C2357" s="125"/>
      <c r="D2357" s="41"/>
      <c r="E2357" s="194"/>
      <c r="F2357" s="112"/>
      <c r="G2357" s="112"/>
      <c r="H2357" s="112"/>
      <c r="I2357" s="41"/>
      <c r="J2357" s="41"/>
      <c r="K2357" s="57"/>
      <c r="L2357" s="58"/>
    </row>
    <row r="2358" spans="1:12" ht="15.75">
      <c r="A2358" s="125"/>
      <c r="B2358" s="125"/>
      <c r="C2358" s="125"/>
      <c r="D2358" s="41"/>
      <c r="E2358" s="194"/>
      <c r="F2358" s="112"/>
      <c r="G2358" s="112"/>
      <c r="H2358" s="112"/>
      <c r="I2358" s="41"/>
      <c r="J2358" s="41"/>
      <c r="K2358" s="57"/>
      <c r="L2358" s="58"/>
    </row>
    <row r="2359" spans="1:12" ht="15.75">
      <c r="A2359" s="125"/>
      <c r="B2359" s="125"/>
      <c r="C2359" s="125"/>
      <c r="D2359" s="41"/>
      <c r="E2359" s="194"/>
      <c r="F2359" s="112"/>
      <c r="G2359" s="112"/>
      <c r="H2359" s="112"/>
      <c r="I2359" s="41"/>
      <c r="J2359" s="41"/>
      <c r="K2359" s="57"/>
      <c r="L2359" s="58"/>
    </row>
    <row r="2360" spans="1:12" ht="15.75">
      <c r="A2360" s="125"/>
      <c r="B2360" s="125"/>
      <c r="C2360" s="125"/>
      <c r="D2360" s="41"/>
      <c r="E2360" s="194"/>
      <c r="F2360" s="112"/>
      <c r="G2360" s="112"/>
      <c r="H2360" s="112"/>
      <c r="I2360" s="41"/>
      <c r="J2360" s="41"/>
      <c r="K2360" s="57"/>
      <c r="L2360" s="58"/>
    </row>
    <row r="2361" spans="1:12" ht="15.75">
      <c r="A2361" s="125"/>
      <c r="B2361" s="125"/>
      <c r="C2361" s="125"/>
      <c r="D2361" s="41"/>
      <c r="E2361" s="194"/>
      <c r="F2361" s="112"/>
      <c r="G2361" s="112"/>
      <c r="H2361" s="112"/>
      <c r="I2361" s="41"/>
      <c r="J2361" s="41"/>
      <c r="K2361" s="57"/>
      <c r="L2361" s="58"/>
    </row>
    <row r="2362" spans="1:12" ht="15.75">
      <c r="A2362" s="125"/>
      <c r="B2362" s="125"/>
      <c r="C2362" s="125"/>
      <c r="D2362" s="41"/>
      <c r="E2362" s="194"/>
      <c r="F2362" s="112"/>
      <c r="G2362" s="112"/>
      <c r="H2362" s="112"/>
      <c r="I2362" s="41"/>
      <c r="J2362" s="41"/>
      <c r="K2362" s="57"/>
      <c r="L2362" s="58"/>
    </row>
    <row r="2363" spans="1:12" ht="15.75">
      <c r="A2363" s="125"/>
      <c r="B2363" s="125"/>
      <c r="C2363" s="125"/>
      <c r="D2363" s="41"/>
      <c r="E2363" s="194"/>
      <c r="F2363" s="112"/>
      <c r="G2363" s="112"/>
      <c r="H2363" s="112"/>
      <c r="I2363" s="41"/>
      <c r="J2363" s="41"/>
      <c r="K2363" s="57"/>
      <c r="L2363" s="58"/>
    </row>
    <row r="2364" spans="1:12" ht="15.75">
      <c r="A2364" s="125"/>
      <c r="B2364" s="125"/>
      <c r="C2364" s="125"/>
      <c r="D2364" s="41"/>
      <c r="E2364" s="194"/>
      <c r="F2364" s="112"/>
      <c r="G2364" s="112"/>
      <c r="H2364" s="112"/>
      <c r="I2364" s="41"/>
      <c r="J2364" s="41"/>
      <c r="K2364" s="57"/>
      <c r="L2364" s="58"/>
    </row>
    <row r="2365" spans="1:12" ht="15.75">
      <c r="A2365" s="125"/>
      <c r="B2365" s="125"/>
      <c r="C2365" s="125"/>
      <c r="D2365" s="41"/>
      <c r="E2365" s="194"/>
      <c r="F2365" s="112"/>
      <c r="G2365" s="112"/>
      <c r="H2365" s="112"/>
      <c r="I2365" s="41"/>
      <c r="J2365" s="41"/>
      <c r="K2365" s="57"/>
      <c r="L2365" s="58"/>
    </row>
    <row r="2366" spans="1:12" ht="15.75">
      <c r="A2366" s="125"/>
      <c r="B2366" s="125"/>
      <c r="C2366" s="125"/>
      <c r="D2366" s="41"/>
      <c r="E2366" s="194"/>
      <c r="F2366" s="112"/>
      <c r="G2366" s="112"/>
      <c r="H2366" s="112"/>
      <c r="I2366" s="41"/>
      <c r="J2366" s="41"/>
      <c r="K2366" s="57"/>
      <c r="L2366" s="58"/>
    </row>
    <row r="2367" spans="1:12" ht="15.75">
      <c r="A2367" s="125"/>
      <c r="B2367" s="125"/>
      <c r="C2367" s="125"/>
      <c r="D2367" s="41"/>
      <c r="E2367" s="194"/>
      <c r="F2367" s="112"/>
      <c r="G2367" s="112"/>
      <c r="H2367" s="112"/>
      <c r="I2367" s="41"/>
      <c r="J2367" s="41"/>
      <c r="K2367" s="57"/>
      <c r="L2367" s="58"/>
    </row>
    <row r="2368" spans="1:12" ht="15.75">
      <c r="A2368" s="125"/>
      <c r="B2368" s="125"/>
      <c r="C2368" s="125"/>
      <c r="D2368" s="41"/>
      <c r="E2368" s="194"/>
      <c r="F2368" s="112"/>
      <c r="G2368" s="112"/>
      <c r="H2368" s="112"/>
      <c r="I2368" s="41"/>
      <c r="J2368" s="41"/>
      <c r="K2368" s="57"/>
      <c r="L2368" s="58"/>
    </row>
    <row r="2369" spans="1:12" ht="15.75">
      <c r="A2369" s="125"/>
      <c r="B2369" s="125"/>
      <c r="C2369" s="125"/>
      <c r="D2369" s="41"/>
      <c r="E2369" s="194"/>
      <c r="F2369" s="112"/>
      <c r="G2369" s="112"/>
      <c r="H2369" s="112"/>
      <c r="I2369" s="41"/>
      <c r="J2369" s="41"/>
      <c r="K2369" s="57"/>
      <c r="L2369" s="58"/>
    </row>
    <row r="2370" spans="1:12" ht="15.75">
      <c r="A2370" s="125"/>
      <c r="B2370" s="125"/>
      <c r="C2370" s="125"/>
      <c r="D2370" s="41"/>
      <c r="E2370" s="194"/>
      <c r="F2370" s="112"/>
      <c r="G2370" s="112"/>
      <c r="H2370" s="112"/>
      <c r="I2370" s="41"/>
      <c r="J2370" s="41"/>
      <c r="K2370" s="57"/>
      <c r="L2370" s="58"/>
    </row>
    <row r="2371" spans="1:12" ht="15.75">
      <c r="A2371" s="125"/>
      <c r="B2371" s="125"/>
      <c r="C2371" s="125"/>
      <c r="D2371" s="41"/>
      <c r="E2371" s="194"/>
      <c r="F2371" s="112"/>
      <c r="G2371" s="112"/>
      <c r="H2371" s="112"/>
      <c r="I2371" s="41"/>
      <c r="J2371" s="41"/>
      <c r="K2371" s="57"/>
      <c r="L2371" s="58"/>
    </row>
    <row r="2372" spans="1:12" ht="15.75">
      <c r="A2372" s="125"/>
      <c r="B2372" s="125"/>
      <c r="C2372" s="125"/>
      <c r="D2372" s="41"/>
      <c r="E2372" s="194"/>
      <c r="F2372" s="112"/>
      <c r="G2372" s="112"/>
      <c r="H2372" s="112"/>
      <c r="I2372" s="41"/>
      <c r="J2372" s="41"/>
      <c r="K2372" s="57"/>
      <c r="L2372" s="58"/>
    </row>
    <row r="2373" spans="1:12" ht="15.75">
      <c r="A2373" s="125"/>
      <c r="B2373" s="125"/>
      <c r="C2373" s="125"/>
      <c r="D2373" s="41"/>
      <c r="E2373" s="194"/>
      <c r="F2373" s="112"/>
      <c r="G2373" s="112"/>
      <c r="H2373" s="112"/>
      <c r="I2373" s="41"/>
      <c r="J2373" s="41"/>
      <c r="K2373" s="57"/>
      <c r="L2373" s="58"/>
    </row>
    <row r="2374" spans="1:12" ht="15.75">
      <c r="A2374" s="125"/>
      <c r="B2374" s="125"/>
      <c r="C2374" s="125"/>
      <c r="D2374" s="41"/>
      <c r="E2374" s="194"/>
      <c r="F2374" s="112"/>
      <c r="G2374" s="112"/>
      <c r="H2374" s="112"/>
      <c r="I2374" s="41"/>
      <c r="J2374" s="41"/>
      <c r="K2374" s="57"/>
      <c r="L2374" s="58"/>
    </row>
    <row r="2375" spans="1:12" ht="15.75">
      <c r="A2375" s="125"/>
      <c r="B2375" s="125"/>
      <c r="C2375" s="125"/>
      <c r="D2375" s="41"/>
      <c r="E2375" s="194"/>
      <c r="F2375" s="112"/>
      <c r="G2375" s="112"/>
      <c r="H2375" s="112"/>
      <c r="I2375" s="41"/>
      <c r="J2375" s="41"/>
      <c r="K2375" s="57"/>
      <c r="L2375" s="58"/>
    </row>
    <row r="2376" spans="1:12" ht="15.75">
      <c r="A2376" s="125"/>
      <c r="B2376" s="125"/>
      <c r="C2376" s="125"/>
      <c r="D2376" s="41"/>
      <c r="E2376" s="194"/>
      <c r="F2376" s="112"/>
      <c r="G2376" s="112"/>
      <c r="H2376" s="112"/>
      <c r="I2376" s="41"/>
      <c r="J2376" s="41"/>
      <c r="K2376" s="57"/>
      <c r="L2376" s="58"/>
    </row>
    <row r="2377" spans="1:12" ht="15.75">
      <c r="A2377" s="125"/>
      <c r="B2377" s="125"/>
      <c r="C2377" s="125"/>
      <c r="D2377" s="41"/>
      <c r="E2377" s="194"/>
      <c r="F2377" s="112"/>
      <c r="G2377" s="112"/>
      <c r="H2377" s="112"/>
      <c r="I2377" s="41"/>
      <c r="J2377" s="41"/>
      <c r="K2377" s="57"/>
      <c r="L2377" s="58"/>
    </row>
    <row r="2378" spans="1:12" ht="15.75">
      <c r="A2378" s="125"/>
      <c r="B2378" s="125"/>
      <c r="C2378" s="125"/>
      <c r="D2378" s="41"/>
      <c r="E2378" s="194"/>
      <c r="F2378" s="112"/>
      <c r="G2378" s="112"/>
      <c r="H2378" s="112"/>
      <c r="I2378" s="41"/>
      <c r="J2378" s="41"/>
      <c r="K2378" s="57"/>
      <c r="L2378" s="58"/>
    </row>
    <row r="2379" spans="1:12" ht="15.75">
      <c r="A2379" s="125"/>
      <c r="B2379" s="125"/>
      <c r="C2379" s="125"/>
      <c r="D2379" s="41"/>
      <c r="E2379" s="194"/>
      <c r="F2379" s="112"/>
      <c r="G2379" s="112"/>
      <c r="H2379" s="112"/>
      <c r="I2379" s="41"/>
      <c r="J2379" s="41"/>
      <c r="K2379" s="57"/>
      <c r="L2379" s="58"/>
    </row>
    <row r="2380" spans="1:12" ht="15.75">
      <c r="A2380" s="125"/>
      <c r="B2380" s="125"/>
      <c r="C2380" s="125"/>
      <c r="D2380" s="41"/>
      <c r="E2380" s="194"/>
      <c r="F2380" s="112"/>
      <c r="G2380" s="112"/>
      <c r="H2380" s="112"/>
      <c r="I2380" s="41"/>
      <c r="J2380" s="41"/>
      <c r="K2380" s="57"/>
      <c r="L2380" s="58"/>
    </row>
    <row r="2381" spans="1:12" ht="15.75">
      <c r="A2381" s="125"/>
      <c r="B2381" s="125"/>
      <c r="C2381" s="125"/>
      <c r="D2381" s="41"/>
      <c r="E2381" s="194"/>
      <c r="F2381" s="112"/>
      <c r="G2381" s="112"/>
      <c r="H2381" s="112"/>
      <c r="I2381" s="41"/>
      <c r="J2381" s="41"/>
      <c r="K2381" s="57"/>
      <c r="L2381" s="58"/>
    </row>
    <row r="2382" spans="1:12" ht="15.75">
      <c r="A2382" s="125"/>
      <c r="B2382" s="125"/>
      <c r="C2382" s="125"/>
      <c r="D2382" s="41"/>
      <c r="E2382" s="194"/>
      <c r="F2382" s="112"/>
      <c r="G2382" s="112"/>
      <c r="H2382" s="112"/>
      <c r="I2382" s="41"/>
      <c r="J2382" s="41"/>
      <c r="K2382" s="57"/>
      <c r="L2382" s="58"/>
    </row>
    <row r="2383" spans="1:12" ht="15.75">
      <c r="A2383" s="125"/>
      <c r="B2383" s="125"/>
      <c r="C2383" s="125"/>
      <c r="D2383" s="41"/>
      <c r="E2383" s="194"/>
      <c r="F2383" s="112"/>
      <c r="G2383" s="112"/>
      <c r="H2383" s="112"/>
      <c r="I2383" s="41"/>
      <c r="J2383" s="41"/>
      <c r="K2383" s="57"/>
      <c r="L2383" s="58"/>
    </row>
    <row r="2384" spans="1:12" ht="15.75">
      <c r="A2384" s="125"/>
      <c r="B2384" s="125"/>
      <c r="C2384" s="125"/>
      <c r="D2384" s="41"/>
      <c r="E2384" s="194"/>
      <c r="F2384" s="112"/>
      <c r="G2384" s="112"/>
      <c r="H2384" s="112"/>
      <c r="I2384" s="41"/>
      <c r="J2384" s="41"/>
      <c r="K2384" s="57"/>
      <c r="L2384" s="58"/>
    </row>
    <row r="2385" spans="1:12" ht="15.75">
      <c r="A2385" s="125"/>
      <c r="B2385" s="125"/>
      <c r="C2385" s="125"/>
      <c r="D2385" s="41"/>
      <c r="E2385" s="194"/>
      <c r="F2385" s="112"/>
      <c r="G2385" s="112"/>
      <c r="H2385" s="112"/>
      <c r="I2385" s="41"/>
      <c r="J2385" s="41"/>
      <c r="K2385" s="57"/>
      <c r="L2385" s="58"/>
    </row>
    <row r="2386" spans="1:12" ht="15.75">
      <c r="A2386" s="125"/>
      <c r="B2386" s="125"/>
      <c r="C2386" s="125"/>
      <c r="D2386" s="41"/>
      <c r="E2386" s="194"/>
      <c r="F2386" s="112"/>
      <c r="G2386" s="112"/>
      <c r="H2386" s="112"/>
      <c r="I2386" s="41"/>
      <c r="J2386" s="41"/>
      <c r="K2386" s="57"/>
      <c r="L2386" s="58"/>
    </row>
    <row r="2387" spans="1:12" ht="15.75">
      <c r="A2387" s="125"/>
      <c r="B2387" s="125"/>
      <c r="C2387" s="125"/>
      <c r="D2387" s="41"/>
      <c r="E2387" s="194"/>
      <c r="F2387" s="112"/>
      <c r="G2387" s="112"/>
      <c r="H2387" s="112"/>
      <c r="I2387" s="41"/>
      <c r="J2387" s="41"/>
      <c r="K2387" s="57"/>
      <c r="L2387" s="58"/>
    </row>
    <row r="2388" spans="1:12" ht="15.75">
      <c r="A2388" s="125"/>
      <c r="B2388" s="125"/>
      <c r="C2388" s="125"/>
      <c r="D2388" s="41"/>
      <c r="E2388" s="194"/>
      <c r="F2388" s="112"/>
      <c r="G2388" s="112"/>
      <c r="H2388" s="112"/>
      <c r="I2388" s="41"/>
      <c r="J2388" s="41"/>
      <c r="K2388" s="57"/>
      <c r="L2388" s="58"/>
    </row>
    <row r="2389" spans="1:12" ht="15.75">
      <c r="A2389" s="125"/>
      <c r="B2389" s="125"/>
      <c r="C2389" s="125"/>
      <c r="D2389" s="41"/>
      <c r="E2389" s="194"/>
      <c r="F2389" s="112"/>
      <c r="G2389" s="112"/>
      <c r="H2389" s="112"/>
      <c r="I2389" s="41"/>
      <c r="J2389" s="41"/>
      <c r="K2389" s="57"/>
      <c r="L2389" s="58"/>
    </row>
    <row r="2390" spans="1:12" ht="15.75">
      <c r="A2390" s="125"/>
      <c r="B2390" s="125"/>
      <c r="C2390" s="125"/>
      <c r="D2390" s="41"/>
      <c r="E2390" s="194"/>
      <c r="F2390" s="112"/>
      <c r="G2390" s="112"/>
      <c r="H2390" s="112"/>
      <c r="I2390" s="41"/>
      <c r="J2390" s="41"/>
      <c r="K2390" s="57"/>
      <c r="L2390" s="58"/>
    </row>
    <row r="2391" spans="1:12" ht="15.75">
      <c r="A2391" s="125"/>
      <c r="B2391" s="125"/>
      <c r="C2391" s="125"/>
      <c r="D2391" s="41"/>
      <c r="E2391" s="194"/>
      <c r="F2391" s="112"/>
      <c r="G2391" s="112"/>
      <c r="H2391" s="112"/>
      <c r="I2391" s="41"/>
      <c r="J2391" s="41"/>
      <c r="K2391" s="57"/>
      <c r="L2391" s="58"/>
    </row>
    <row r="2392" spans="1:12" ht="15.75">
      <c r="A2392" s="125"/>
      <c r="B2392" s="125"/>
      <c r="C2392" s="125"/>
      <c r="D2392" s="41"/>
      <c r="E2392" s="194"/>
      <c r="F2392" s="112"/>
      <c r="G2392" s="112"/>
      <c r="H2392" s="112"/>
      <c r="I2392" s="41"/>
      <c r="J2392" s="41"/>
      <c r="K2392" s="57"/>
      <c r="L2392" s="58"/>
    </row>
    <row r="2393" spans="1:12" ht="15.75">
      <c r="A2393" s="125"/>
      <c r="B2393" s="125"/>
      <c r="C2393" s="125"/>
      <c r="D2393" s="41"/>
      <c r="E2393" s="194"/>
      <c r="F2393" s="112"/>
      <c r="G2393" s="112"/>
      <c r="H2393" s="112"/>
      <c r="I2393" s="41"/>
      <c r="J2393" s="41"/>
      <c r="K2393" s="57"/>
      <c r="L2393" s="58"/>
    </row>
    <row r="2394" spans="1:12" ht="15.75">
      <c r="A2394" s="125"/>
      <c r="B2394" s="125"/>
      <c r="C2394" s="125"/>
      <c r="D2394" s="41"/>
      <c r="E2394" s="194"/>
      <c r="F2394" s="112"/>
      <c r="G2394" s="112"/>
      <c r="H2394" s="112"/>
      <c r="I2394" s="41"/>
      <c r="J2394" s="41"/>
      <c r="K2394" s="57"/>
      <c r="L2394" s="58"/>
    </row>
    <row r="2395" spans="1:12" ht="15.75">
      <c r="A2395" s="125"/>
      <c r="B2395" s="125"/>
      <c r="C2395" s="125"/>
      <c r="D2395" s="41"/>
      <c r="E2395" s="194"/>
      <c r="F2395" s="112"/>
      <c r="G2395" s="112"/>
      <c r="H2395" s="112"/>
      <c r="I2395" s="41"/>
      <c r="J2395" s="41"/>
      <c r="K2395" s="57"/>
      <c r="L2395" s="58"/>
    </row>
    <row r="2396" spans="1:12" ht="15.75">
      <c r="A2396" s="125"/>
      <c r="B2396" s="125"/>
      <c r="C2396" s="125"/>
      <c r="D2396" s="41"/>
      <c r="E2396" s="194"/>
      <c r="F2396" s="112"/>
      <c r="G2396" s="112"/>
      <c r="H2396" s="112"/>
      <c r="I2396" s="41"/>
      <c r="J2396" s="41"/>
      <c r="K2396" s="57"/>
      <c r="L2396" s="58"/>
    </row>
    <row r="2397" spans="1:12" ht="15.75">
      <c r="A2397" s="125"/>
      <c r="B2397" s="125"/>
      <c r="C2397" s="125"/>
      <c r="D2397" s="41"/>
      <c r="E2397" s="194"/>
      <c r="F2397" s="112"/>
      <c r="G2397" s="112"/>
      <c r="H2397" s="112"/>
      <c r="I2397" s="41"/>
      <c r="J2397" s="41"/>
      <c r="K2397" s="57"/>
      <c r="L2397" s="58"/>
    </row>
    <row r="2398" spans="1:12" ht="15.75">
      <c r="A2398" s="125"/>
      <c r="B2398" s="125"/>
      <c r="C2398" s="125"/>
      <c r="D2398" s="41"/>
      <c r="E2398" s="194"/>
      <c r="F2398" s="112"/>
      <c r="G2398" s="112"/>
      <c r="H2398" s="112"/>
      <c r="I2398" s="41"/>
      <c r="J2398" s="41"/>
      <c r="K2398" s="57"/>
      <c r="L2398" s="58"/>
    </row>
    <row r="2399" spans="1:12" ht="15.75">
      <c r="A2399" s="125"/>
      <c r="B2399" s="125"/>
      <c r="C2399" s="125"/>
      <c r="D2399" s="41"/>
      <c r="E2399" s="194"/>
      <c r="F2399" s="112"/>
      <c r="G2399" s="112"/>
      <c r="H2399" s="112"/>
      <c r="I2399" s="41"/>
      <c r="J2399" s="41"/>
      <c r="K2399" s="57"/>
      <c r="L2399" s="58"/>
    </row>
    <row r="2400" spans="1:12" ht="15.75">
      <c r="A2400" s="125"/>
      <c r="B2400" s="125"/>
      <c r="C2400" s="125"/>
      <c r="D2400" s="41"/>
      <c r="E2400" s="194"/>
      <c r="F2400" s="112"/>
      <c r="G2400" s="112"/>
      <c r="H2400" s="112"/>
      <c r="I2400" s="41"/>
      <c r="J2400" s="41"/>
      <c r="K2400" s="57"/>
      <c r="L2400" s="58"/>
    </row>
    <row r="2401" spans="1:12" ht="15.75">
      <c r="A2401" s="125"/>
      <c r="B2401" s="125"/>
      <c r="C2401" s="125"/>
      <c r="D2401" s="41"/>
      <c r="E2401" s="194"/>
      <c r="F2401" s="112"/>
      <c r="G2401" s="112"/>
      <c r="H2401" s="112"/>
      <c r="I2401" s="41"/>
      <c r="J2401" s="41"/>
      <c r="K2401" s="57"/>
      <c r="L2401" s="58"/>
    </row>
    <row r="2402" spans="1:12" ht="15.75">
      <c r="A2402" s="125"/>
      <c r="B2402" s="125"/>
      <c r="C2402" s="125"/>
      <c r="D2402" s="41"/>
      <c r="E2402" s="194"/>
      <c r="F2402" s="112"/>
      <c r="G2402" s="112"/>
      <c r="H2402" s="112"/>
      <c r="I2402" s="41"/>
      <c r="J2402" s="41"/>
      <c r="K2402" s="57"/>
      <c r="L2402" s="58"/>
    </row>
    <row r="2403" spans="1:12" ht="15.75">
      <c r="A2403" s="125"/>
      <c r="B2403" s="125"/>
      <c r="C2403" s="125"/>
      <c r="D2403" s="41"/>
      <c r="E2403" s="194"/>
      <c r="F2403" s="112"/>
      <c r="G2403" s="112"/>
      <c r="H2403" s="112"/>
      <c r="I2403" s="41"/>
      <c r="J2403" s="41"/>
      <c r="K2403" s="57"/>
      <c r="L2403" s="58"/>
    </row>
    <row r="2404" spans="1:12" ht="15.75">
      <c r="A2404" s="125"/>
      <c r="B2404" s="125"/>
      <c r="C2404" s="125"/>
      <c r="D2404" s="41"/>
      <c r="E2404" s="194"/>
      <c r="F2404" s="112"/>
      <c r="G2404" s="112"/>
      <c r="H2404" s="112"/>
      <c r="I2404" s="41"/>
      <c r="J2404" s="41"/>
      <c r="K2404" s="57"/>
      <c r="L2404" s="58"/>
    </row>
    <row r="2405" spans="1:12" ht="15.75">
      <c r="A2405" s="125"/>
      <c r="B2405" s="125"/>
      <c r="C2405" s="125"/>
      <c r="D2405" s="41"/>
      <c r="E2405" s="194"/>
      <c r="F2405" s="112"/>
      <c r="G2405" s="112"/>
      <c r="H2405" s="112"/>
      <c r="I2405" s="41"/>
      <c r="J2405" s="41"/>
      <c r="K2405" s="57"/>
      <c r="L2405" s="58"/>
    </row>
    <row r="2406" spans="1:12" ht="15.75">
      <c r="A2406" s="125"/>
      <c r="B2406" s="125"/>
      <c r="C2406" s="125"/>
      <c r="D2406" s="41"/>
      <c r="E2406" s="194"/>
      <c r="F2406" s="112"/>
      <c r="G2406" s="112"/>
      <c r="H2406" s="112"/>
      <c r="I2406" s="41"/>
      <c r="J2406" s="41"/>
      <c r="K2406" s="57"/>
      <c r="L2406" s="58"/>
    </row>
    <row r="2407" spans="1:12" ht="15.75">
      <c r="A2407" s="125"/>
      <c r="B2407" s="125"/>
      <c r="C2407" s="125"/>
      <c r="D2407" s="41"/>
      <c r="E2407" s="194"/>
      <c r="F2407" s="112"/>
      <c r="G2407" s="112"/>
      <c r="H2407" s="112"/>
      <c r="I2407" s="41"/>
      <c r="J2407" s="41"/>
      <c r="K2407" s="57"/>
      <c r="L2407" s="58"/>
    </row>
    <row r="2408" spans="1:12" ht="15.75">
      <c r="A2408" s="125"/>
      <c r="B2408" s="125"/>
      <c r="C2408" s="125"/>
      <c r="D2408" s="41"/>
      <c r="E2408" s="194"/>
      <c r="F2408" s="112"/>
      <c r="G2408" s="112"/>
      <c r="H2408" s="112"/>
      <c r="I2408" s="41"/>
      <c r="J2408" s="41"/>
      <c r="K2408" s="57"/>
      <c r="L2408" s="58"/>
    </row>
    <row r="2409" spans="1:12" ht="15.75">
      <c r="A2409" s="125"/>
      <c r="B2409" s="125"/>
      <c r="C2409" s="125"/>
      <c r="D2409" s="41"/>
      <c r="E2409" s="194"/>
      <c r="F2409" s="112"/>
      <c r="G2409" s="112"/>
      <c r="H2409" s="112"/>
      <c r="I2409" s="41"/>
      <c r="J2409" s="41"/>
      <c r="K2409" s="57"/>
      <c r="L2409" s="58"/>
    </row>
    <row r="2410" spans="1:12" ht="15.75">
      <c r="A2410" s="125"/>
      <c r="B2410" s="125"/>
      <c r="C2410" s="125"/>
      <c r="D2410" s="41"/>
      <c r="E2410" s="194"/>
      <c r="F2410" s="112"/>
      <c r="G2410" s="112"/>
      <c r="H2410" s="112"/>
      <c r="I2410" s="41"/>
      <c r="J2410" s="41"/>
      <c r="K2410" s="57"/>
      <c r="L2410" s="58"/>
    </row>
    <row r="2411" spans="1:12" ht="15.75">
      <c r="A2411" s="125"/>
      <c r="B2411" s="125"/>
      <c r="C2411" s="125"/>
      <c r="D2411" s="41"/>
      <c r="E2411" s="194"/>
      <c r="F2411" s="112"/>
      <c r="G2411" s="112"/>
      <c r="H2411" s="112"/>
      <c r="I2411" s="41"/>
      <c r="J2411" s="41"/>
      <c r="K2411" s="57"/>
      <c r="L2411" s="58"/>
    </row>
    <row r="2412" spans="1:12" ht="15.75">
      <c r="A2412" s="125"/>
      <c r="B2412" s="125"/>
      <c r="C2412" s="125"/>
      <c r="D2412" s="41"/>
      <c r="E2412" s="194"/>
      <c r="F2412" s="112"/>
      <c r="G2412" s="112"/>
      <c r="H2412" s="112"/>
      <c r="I2412" s="41"/>
      <c r="J2412" s="41"/>
      <c r="K2412" s="57"/>
      <c r="L2412" s="58"/>
    </row>
    <row r="2413" spans="1:12" ht="15.75">
      <c r="A2413" s="125"/>
      <c r="B2413" s="125"/>
      <c r="C2413" s="125"/>
      <c r="D2413" s="41"/>
      <c r="E2413" s="194"/>
      <c r="F2413" s="112"/>
      <c r="G2413" s="112"/>
      <c r="H2413" s="112"/>
      <c r="I2413" s="41"/>
      <c r="J2413" s="41"/>
      <c r="K2413" s="57"/>
      <c r="L2413" s="58"/>
    </row>
    <row r="2414" spans="1:12" ht="15.75">
      <c r="A2414" s="125"/>
      <c r="B2414" s="125"/>
      <c r="C2414" s="125"/>
      <c r="D2414" s="41"/>
      <c r="E2414" s="194"/>
      <c r="F2414" s="112"/>
      <c r="G2414" s="112"/>
      <c r="H2414" s="112"/>
      <c r="I2414" s="41"/>
      <c r="J2414" s="41"/>
      <c r="K2414" s="57"/>
      <c r="L2414" s="58"/>
    </row>
    <row r="2415" spans="1:12" ht="15.75">
      <c r="A2415" s="125"/>
      <c r="B2415" s="125"/>
      <c r="C2415" s="125"/>
      <c r="D2415" s="41"/>
      <c r="E2415" s="194"/>
      <c r="F2415" s="112"/>
      <c r="G2415" s="112"/>
      <c r="H2415" s="112"/>
      <c r="I2415" s="41"/>
      <c r="J2415" s="41"/>
      <c r="K2415" s="57"/>
      <c r="L2415" s="58"/>
    </row>
    <row r="2416" spans="1:12" ht="15.75">
      <c r="A2416" s="125"/>
      <c r="B2416" s="125"/>
      <c r="C2416" s="125"/>
      <c r="D2416" s="41"/>
      <c r="E2416" s="194"/>
      <c r="F2416" s="112"/>
      <c r="G2416" s="112"/>
      <c r="H2416" s="112"/>
      <c r="I2416" s="41"/>
      <c r="J2416" s="41"/>
      <c r="K2416" s="57"/>
      <c r="L2416" s="58"/>
    </row>
    <row r="2417" spans="1:12" ht="15.75">
      <c r="A2417" s="125"/>
      <c r="B2417" s="125"/>
      <c r="C2417" s="125"/>
      <c r="D2417" s="41"/>
      <c r="E2417" s="194"/>
      <c r="F2417" s="112"/>
      <c r="G2417" s="112"/>
      <c r="H2417" s="112"/>
      <c r="I2417" s="41"/>
      <c r="J2417" s="41"/>
      <c r="K2417" s="57"/>
      <c r="L2417" s="58"/>
    </row>
    <row r="2418" spans="1:12" ht="15.75">
      <c r="A2418" s="125"/>
      <c r="B2418" s="125"/>
      <c r="C2418" s="125"/>
      <c r="D2418" s="41"/>
      <c r="E2418" s="194"/>
      <c r="F2418" s="112"/>
      <c r="G2418" s="112"/>
      <c r="H2418" s="112"/>
      <c r="I2418" s="41"/>
      <c r="J2418" s="41"/>
      <c r="K2418" s="57"/>
      <c r="L2418" s="58"/>
    </row>
    <row r="2419" spans="1:12" ht="15.75">
      <c r="A2419" s="125"/>
      <c r="B2419" s="125"/>
      <c r="C2419" s="125"/>
      <c r="D2419" s="41"/>
      <c r="E2419" s="194"/>
      <c r="F2419" s="112"/>
      <c r="G2419" s="112"/>
      <c r="H2419" s="112"/>
      <c r="I2419" s="41"/>
      <c r="J2419" s="41"/>
      <c r="K2419" s="57"/>
      <c r="L2419" s="58"/>
    </row>
    <row r="2420" spans="1:12" ht="15.75">
      <c r="A2420" s="125"/>
      <c r="B2420" s="125"/>
      <c r="C2420" s="125"/>
      <c r="D2420" s="41"/>
      <c r="E2420" s="194"/>
      <c r="F2420" s="112"/>
      <c r="G2420" s="112"/>
      <c r="H2420" s="112"/>
      <c r="I2420" s="41"/>
      <c r="J2420" s="41"/>
      <c r="K2420" s="57"/>
      <c r="L2420" s="58"/>
    </row>
    <row r="2421" spans="1:12" ht="15.75">
      <c r="A2421" s="125"/>
      <c r="B2421" s="125"/>
      <c r="C2421" s="125"/>
      <c r="D2421" s="41"/>
      <c r="E2421" s="194"/>
      <c r="F2421" s="112"/>
      <c r="G2421" s="112"/>
      <c r="H2421" s="112"/>
      <c r="I2421" s="41"/>
      <c r="J2421" s="41"/>
      <c r="K2421" s="57"/>
      <c r="L2421" s="58"/>
    </row>
    <row r="2422" spans="1:12" ht="15.75">
      <c r="A2422" s="125"/>
      <c r="B2422" s="125"/>
      <c r="C2422" s="125"/>
      <c r="D2422" s="41"/>
      <c r="E2422" s="194"/>
      <c r="F2422" s="112"/>
      <c r="G2422" s="112"/>
      <c r="H2422" s="112"/>
      <c r="I2422" s="41"/>
      <c r="J2422" s="41"/>
      <c r="K2422" s="57"/>
      <c r="L2422" s="58"/>
    </row>
    <row r="2423" spans="1:12" ht="15.75">
      <c r="A2423" s="125"/>
      <c r="B2423" s="125"/>
      <c r="C2423" s="125"/>
      <c r="D2423" s="41"/>
      <c r="E2423" s="194"/>
      <c r="F2423" s="112"/>
      <c r="G2423" s="112"/>
      <c r="H2423" s="112"/>
      <c r="I2423" s="41"/>
      <c r="J2423" s="41"/>
      <c r="K2423" s="57"/>
      <c r="L2423" s="58"/>
    </row>
    <row r="2424" spans="1:12" ht="15.75">
      <c r="A2424" s="125"/>
      <c r="B2424" s="125"/>
      <c r="C2424" s="125"/>
      <c r="D2424" s="41"/>
      <c r="E2424" s="194"/>
      <c r="F2424" s="112"/>
      <c r="G2424" s="112"/>
      <c r="H2424" s="112"/>
      <c r="I2424" s="41"/>
      <c r="J2424" s="41"/>
      <c r="K2424" s="57"/>
      <c r="L2424" s="58"/>
    </row>
    <row r="2425" spans="1:12" ht="15.75">
      <c r="A2425" s="125"/>
      <c r="B2425" s="125"/>
      <c r="C2425" s="125"/>
      <c r="D2425" s="41"/>
      <c r="E2425" s="194"/>
      <c r="F2425" s="112"/>
      <c r="G2425" s="112"/>
      <c r="H2425" s="112"/>
      <c r="I2425" s="41"/>
      <c r="J2425" s="41"/>
    </row>
    <row r="2426" spans="1:12" ht="15.75">
      <c r="A2426" s="125"/>
      <c r="B2426" s="125"/>
      <c r="C2426" s="125"/>
      <c r="D2426" s="41"/>
      <c r="E2426" s="194"/>
      <c r="F2426" s="112"/>
      <c r="G2426" s="112"/>
      <c r="H2426" s="112"/>
      <c r="I2426" s="41"/>
      <c r="J2426" s="41"/>
    </row>
    <row r="2427" spans="1:12" ht="15.75">
      <c r="A2427" s="125"/>
      <c r="B2427" s="125"/>
      <c r="C2427" s="125"/>
      <c r="D2427" s="41"/>
      <c r="E2427" s="194"/>
      <c r="F2427" s="112"/>
      <c r="G2427" s="112"/>
      <c r="H2427" s="112"/>
      <c r="I2427" s="41"/>
      <c r="J2427" s="41"/>
    </row>
    <row r="2428" spans="1:12" ht="15.75">
      <c r="A2428" s="125"/>
      <c r="B2428" s="125"/>
      <c r="C2428" s="125"/>
      <c r="D2428" s="41"/>
      <c r="E2428" s="194"/>
      <c r="F2428" s="112"/>
      <c r="G2428" s="112"/>
      <c r="H2428" s="112"/>
      <c r="I2428" s="41"/>
      <c r="J2428" s="41"/>
    </row>
    <row r="2429" spans="1:12" ht="15.75">
      <c r="A2429" s="125"/>
      <c r="B2429" s="125"/>
      <c r="C2429" s="125"/>
      <c r="D2429" s="41"/>
      <c r="E2429" s="194"/>
      <c r="F2429" s="112"/>
      <c r="G2429" s="112"/>
      <c r="H2429" s="112"/>
      <c r="I2429" s="41"/>
      <c r="J2429" s="41"/>
    </row>
    <row r="2430" spans="1:12" ht="15.75">
      <c r="A2430" s="125"/>
      <c r="B2430" s="125"/>
      <c r="C2430" s="125"/>
      <c r="D2430" s="41"/>
      <c r="E2430" s="194"/>
      <c r="F2430" s="112"/>
      <c r="G2430" s="112"/>
      <c r="H2430" s="112"/>
      <c r="I2430" s="41"/>
      <c r="J2430" s="41"/>
    </row>
    <row r="2431" spans="1:12" ht="15.75">
      <c r="A2431" s="125"/>
      <c r="B2431" s="125"/>
      <c r="C2431" s="125"/>
      <c r="D2431" s="41"/>
      <c r="E2431" s="194"/>
      <c r="F2431" s="112"/>
      <c r="G2431" s="112"/>
      <c r="H2431" s="112"/>
      <c r="I2431" s="41"/>
      <c r="J2431" s="41"/>
    </row>
    <row r="2432" spans="1:12" ht="15.75">
      <c r="A2432" s="125"/>
      <c r="B2432" s="125"/>
      <c r="C2432" s="125"/>
      <c r="D2432" s="41"/>
      <c r="E2432" s="194"/>
      <c r="F2432" s="112"/>
      <c r="G2432" s="112"/>
      <c r="H2432" s="112"/>
      <c r="I2432" s="41"/>
      <c r="J2432" s="41"/>
    </row>
    <row r="2433" spans="1:10" ht="15.75">
      <c r="A2433" s="125"/>
      <c r="B2433" s="125"/>
      <c r="C2433" s="125"/>
      <c r="D2433" s="41"/>
      <c r="E2433" s="194"/>
      <c r="F2433" s="112"/>
      <c r="G2433" s="112"/>
      <c r="H2433" s="112"/>
      <c r="I2433" s="41"/>
      <c r="J2433" s="41"/>
    </row>
    <row r="2434" spans="1:10" ht="15.75">
      <c r="A2434" s="125"/>
      <c r="B2434" s="125"/>
      <c r="C2434" s="125"/>
      <c r="D2434" s="41"/>
      <c r="E2434" s="194"/>
      <c r="F2434" s="112"/>
      <c r="G2434" s="112"/>
      <c r="H2434" s="112"/>
      <c r="I2434" s="41"/>
      <c r="J2434" s="41"/>
    </row>
    <row r="2435" spans="1:10" ht="15.75">
      <c r="A2435" s="125"/>
      <c r="B2435" s="125"/>
      <c r="C2435" s="125"/>
      <c r="D2435" s="41"/>
      <c r="E2435" s="194"/>
      <c r="F2435" s="112"/>
      <c r="G2435" s="112"/>
      <c r="H2435" s="112"/>
      <c r="I2435" s="41"/>
      <c r="J2435" s="41"/>
    </row>
    <row r="2436" spans="1:10" ht="15.75">
      <c r="A2436" s="125"/>
      <c r="B2436" s="125"/>
      <c r="C2436" s="125"/>
      <c r="D2436" s="41"/>
      <c r="E2436" s="194"/>
      <c r="F2436" s="112"/>
      <c r="G2436" s="112"/>
      <c r="H2436" s="112"/>
      <c r="I2436" s="41"/>
      <c r="J2436" s="41"/>
    </row>
    <row r="2437" spans="1:10" ht="15.75">
      <c r="A2437" s="125"/>
      <c r="B2437" s="125"/>
      <c r="C2437" s="125"/>
      <c r="D2437" s="41"/>
      <c r="E2437" s="194"/>
      <c r="F2437" s="112"/>
      <c r="G2437" s="112"/>
      <c r="H2437" s="112"/>
      <c r="I2437" s="41"/>
      <c r="J2437" s="41"/>
    </row>
    <row r="2438" spans="1:10" ht="15.75">
      <c r="A2438" s="125"/>
      <c r="B2438" s="125"/>
      <c r="C2438" s="125"/>
      <c r="D2438" s="41"/>
      <c r="E2438" s="194"/>
      <c r="F2438" s="112"/>
      <c r="G2438" s="112"/>
      <c r="H2438" s="112"/>
      <c r="I2438" s="41"/>
      <c r="J2438" s="41"/>
    </row>
    <row r="2439" spans="1:10" ht="15.75">
      <c r="A2439" s="125"/>
      <c r="B2439" s="125"/>
      <c r="C2439" s="125"/>
      <c r="D2439" s="41"/>
      <c r="E2439" s="194"/>
      <c r="F2439" s="112"/>
      <c r="G2439" s="112"/>
      <c r="H2439" s="112"/>
      <c r="I2439" s="41"/>
      <c r="J2439" s="41"/>
    </row>
    <row r="2440" spans="1:10" ht="15.75">
      <c r="A2440" s="125"/>
      <c r="B2440" s="125"/>
      <c r="C2440" s="125"/>
      <c r="D2440" s="41"/>
      <c r="E2440" s="194"/>
      <c r="F2440" s="112"/>
      <c r="G2440" s="112"/>
      <c r="H2440" s="112"/>
      <c r="I2440" s="41"/>
      <c r="J2440" s="41"/>
    </row>
    <row r="2441" spans="1:10" ht="15.75">
      <c r="A2441" s="125"/>
      <c r="B2441" s="125"/>
      <c r="C2441" s="125"/>
      <c r="D2441" s="41"/>
      <c r="E2441" s="194"/>
      <c r="F2441" s="112"/>
      <c r="G2441" s="112"/>
      <c r="H2441" s="112"/>
      <c r="I2441" s="41"/>
      <c r="J2441" s="41"/>
    </row>
    <row r="2442" spans="1:10" ht="15.75">
      <c r="A2442" s="125"/>
      <c r="B2442" s="125"/>
      <c r="C2442" s="125"/>
      <c r="D2442" s="41"/>
      <c r="E2442" s="194"/>
      <c r="F2442" s="112"/>
      <c r="G2442" s="112"/>
      <c r="H2442" s="112"/>
      <c r="I2442" s="41"/>
      <c r="J2442" s="41"/>
    </row>
    <row r="2443" spans="1:10" ht="15.75">
      <c r="A2443" s="125"/>
      <c r="B2443" s="125"/>
      <c r="C2443" s="125"/>
      <c r="D2443" s="41"/>
      <c r="E2443" s="194"/>
      <c r="F2443" s="112"/>
      <c r="G2443" s="112"/>
      <c r="H2443" s="112"/>
      <c r="I2443" s="41"/>
      <c r="J2443" s="41"/>
    </row>
    <row r="2444" spans="1:10" ht="15.75">
      <c r="A2444" s="125"/>
      <c r="B2444" s="125"/>
      <c r="C2444" s="125"/>
      <c r="D2444" s="41"/>
      <c r="E2444" s="194"/>
      <c r="F2444" s="112"/>
      <c r="G2444" s="112"/>
      <c r="H2444" s="112"/>
      <c r="I2444" s="41"/>
      <c r="J2444" s="41"/>
    </row>
    <row r="2445" spans="1:10" ht="15.75">
      <c r="A2445" s="125"/>
      <c r="B2445" s="125"/>
      <c r="C2445" s="125"/>
      <c r="D2445" s="41"/>
      <c r="E2445" s="194"/>
      <c r="F2445" s="112"/>
      <c r="G2445" s="112"/>
      <c r="H2445" s="112"/>
      <c r="I2445" s="41"/>
      <c r="J2445" s="41"/>
    </row>
    <row r="2446" spans="1:10" ht="15.75">
      <c r="A2446" s="125"/>
      <c r="B2446" s="125"/>
      <c r="C2446" s="125"/>
      <c r="D2446" s="41"/>
      <c r="E2446" s="194"/>
      <c r="F2446" s="112"/>
      <c r="G2446" s="112"/>
      <c r="H2446" s="112"/>
      <c r="I2446" s="41"/>
      <c r="J2446" s="41"/>
    </row>
    <row r="2447" spans="1:10" ht="15.75">
      <c r="A2447" s="125"/>
      <c r="B2447" s="125"/>
      <c r="C2447" s="125"/>
      <c r="D2447" s="41"/>
      <c r="E2447" s="194"/>
      <c r="F2447" s="112"/>
      <c r="G2447" s="112"/>
      <c r="H2447" s="112"/>
      <c r="I2447" s="41"/>
      <c r="J2447" s="41"/>
    </row>
    <row r="2448" spans="1:10" ht="15.75">
      <c r="A2448" s="125"/>
      <c r="B2448" s="125"/>
      <c r="C2448" s="125"/>
      <c r="D2448" s="41"/>
      <c r="E2448" s="194"/>
      <c r="F2448" s="112"/>
      <c r="G2448" s="112"/>
      <c r="H2448" s="112"/>
      <c r="I2448" s="41"/>
      <c r="J2448" s="41"/>
    </row>
    <row r="2449" spans="1:10" ht="15.75">
      <c r="A2449" s="125"/>
      <c r="B2449" s="125"/>
      <c r="C2449" s="125"/>
      <c r="D2449" s="41"/>
      <c r="E2449" s="194"/>
      <c r="F2449" s="112"/>
      <c r="G2449" s="112"/>
      <c r="H2449" s="112"/>
      <c r="I2449" s="41"/>
      <c r="J2449" s="41"/>
    </row>
    <row r="2450" spans="1:10" ht="15.75">
      <c r="A2450" s="125"/>
      <c r="B2450" s="125"/>
      <c r="C2450" s="125"/>
      <c r="D2450" s="41"/>
      <c r="E2450" s="194"/>
      <c r="F2450" s="112"/>
      <c r="G2450" s="112"/>
      <c r="H2450" s="112"/>
      <c r="I2450" s="41"/>
      <c r="J2450" s="41"/>
    </row>
    <row r="2451" spans="1:10" ht="15.75">
      <c r="A2451" s="125"/>
      <c r="B2451" s="125"/>
      <c r="C2451" s="125"/>
      <c r="D2451" s="41"/>
      <c r="E2451" s="194"/>
      <c r="F2451" s="112"/>
      <c r="G2451" s="112"/>
      <c r="H2451" s="112"/>
      <c r="I2451" s="41"/>
      <c r="J2451" s="41"/>
    </row>
    <row r="2452" spans="1:10" ht="15.75">
      <c r="A2452" s="125"/>
      <c r="B2452" s="125"/>
      <c r="C2452" s="125"/>
      <c r="D2452" s="41"/>
      <c r="E2452" s="194"/>
      <c r="F2452" s="112"/>
      <c r="G2452" s="112"/>
      <c r="H2452" s="112"/>
      <c r="I2452" s="41"/>
      <c r="J2452" s="41"/>
    </row>
    <row r="2453" spans="1:10" ht="15.75">
      <c r="A2453" s="125"/>
      <c r="B2453" s="125"/>
      <c r="C2453" s="125"/>
      <c r="D2453" s="41"/>
      <c r="E2453" s="194"/>
      <c r="F2453" s="112"/>
      <c r="G2453" s="112"/>
      <c r="H2453" s="112"/>
      <c r="I2453" s="41"/>
      <c r="J2453" s="41"/>
    </row>
    <row r="2454" spans="1:10" ht="15.75">
      <c r="A2454" s="125"/>
      <c r="B2454" s="125"/>
      <c r="C2454" s="125"/>
      <c r="D2454" s="41"/>
      <c r="E2454" s="194"/>
      <c r="F2454" s="112"/>
      <c r="G2454" s="112"/>
      <c r="H2454" s="112"/>
      <c r="I2454" s="41"/>
      <c r="J2454" s="41"/>
    </row>
    <row r="2455" spans="1:10" ht="15.75">
      <c r="A2455" s="125"/>
      <c r="B2455" s="125"/>
      <c r="C2455" s="125"/>
      <c r="D2455" s="41"/>
      <c r="E2455" s="194"/>
      <c r="F2455" s="112"/>
      <c r="G2455" s="112"/>
      <c r="H2455" s="112"/>
      <c r="I2455" s="41"/>
      <c r="J2455" s="41"/>
    </row>
    <row r="2456" spans="1:10" ht="15.75">
      <c r="A2456" s="125"/>
      <c r="B2456" s="125"/>
      <c r="C2456" s="125"/>
      <c r="D2456" s="41"/>
      <c r="E2456" s="194"/>
      <c r="F2456" s="112"/>
      <c r="G2456" s="112"/>
      <c r="H2456" s="112"/>
      <c r="I2456" s="41"/>
      <c r="J2456" s="41"/>
    </row>
    <row r="2457" spans="1:10" ht="15.75">
      <c r="A2457" s="125"/>
      <c r="B2457" s="125"/>
      <c r="C2457" s="125"/>
      <c r="D2457" s="41"/>
      <c r="E2457" s="194"/>
      <c r="F2457" s="112"/>
      <c r="G2457" s="112"/>
      <c r="H2457" s="112"/>
      <c r="I2457" s="41"/>
      <c r="J2457" s="41"/>
    </row>
    <row r="2458" spans="1:10" ht="15.75">
      <c r="A2458" s="125"/>
      <c r="B2458" s="125"/>
      <c r="C2458" s="125"/>
      <c r="D2458" s="41"/>
      <c r="E2458" s="194"/>
      <c r="F2458" s="112"/>
      <c r="G2458" s="112"/>
      <c r="H2458" s="112"/>
      <c r="I2458" s="41"/>
      <c r="J2458" s="41"/>
    </row>
    <row r="2459" spans="1:10" ht="15.75">
      <c r="A2459" s="125"/>
      <c r="B2459" s="125"/>
      <c r="C2459" s="125"/>
      <c r="D2459" s="41"/>
      <c r="E2459" s="194"/>
      <c r="F2459" s="112"/>
      <c r="G2459" s="112"/>
      <c r="H2459" s="112"/>
      <c r="I2459" s="41"/>
      <c r="J2459" s="41"/>
    </row>
    <row r="2460" spans="1:10" ht="15.75">
      <c r="A2460" s="125"/>
      <c r="B2460" s="125"/>
      <c r="C2460" s="125"/>
      <c r="D2460" s="41"/>
      <c r="E2460" s="194"/>
      <c r="F2460" s="112"/>
      <c r="G2460" s="112"/>
      <c r="H2460" s="112"/>
      <c r="I2460" s="41"/>
      <c r="J2460" s="41"/>
    </row>
    <row r="2461" spans="1:10" ht="15.75">
      <c r="A2461" s="125"/>
      <c r="B2461" s="125"/>
      <c r="C2461" s="125"/>
      <c r="D2461" s="41"/>
      <c r="E2461" s="194"/>
      <c r="F2461" s="112"/>
      <c r="G2461" s="112"/>
      <c r="H2461" s="112"/>
      <c r="I2461" s="41"/>
      <c r="J2461" s="41"/>
    </row>
    <row r="2462" spans="1:10" ht="15.75">
      <c r="A2462" s="125"/>
      <c r="B2462" s="125"/>
      <c r="C2462" s="125"/>
      <c r="D2462" s="41"/>
      <c r="E2462" s="194"/>
      <c r="F2462" s="112"/>
      <c r="G2462" s="112"/>
      <c r="H2462" s="112"/>
      <c r="I2462" s="41"/>
      <c r="J2462" s="41"/>
    </row>
    <row r="2463" spans="1:10" ht="15.75">
      <c r="A2463" s="125"/>
      <c r="B2463" s="125"/>
      <c r="C2463" s="125"/>
      <c r="D2463" s="41"/>
      <c r="E2463" s="194"/>
      <c r="F2463" s="112"/>
      <c r="G2463" s="112"/>
      <c r="H2463" s="112"/>
      <c r="I2463" s="41"/>
      <c r="J2463" s="41"/>
    </row>
    <row r="2464" spans="1:10" ht="15.75">
      <c r="A2464" s="125"/>
      <c r="B2464" s="125"/>
      <c r="C2464" s="125"/>
      <c r="D2464" s="41"/>
      <c r="E2464" s="194"/>
      <c r="F2464" s="112"/>
      <c r="G2464" s="112"/>
      <c r="H2464" s="112"/>
      <c r="I2464" s="41"/>
      <c r="J2464" s="41"/>
    </row>
    <row r="2465" spans="1:10" ht="15.75">
      <c r="A2465" s="125"/>
      <c r="B2465" s="125"/>
      <c r="C2465" s="125"/>
      <c r="D2465" s="41"/>
      <c r="E2465" s="194"/>
      <c r="F2465" s="112"/>
      <c r="G2465" s="112"/>
      <c r="H2465" s="112"/>
      <c r="I2465" s="41"/>
      <c r="J2465" s="41"/>
    </row>
    <row r="2466" spans="1:10" ht="15.75">
      <c r="A2466" s="125"/>
      <c r="B2466" s="125"/>
      <c r="C2466" s="125"/>
      <c r="D2466" s="41"/>
      <c r="E2466" s="194"/>
      <c r="F2466" s="112"/>
      <c r="G2466" s="112"/>
      <c r="H2466" s="112"/>
      <c r="I2466" s="41"/>
      <c r="J2466" s="41"/>
    </row>
    <row r="2467" spans="1:10" ht="15.75">
      <c r="A2467" s="125"/>
      <c r="B2467" s="125"/>
      <c r="C2467" s="125"/>
      <c r="D2467" s="41"/>
      <c r="E2467" s="194"/>
      <c r="F2467" s="112"/>
      <c r="G2467" s="112"/>
      <c r="H2467" s="112"/>
      <c r="I2467" s="41"/>
      <c r="J2467" s="41"/>
    </row>
    <row r="2468" spans="1:10" ht="15.75">
      <c r="A2468" s="125"/>
      <c r="B2468" s="125"/>
      <c r="C2468" s="125"/>
      <c r="D2468" s="41"/>
      <c r="E2468" s="194"/>
      <c r="F2468" s="112"/>
      <c r="G2468" s="112"/>
      <c r="H2468" s="112"/>
      <c r="I2468" s="41"/>
      <c r="J2468" s="41"/>
    </row>
    <row r="2469" spans="1:10" ht="15.75">
      <c r="A2469" s="125"/>
      <c r="B2469" s="125"/>
      <c r="C2469" s="125"/>
      <c r="D2469" s="41"/>
      <c r="E2469" s="194"/>
      <c r="F2469" s="112"/>
      <c r="G2469" s="112"/>
      <c r="H2469" s="112"/>
      <c r="I2469" s="41"/>
      <c r="J2469" s="41"/>
    </row>
    <row r="2470" spans="1:10" ht="15.75">
      <c r="A2470" s="125"/>
      <c r="B2470" s="125"/>
      <c r="C2470" s="125"/>
      <c r="D2470" s="41"/>
      <c r="E2470" s="194"/>
      <c r="F2470" s="112"/>
      <c r="G2470" s="112"/>
      <c r="H2470" s="112"/>
      <c r="I2470" s="41"/>
      <c r="J2470" s="41"/>
    </row>
    <row r="2471" spans="1:10" ht="15.75">
      <c r="A2471" s="125"/>
      <c r="B2471" s="125"/>
      <c r="C2471" s="125"/>
      <c r="D2471" s="41"/>
      <c r="E2471" s="194"/>
      <c r="F2471" s="112"/>
      <c r="G2471" s="112"/>
      <c r="H2471" s="112"/>
      <c r="I2471" s="41"/>
      <c r="J2471" s="41"/>
    </row>
    <row r="2472" spans="1:10" ht="15.75">
      <c r="A2472" s="125"/>
      <c r="B2472" s="125"/>
      <c r="C2472" s="125"/>
      <c r="D2472" s="41"/>
      <c r="E2472" s="194"/>
      <c r="F2472" s="112"/>
      <c r="G2472" s="112"/>
      <c r="H2472" s="112"/>
      <c r="I2472" s="41"/>
      <c r="J2472" s="41"/>
    </row>
    <row r="2473" spans="1:10" ht="15.75">
      <c r="A2473" s="125"/>
      <c r="B2473" s="125"/>
      <c r="C2473" s="125"/>
      <c r="D2473" s="41"/>
      <c r="E2473" s="194"/>
      <c r="F2473" s="112"/>
      <c r="G2473" s="112"/>
      <c r="H2473" s="112"/>
      <c r="I2473" s="41"/>
      <c r="J2473" s="41"/>
    </row>
    <row r="2474" spans="1:10" ht="15.75">
      <c r="A2474" s="125"/>
      <c r="B2474" s="125"/>
      <c r="C2474" s="125"/>
      <c r="D2474" s="41"/>
      <c r="E2474" s="194"/>
      <c r="F2474" s="112"/>
      <c r="G2474" s="112"/>
      <c r="H2474" s="112"/>
      <c r="I2474" s="41"/>
      <c r="J2474" s="41"/>
    </row>
    <row r="2475" spans="1:10" ht="15.75">
      <c r="A2475" s="125"/>
      <c r="B2475" s="125"/>
      <c r="C2475" s="125"/>
      <c r="D2475" s="41"/>
      <c r="E2475" s="194"/>
      <c r="F2475" s="112"/>
      <c r="G2475" s="112"/>
      <c r="H2475" s="112"/>
      <c r="I2475" s="41"/>
      <c r="J2475" s="41"/>
    </row>
    <row r="2476" spans="1:10" ht="15.75">
      <c r="A2476" s="125"/>
      <c r="B2476" s="125"/>
      <c r="C2476" s="125"/>
      <c r="D2476" s="41"/>
      <c r="E2476" s="194"/>
      <c r="F2476" s="112"/>
      <c r="G2476" s="112"/>
      <c r="H2476" s="112"/>
      <c r="I2476" s="41"/>
      <c r="J2476" s="41"/>
    </row>
    <row r="2477" spans="1:10" ht="15.75">
      <c r="A2477" s="125"/>
      <c r="B2477" s="125"/>
      <c r="C2477" s="125"/>
      <c r="D2477" s="41"/>
      <c r="E2477" s="194"/>
      <c r="F2477" s="112"/>
      <c r="G2477" s="112"/>
      <c r="H2477" s="112"/>
      <c r="I2477" s="41"/>
      <c r="J2477" s="41"/>
    </row>
    <row r="2478" spans="1:10" ht="15.75">
      <c r="A2478" s="125"/>
      <c r="B2478" s="125"/>
      <c r="C2478" s="125"/>
      <c r="D2478" s="41"/>
      <c r="E2478" s="194"/>
      <c r="F2478" s="112"/>
      <c r="G2478" s="112"/>
      <c r="H2478" s="112"/>
      <c r="I2478" s="41"/>
      <c r="J2478" s="41"/>
    </row>
    <row r="2479" spans="1:10" ht="15.75">
      <c r="A2479" s="125"/>
      <c r="B2479" s="125"/>
      <c r="C2479" s="125"/>
      <c r="D2479" s="41"/>
      <c r="E2479" s="194"/>
      <c r="F2479" s="112"/>
      <c r="G2479" s="112"/>
      <c r="H2479" s="112"/>
      <c r="I2479" s="41"/>
      <c r="J2479" s="41"/>
    </row>
    <row r="2480" spans="1:10" ht="15.75">
      <c r="A2480" s="125"/>
      <c r="B2480" s="125"/>
      <c r="C2480" s="125"/>
      <c r="D2480" s="41"/>
      <c r="E2480" s="194"/>
      <c r="F2480" s="112"/>
      <c r="G2480" s="112"/>
      <c r="H2480" s="112"/>
      <c r="I2480" s="41"/>
      <c r="J2480" s="41"/>
    </row>
    <row r="2481" spans="1:10" ht="15.75">
      <c r="A2481" s="125"/>
      <c r="B2481" s="125"/>
      <c r="C2481" s="125"/>
      <c r="D2481" s="41"/>
      <c r="E2481" s="194"/>
      <c r="F2481" s="112"/>
      <c r="G2481" s="112"/>
      <c r="H2481" s="112"/>
      <c r="I2481" s="41"/>
      <c r="J2481" s="41"/>
    </row>
    <row r="2482" spans="1:10" ht="15.75">
      <c r="A2482" s="125"/>
      <c r="B2482" s="125"/>
      <c r="C2482" s="125"/>
      <c r="D2482" s="41"/>
      <c r="E2482" s="194"/>
      <c r="F2482" s="112"/>
      <c r="G2482" s="112"/>
      <c r="H2482" s="112"/>
      <c r="I2482" s="41"/>
      <c r="J2482" s="41"/>
    </row>
    <row r="2483" spans="1:10" ht="15.75">
      <c r="A2483" s="125"/>
      <c r="B2483" s="125"/>
      <c r="C2483" s="125"/>
      <c r="D2483" s="41"/>
      <c r="E2483" s="194"/>
      <c r="F2483" s="112"/>
      <c r="G2483" s="112"/>
      <c r="H2483" s="112"/>
      <c r="I2483" s="41"/>
      <c r="J2483" s="41"/>
    </row>
    <row r="2484" spans="1:10" ht="15.75">
      <c r="A2484" s="125"/>
      <c r="B2484" s="125"/>
      <c r="C2484" s="125"/>
      <c r="D2484" s="41"/>
      <c r="E2484" s="194"/>
      <c r="F2484" s="112"/>
      <c r="G2484" s="112"/>
      <c r="H2484" s="112"/>
      <c r="I2484" s="41"/>
      <c r="J2484" s="41"/>
    </row>
    <row r="2485" spans="1:10" ht="15.75">
      <c r="A2485" s="125"/>
      <c r="B2485" s="125"/>
      <c r="C2485" s="125"/>
      <c r="D2485" s="41"/>
      <c r="E2485" s="194"/>
      <c r="F2485" s="112"/>
      <c r="G2485" s="112"/>
      <c r="H2485" s="112"/>
      <c r="I2485" s="41"/>
      <c r="J2485" s="41"/>
    </row>
    <row r="2486" spans="1:10" ht="15.75">
      <c r="A2486" s="125"/>
      <c r="B2486" s="125"/>
      <c r="C2486" s="125"/>
      <c r="D2486" s="41"/>
      <c r="E2486" s="194"/>
      <c r="F2486" s="112"/>
      <c r="G2486" s="112"/>
      <c r="H2486" s="112"/>
      <c r="I2486" s="41"/>
      <c r="J2486" s="41"/>
    </row>
    <row r="2487" spans="1:10" ht="15.75">
      <c r="A2487" s="125"/>
      <c r="B2487" s="125"/>
      <c r="C2487" s="125"/>
      <c r="D2487" s="41"/>
      <c r="E2487" s="194"/>
      <c r="F2487" s="112"/>
      <c r="G2487" s="112"/>
      <c r="H2487" s="112"/>
      <c r="I2487" s="41"/>
      <c r="J2487" s="41"/>
    </row>
    <row r="2488" spans="1:10" ht="15.75">
      <c r="A2488" s="125"/>
      <c r="B2488" s="125"/>
      <c r="C2488" s="125"/>
      <c r="D2488" s="41"/>
      <c r="E2488" s="194"/>
      <c r="F2488" s="112"/>
      <c r="G2488" s="112"/>
      <c r="H2488" s="112"/>
      <c r="I2488" s="41"/>
      <c r="J2488" s="41"/>
    </row>
    <row r="2489" spans="1:10" ht="15.75">
      <c r="A2489" s="125"/>
      <c r="B2489" s="125"/>
      <c r="C2489" s="125"/>
      <c r="D2489" s="41"/>
      <c r="E2489" s="194"/>
      <c r="F2489" s="112"/>
      <c r="G2489" s="112"/>
      <c r="H2489" s="112"/>
      <c r="I2489" s="41"/>
      <c r="J2489" s="41"/>
    </row>
    <row r="2490" spans="1:10" ht="15.75">
      <c r="A2490" s="125"/>
      <c r="B2490" s="125"/>
      <c r="C2490" s="125"/>
      <c r="D2490" s="41"/>
      <c r="E2490" s="194"/>
      <c r="F2490" s="112"/>
      <c r="G2490" s="112"/>
      <c r="H2490" s="112"/>
      <c r="I2490" s="41"/>
      <c r="J2490" s="41"/>
    </row>
    <row r="2491" spans="1:10" ht="15.75">
      <c r="A2491" s="125"/>
      <c r="B2491" s="125"/>
      <c r="C2491" s="125"/>
      <c r="D2491" s="41"/>
      <c r="E2491" s="194"/>
      <c r="F2491" s="112"/>
      <c r="G2491" s="112"/>
      <c r="H2491" s="112"/>
      <c r="I2491" s="41"/>
      <c r="J2491" s="41"/>
    </row>
    <row r="2492" spans="1:10" ht="15.75">
      <c r="A2492" s="125"/>
      <c r="B2492" s="125"/>
      <c r="C2492" s="125"/>
      <c r="D2492" s="41"/>
      <c r="E2492" s="194"/>
      <c r="F2492" s="112"/>
      <c r="G2492" s="112"/>
      <c r="H2492" s="112"/>
      <c r="I2492" s="41"/>
      <c r="J2492" s="41"/>
    </row>
    <row r="2493" spans="1:10" ht="15.75">
      <c r="A2493" s="125"/>
      <c r="B2493" s="125"/>
      <c r="C2493" s="125"/>
      <c r="D2493" s="41"/>
      <c r="E2493" s="194"/>
      <c r="F2493" s="112"/>
      <c r="G2493" s="112"/>
      <c r="H2493" s="112"/>
      <c r="I2493" s="41"/>
      <c r="J2493" s="41"/>
    </row>
    <row r="2494" spans="1:10" ht="15.75">
      <c r="A2494" s="125"/>
      <c r="B2494" s="125"/>
      <c r="C2494" s="125"/>
      <c r="D2494" s="41"/>
      <c r="E2494" s="194"/>
      <c r="F2494" s="112"/>
      <c r="G2494" s="112"/>
      <c r="H2494" s="112"/>
      <c r="I2494" s="41"/>
      <c r="J2494" s="41"/>
    </row>
    <row r="2495" spans="1:10" ht="15.75">
      <c r="A2495" s="125"/>
      <c r="B2495" s="125"/>
      <c r="C2495" s="125"/>
      <c r="D2495" s="41"/>
      <c r="E2495" s="194"/>
      <c r="F2495" s="112"/>
      <c r="G2495" s="112"/>
      <c r="H2495" s="112"/>
      <c r="I2495" s="41"/>
      <c r="J2495" s="41"/>
    </row>
    <row r="2496" spans="1:10" ht="15.75">
      <c r="A2496" s="125"/>
      <c r="B2496" s="125"/>
      <c r="C2496" s="125"/>
      <c r="D2496" s="41"/>
      <c r="E2496" s="194"/>
      <c r="F2496" s="112"/>
      <c r="G2496" s="112"/>
      <c r="H2496" s="112"/>
      <c r="I2496" s="41"/>
      <c r="J2496" s="41"/>
    </row>
    <row r="2497" spans="1:10" ht="15.75">
      <c r="A2497" s="125"/>
      <c r="B2497" s="125"/>
      <c r="C2497" s="125"/>
      <c r="D2497" s="41"/>
      <c r="E2497" s="194"/>
      <c r="F2497" s="112"/>
      <c r="G2497" s="112"/>
      <c r="H2497" s="112"/>
      <c r="I2497" s="41"/>
      <c r="J2497" s="41"/>
    </row>
    <row r="2498" spans="1:10" ht="15.75">
      <c r="A2498" s="125"/>
      <c r="B2498" s="125"/>
      <c r="C2498" s="125"/>
      <c r="D2498" s="41"/>
      <c r="E2498" s="194"/>
      <c r="F2498" s="112"/>
      <c r="G2498" s="112"/>
      <c r="H2498" s="112"/>
      <c r="I2498" s="41"/>
      <c r="J2498" s="41"/>
    </row>
    <row r="2499" spans="1:10" ht="15.75">
      <c r="A2499" s="125"/>
      <c r="B2499" s="125"/>
      <c r="C2499" s="125"/>
      <c r="D2499" s="41"/>
      <c r="E2499" s="194"/>
      <c r="F2499" s="112"/>
      <c r="G2499" s="112"/>
      <c r="H2499" s="112"/>
      <c r="I2499" s="41"/>
      <c r="J2499" s="41"/>
    </row>
    <row r="2500" spans="1:10" ht="15.75">
      <c r="A2500" s="125"/>
      <c r="B2500" s="125"/>
      <c r="C2500" s="125"/>
      <c r="D2500" s="41"/>
      <c r="E2500" s="194"/>
      <c r="F2500" s="112"/>
      <c r="G2500" s="112"/>
      <c r="H2500" s="112"/>
      <c r="I2500" s="41"/>
      <c r="J2500" s="41"/>
    </row>
    <row r="2501" spans="1:10" ht="15.75">
      <c r="A2501" s="125"/>
      <c r="B2501" s="125"/>
      <c r="C2501" s="125"/>
      <c r="D2501" s="41"/>
      <c r="E2501" s="194"/>
      <c r="F2501" s="112"/>
      <c r="G2501" s="112"/>
      <c r="H2501" s="112"/>
      <c r="I2501" s="41"/>
      <c r="J2501" s="41"/>
    </row>
    <row r="2502" spans="1:10" ht="15.75">
      <c r="A2502" s="125"/>
      <c r="B2502" s="125"/>
      <c r="C2502" s="125"/>
      <c r="D2502" s="41"/>
      <c r="E2502" s="194"/>
      <c r="F2502" s="112"/>
      <c r="G2502" s="112"/>
      <c r="H2502" s="112"/>
      <c r="I2502" s="41"/>
      <c r="J2502" s="41"/>
    </row>
    <row r="2503" spans="1:10" ht="15.75">
      <c r="A2503" s="125"/>
      <c r="B2503" s="125"/>
      <c r="C2503" s="125"/>
      <c r="D2503" s="41"/>
      <c r="E2503" s="194"/>
      <c r="F2503" s="112"/>
      <c r="G2503" s="112"/>
      <c r="H2503" s="112"/>
      <c r="I2503" s="41"/>
      <c r="J2503" s="41"/>
    </row>
    <row r="2504" spans="1:10" ht="15.75">
      <c r="A2504" s="125"/>
      <c r="B2504" s="125"/>
      <c r="C2504" s="125"/>
      <c r="D2504" s="41"/>
      <c r="E2504" s="194"/>
      <c r="F2504" s="112"/>
      <c r="G2504" s="112"/>
      <c r="H2504" s="112"/>
      <c r="I2504" s="41"/>
      <c r="J2504" s="41"/>
    </row>
    <row r="2505" spans="1:10" ht="15.75">
      <c r="A2505" s="125"/>
      <c r="B2505" s="125"/>
      <c r="C2505" s="125"/>
      <c r="D2505" s="41"/>
      <c r="E2505" s="194"/>
      <c r="F2505" s="112"/>
      <c r="G2505" s="112"/>
      <c r="H2505" s="112"/>
      <c r="I2505" s="41"/>
      <c r="J2505" s="41"/>
    </row>
    <row r="2506" spans="1:10" ht="15.75">
      <c r="A2506" s="125"/>
      <c r="B2506" s="125"/>
      <c r="C2506" s="125"/>
      <c r="D2506" s="41"/>
      <c r="E2506" s="194"/>
      <c r="F2506" s="112"/>
      <c r="G2506" s="112"/>
      <c r="H2506" s="112"/>
      <c r="I2506" s="41"/>
      <c r="J2506" s="41"/>
    </row>
    <row r="2507" spans="1:10" ht="15.75">
      <c r="A2507" s="125"/>
      <c r="B2507" s="125"/>
      <c r="C2507" s="125"/>
      <c r="D2507" s="41"/>
      <c r="E2507" s="194"/>
      <c r="F2507" s="112"/>
      <c r="G2507" s="112"/>
      <c r="H2507" s="112"/>
      <c r="I2507" s="41"/>
      <c r="J2507" s="41"/>
    </row>
    <row r="2508" spans="1:10" ht="15.75">
      <c r="A2508" s="125"/>
      <c r="B2508" s="125"/>
      <c r="C2508" s="125"/>
      <c r="D2508" s="41"/>
      <c r="E2508" s="194"/>
      <c r="F2508" s="112"/>
      <c r="G2508" s="112"/>
      <c r="H2508" s="112"/>
      <c r="I2508" s="41"/>
      <c r="J2508" s="41"/>
    </row>
    <row r="2509" spans="1:10" ht="15.75">
      <c r="A2509" s="125"/>
      <c r="B2509" s="125"/>
      <c r="C2509" s="125"/>
      <c r="D2509" s="41"/>
      <c r="E2509" s="194"/>
      <c r="F2509" s="112"/>
      <c r="G2509" s="112"/>
      <c r="H2509" s="112"/>
      <c r="I2509" s="41"/>
      <c r="J2509" s="41"/>
    </row>
    <row r="2510" spans="1:10" ht="15.75">
      <c r="A2510" s="125"/>
      <c r="B2510" s="125"/>
      <c r="C2510" s="125"/>
      <c r="D2510" s="41"/>
      <c r="E2510" s="194"/>
      <c r="F2510" s="112"/>
      <c r="G2510" s="112"/>
      <c r="H2510" s="112"/>
      <c r="I2510" s="41"/>
      <c r="J2510" s="41"/>
    </row>
    <row r="2511" spans="1:10" ht="15.75">
      <c r="A2511" s="125"/>
      <c r="B2511" s="125"/>
      <c r="C2511" s="125"/>
      <c r="D2511" s="41"/>
      <c r="E2511" s="194"/>
      <c r="F2511" s="112"/>
      <c r="G2511" s="112"/>
      <c r="H2511" s="112"/>
      <c r="I2511" s="41"/>
      <c r="J2511" s="41"/>
    </row>
    <row r="2512" spans="1:10" ht="15.75">
      <c r="A2512" s="125"/>
      <c r="B2512" s="125"/>
      <c r="C2512" s="125"/>
      <c r="D2512" s="41"/>
      <c r="E2512" s="194"/>
      <c r="F2512" s="112"/>
      <c r="G2512" s="112"/>
      <c r="H2512" s="112"/>
      <c r="I2512" s="41"/>
      <c r="J2512" s="41"/>
    </row>
    <row r="2513" spans="1:10" ht="15.75">
      <c r="A2513" s="125"/>
      <c r="B2513" s="125"/>
      <c r="C2513" s="125"/>
      <c r="D2513" s="41"/>
      <c r="E2513" s="194"/>
      <c r="F2513" s="112"/>
      <c r="G2513" s="112"/>
      <c r="H2513" s="112"/>
      <c r="I2513" s="41"/>
      <c r="J2513" s="41"/>
    </row>
    <row r="2514" spans="1:10" ht="15.75">
      <c r="A2514" s="125"/>
      <c r="B2514" s="125"/>
      <c r="C2514" s="125"/>
      <c r="D2514" s="41"/>
      <c r="E2514" s="194"/>
      <c r="F2514" s="112"/>
      <c r="G2514" s="112"/>
      <c r="H2514" s="112"/>
      <c r="I2514" s="41"/>
      <c r="J2514" s="41"/>
    </row>
    <row r="2515" spans="1:10" ht="15.75">
      <c r="A2515" s="125"/>
      <c r="B2515" s="125"/>
      <c r="C2515" s="125"/>
      <c r="D2515" s="41"/>
      <c r="E2515" s="194"/>
      <c r="F2515" s="112"/>
      <c r="G2515" s="112"/>
      <c r="H2515" s="112"/>
      <c r="I2515" s="41"/>
      <c r="J2515" s="41"/>
    </row>
    <row r="2516" spans="1:10" ht="15.75">
      <c r="A2516" s="125"/>
      <c r="B2516" s="125"/>
      <c r="C2516" s="125"/>
      <c r="D2516" s="41"/>
      <c r="E2516" s="194"/>
      <c r="F2516" s="112"/>
      <c r="G2516" s="112"/>
      <c r="H2516" s="112"/>
      <c r="I2516" s="41"/>
      <c r="J2516" s="41"/>
    </row>
    <row r="2517" spans="1:10" ht="15.75">
      <c r="A2517" s="125"/>
      <c r="B2517" s="125"/>
      <c r="C2517" s="125"/>
      <c r="D2517" s="41"/>
      <c r="E2517" s="194"/>
      <c r="F2517" s="112"/>
      <c r="G2517" s="112"/>
      <c r="H2517" s="112"/>
      <c r="I2517" s="41"/>
      <c r="J2517" s="41"/>
    </row>
    <row r="2518" spans="1:10" ht="15.75">
      <c r="A2518" s="125"/>
      <c r="B2518" s="125"/>
      <c r="C2518" s="125"/>
      <c r="D2518" s="41"/>
      <c r="E2518" s="194"/>
      <c r="F2518" s="112"/>
      <c r="G2518" s="112"/>
      <c r="H2518" s="112"/>
      <c r="I2518" s="41"/>
      <c r="J2518" s="41"/>
    </row>
    <row r="2519" spans="1:10" ht="15.75">
      <c r="A2519" s="125"/>
      <c r="B2519" s="125"/>
      <c r="C2519" s="125"/>
      <c r="D2519" s="41"/>
      <c r="E2519" s="194"/>
      <c r="F2519" s="112"/>
      <c r="G2519" s="112"/>
      <c r="H2519" s="112"/>
      <c r="I2519" s="41"/>
      <c r="J2519" s="41"/>
    </row>
    <row r="2520" spans="1:10" ht="15.75">
      <c r="A2520" s="125"/>
      <c r="B2520" s="125"/>
      <c r="C2520" s="125"/>
      <c r="D2520" s="41"/>
      <c r="E2520" s="194"/>
      <c r="F2520" s="112"/>
      <c r="G2520" s="112"/>
      <c r="H2520" s="112"/>
      <c r="I2520" s="41"/>
      <c r="J2520" s="41"/>
    </row>
    <row r="2521" spans="1:10" ht="15.75">
      <c r="A2521" s="125"/>
      <c r="B2521" s="125"/>
      <c r="C2521" s="125"/>
      <c r="D2521" s="41"/>
      <c r="E2521" s="194"/>
      <c r="F2521" s="112"/>
      <c r="G2521" s="112"/>
      <c r="H2521" s="112"/>
      <c r="I2521" s="41"/>
      <c r="J2521" s="41"/>
    </row>
    <row r="2522" spans="1:10" ht="15.75">
      <c r="A2522" s="125"/>
      <c r="B2522" s="125"/>
      <c r="C2522" s="125"/>
      <c r="D2522" s="41"/>
      <c r="E2522" s="194"/>
      <c r="F2522" s="112"/>
      <c r="G2522" s="112"/>
      <c r="H2522" s="112"/>
      <c r="I2522" s="41"/>
      <c r="J2522" s="41"/>
    </row>
    <row r="2523" spans="1:10" ht="15.75">
      <c r="A2523" s="125"/>
      <c r="B2523" s="125"/>
      <c r="C2523" s="125"/>
      <c r="D2523" s="41"/>
      <c r="E2523" s="194"/>
      <c r="F2523" s="112"/>
      <c r="G2523" s="112"/>
      <c r="H2523" s="112"/>
      <c r="I2523" s="41"/>
      <c r="J2523" s="41"/>
    </row>
    <row r="2524" spans="1:10" ht="15.75">
      <c r="A2524" s="125"/>
      <c r="B2524" s="125"/>
      <c r="C2524" s="125"/>
      <c r="D2524" s="41"/>
      <c r="E2524" s="194"/>
      <c r="F2524" s="112"/>
      <c r="G2524" s="112"/>
      <c r="H2524" s="112"/>
      <c r="I2524" s="41"/>
      <c r="J2524" s="41"/>
    </row>
    <row r="2525" spans="1:10" ht="15.75">
      <c r="A2525" s="125"/>
      <c r="B2525" s="125"/>
      <c r="C2525" s="125"/>
      <c r="D2525" s="41"/>
      <c r="E2525" s="194"/>
      <c r="F2525" s="112"/>
      <c r="G2525" s="112"/>
      <c r="H2525" s="112"/>
      <c r="I2525" s="41"/>
      <c r="J2525" s="41"/>
    </row>
    <row r="2526" spans="1:10" ht="15.75">
      <c r="A2526" s="125"/>
      <c r="B2526" s="125"/>
      <c r="C2526" s="125"/>
      <c r="D2526" s="41"/>
      <c r="E2526" s="194"/>
      <c r="F2526" s="112"/>
      <c r="G2526" s="112"/>
      <c r="H2526" s="112"/>
      <c r="I2526" s="41"/>
      <c r="J2526" s="41"/>
    </row>
    <row r="2527" spans="1:10" ht="15.75">
      <c r="A2527" s="125"/>
      <c r="B2527" s="125"/>
      <c r="C2527" s="125"/>
      <c r="D2527" s="41"/>
      <c r="E2527" s="194"/>
      <c r="F2527" s="112"/>
      <c r="G2527" s="112"/>
      <c r="H2527" s="112"/>
      <c r="I2527" s="41"/>
      <c r="J2527" s="41"/>
    </row>
    <row r="2528" spans="1:10" ht="15.75">
      <c r="A2528" s="125"/>
      <c r="B2528" s="125"/>
      <c r="C2528" s="125"/>
      <c r="D2528" s="41"/>
      <c r="E2528" s="194"/>
      <c r="F2528" s="112"/>
      <c r="G2528" s="112"/>
      <c r="H2528" s="112"/>
      <c r="I2528" s="41"/>
      <c r="J2528" s="41"/>
    </row>
    <row r="2529" spans="1:10" ht="15.75">
      <c r="A2529" s="125"/>
      <c r="B2529" s="125"/>
      <c r="C2529" s="125"/>
      <c r="D2529" s="41"/>
      <c r="E2529" s="194"/>
      <c r="F2529" s="112"/>
      <c r="G2529" s="112"/>
      <c r="H2529" s="112"/>
      <c r="I2529" s="41"/>
      <c r="J2529" s="41"/>
    </row>
    <row r="2530" spans="1:10" ht="15.75">
      <c r="A2530" s="125"/>
      <c r="B2530" s="125"/>
      <c r="C2530" s="125"/>
      <c r="D2530" s="41"/>
      <c r="E2530" s="194"/>
      <c r="F2530" s="112"/>
      <c r="G2530" s="112"/>
      <c r="H2530" s="112"/>
      <c r="I2530" s="41"/>
      <c r="J2530" s="41"/>
    </row>
    <row r="2531" spans="1:10" ht="15.75">
      <c r="A2531" s="125"/>
      <c r="B2531" s="125"/>
      <c r="C2531" s="125"/>
      <c r="D2531" s="41"/>
      <c r="E2531" s="194"/>
      <c r="F2531" s="112"/>
      <c r="G2531" s="112"/>
      <c r="H2531" s="112"/>
      <c r="I2531" s="41"/>
      <c r="J2531" s="41"/>
    </row>
    <row r="2532" spans="1:10" ht="15.75">
      <c r="A2532" s="125"/>
      <c r="B2532" s="125"/>
      <c r="C2532" s="125"/>
      <c r="D2532" s="41"/>
      <c r="E2532" s="194"/>
      <c r="F2532" s="112"/>
      <c r="G2532" s="112"/>
      <c r="H2532" s="112"/>
      <c r="I2532" s="41"/>
      <c r="J2532" s="41"/>
    </row>
    <row r="2533" spans="1:10" ht="15.75">
      <c r="A2533" s="125"/>
      <c r="B2533" s="125"/>
      <c r="C2533" s="125"/>
      <c r="D2533" s="41"/>
      <c r="E2533" s="194"/>
      <c r="F2533" s="112"/>
      <c r="G2533" s="112"/>
      <c r="H2533" s="112"/>
      <c r="I2533" s="41"/>
      <c r="J2533" s="41"/>
    </row>
    <row r="2534" spans="1:10" ht="15.75">
      <c r="A2534" s="125"/>
      <c r="B2534" s="125"/>
      <c r="C2534" s="125"/>
      <c r="D2534" s="41"/>
      <c r="E2534" s="194"/>
      <c r="F2534" s="112"/>
      <c r="G2534" s="112"/>
      <c r="H2534" s="112"/>
      <c r="I2534" s="41"/>
      <c r="J2534" s="41"/>
    </row>
    <row r="2535" spans="1:10" ht="15.75">
      <c r="A2535" s="125"/>
      <c r="B2535" s="125"/>
      <c r="C2535" s="125"/>
      <c r="D2535" s="41"/>
      <c r="E2535" s="194"/>
      <c r="F2535" s="112"/>
      <c r="G2535" s="112"/>
      <c r="H2535" s="112"/>
      <c r="I2535" s="41"/>
      <c r="J2535" s="41"/>
    </row>
    <row r="2536" spans="1:10" ht="15.75">
      <c r="A2536" s="125"/>
      <c r="B2536" s="125"/>
      <c r="C2536" s="125"/>
      <c r="D2536" s="41"/>
      <c r="E2536" s="194"/>
      <c r="F2536" s="112"/>
      <c r="G2536" s="112"/>
      <c r="H2536" s="112"/>
      <c r="I2536" s="41"/>
      <c r="J2536" s="41"/>
    </row>
    <row r="2537" spans="1:10" ht="15.75">
      <c r="A2537" s="125"/>
      <c r="B2537" s="125"/>
      <c r="C2537" s="125"/>
      <c r="D2537" s="41"/>
      <c r="E2537" s="194"/>
      <c r="F2537" s="112"/>
      <c r="G2537" s="112"/>
      <c r="H2537" s="112"/>
      <c r="I2537" s="41"/>
      <c r="J2537" s="41"/>
    </row>
    <row r="2538" spans="1:10" ht="15.75">
      <c r="A2538" s="125"/>
      <c r="B2538" s="125"/>
      <c r="C2538" s="125"/>
      <c r="D2538" s="41"/>
      <c r="E2538" s="194"/>
      <c r="F2538" s="112"/>
      <c r="G2538" s="112"/>
      <c r="H2538" s="112"/>
      <c r="I2538" s="41"/>
      <c r="J2538" s="41"/>
    </row>
    <row r="2539" spans="1:10" ht="15.75">
      <c r="A2539" s="125"/>
      <c r="B2539" s="125"/>
      <c r="C2539" s="125"/>
      <c r="D2539" s="41"/>
      <c r="E2539" s="194"/>
      <c r="F2539" s="112"/>
      <c r="G2539" s="112"/>
      <c r="H2539" s="112"/>
      <c r="I2539" s="41"/>
      <c r="J2539" s="41"/>
    </row>
    <row r="2540" spans="1:10" ht="15.75">
      <c r="A2540" s="125"/>
      <c r="B2540" s="125"/>
      <c r="C2540" s="125"/>
      <c r="D2540" s="41"/>
      <c r="E2540" s="194"/>
      <c r="F2540" s="112"/>
      <c r="G2540" s="112"/>
      <c r="H2540" s="112"/>
      <c r="I2540" s="41"/>
      <c r="J2540" s="41"/>
    </row>
    <row r="2541" spans="1:10" ht="15.75">
      <c r="A2541" s="125"/>
      <c r="B2541" s="125"/>
      <c r="C2541" s="125"/>
      <c r="D2541" s="41"/>
      <c r="E2541" s="194"/>
      <c r="F2541" s="112"/>
      <c r="G2541" s="112"/>
      <c r="H2541" s="112"/>
      <c r="I2541" s="41"/>
      <c r="J2541" s="41"/>
    </row>
    <row r="2542" spans="1:10" ht="15.75">
      <c r="A2542" s="125"/>
      <c r="B2542" s="125"/>
      <c r="C2542" s="125"/>
      <c r="D2542" s="41"/>
      <c r="E2542" s="194"/>
      <c r="F2542" s="112"/>
      <c r="G2542" s="112"/>
      <c r="H2542" s="112"/>
      <c r="I2542" s="41"/>
      <c r="J2542" s="41"/>
    </row>
    <row r="2543" spans="1:10" ht="15.75">
      <c r="A2543" s="125"/>
      <c r="B2543" s="125"/>
      <c r="C2543" s="125"/>
      <c r="D2543" s="41"/>
      <c r="E2543" s="194"/>
      <c r="F2543" s="112"/>
      <c r="G2543" s="112"/>
      <c r="H2543" s="112"/>
      <c r="I2543" s="41"/>
      <c r="J2543" s="41"/>
    </row>
    <row r="2544" spans="1:10" ht="15.75">
      <c r="A2544" s="125"/>
      <c r="B2544" s="125"/>
      <c r="C2544" s="125"/>
      <c r="D2544" s="41"/>
      <c r="E2544" s="194"/>
      <c r="F2544" s="112"/>
      <c r="G2544" s="112"/>
      <c r="H2544" s="112"/>
      <c r="I2544" s="41"/>
      <c r="J2544" s="41"/>
    </row>
    <row r="2545" spans="1:10" ht="15.75">
      <c r="A2545" s="125"/>
      <c r="B2545" s="125"/>
      <c r="C2545" s="125"/>
      <c r="D2545" s="41"/>
      <c r="E2545" s="194"/>
      <c r="F2545" s="112"/>
      <c r="G2545" s="112"/>
      <c r="H2545" s="112"/>
      <c r="I2545" s="41"/>
      <c r="J2545" s="41"/>
    </row>
    <row r="2546" spans="1:10" ht="15.75">
      <c r="A2546" s="125"/>
      <c r="B2546" s="125"/>
      <c r="C2546" s="125"/>
      <c r="D2546" s="41"/>
      <c r="E2546" s="194"/>
      <c r="F2546" s="112"/>
      <c r="G2546" s="112"/>
      <c r="H2546" s="112"/>
      <c r="I2546" s="41"/>
      <c r="J2546" s="41"/>
    </row>
    <row r="2547" spans="1:10" ht="15.75">
      <c r="A2547" s="125"/>
      <c r="B2547" s="125"/>
      <c r="C2547" s="125"/>
      <c r="D2547" s="41"/>
      <c r="E2547" s="194"/>
      <c r="F2547" s="112"/>
      <c r="G2547" s="112"/>
      <c r="H2547" s="112"/>
      <c r="I2547" s="41"/>
      <c r="J2547" s="41"/>
    </row>
    <row r="2548" spans="1:10" ht="15.75">
      <c r="A2548" s="125"/>
      <c r="B2548" s="125"/>
      <c r="C2548" s="125"/>
      <c r="D2548" s="41"/>
      <c r="E2548" s="194"/>
      <c r="F2548" s="112"/>
      <c r="G2548" s="112"/>
      <c r="H2548" s="112"/>
      <c r="I2548" s="41"/>
      <c r="J2548" s="41"/>
    </row>
    <row r="2549" spans="1:10" ht="15.75">
      <c r="A2549" s="125"/>
      <c r="B2549" s="125"/>
      <c r="C2549" s="125"/>
      <c r="D2549" s="41"/>
      <c r="E2549" s="194"/>
      <c r="F2549" s="112"/>
      <c r="G2549" s="112"/>
      <c r="H2549" s="112"/>
      <c r="I2549" s="41"/>
      <c r="J2549" s="41"/>
    </row>
    <row r="2550" spans="1:10" ht="15.75">
      <c r="A2550" s="125"/>
      <c r="B2550" s="125"/>
      <c r="C2550" s="125"/>
      <c r="D2550" s="41"/>
      <c r="E2550" s="194"/>
      <c r="F2550" s="112"/>
      <c r="G2550" s="112"/>
      <c r="H2550" s="112"/>
      <c r="I2550" s="41"/>
      <c r="J2550" s="41"/>
    </row>
    <row r="2551" spans="1:10" ht="15.75">
      <c r="A2551" s="125"/>
      <c r="B2551" s="125"/>
      <c r="C2551" s="125"/>
      <c r="D2551" s="41"/>
      <c r="E2551" s="194"/>
      <c r="F2551" s="112"/>
      <c r="G2551" s="112"/>
      <c r="H2551" s="112"/>
      <c r="I2551" s="41"/>
      <c r="J2551" s="41"/>
    </row>
    <row r="2552" spans="1:10" ht="15.75">
      <c r="A2552" s="125"/>
      <c r="B2552" s="125"/>
      <c r="C2552" s="125"/>
      <c r="D2552" s="41"/>
      <c r="E2552" s="194"/>
      <c r="F2552" s="112"/>
      <c r="G2552" s="112"/>
      <c r="H2552" s="112"/>
      <c r="I2552" s="41"/>
      <c r="J2552" s="41"/>
    </row>
    <row r="2553" spans="1:10" ht="15.75">
      <c r="A2553" s="125"/>
      <c r="B2553" s="125"/>
      <c r="C2553" s="125"/>
      <c r="D2553" s="41"/>
      <c r="E2553" s="194"/>
      <c r="F2553" s="112"/>
      <c r="G2553" s="112"/>
      <c r="H2553" s="112"/>
      <c r="I2553" s="41"/>
      <c r="J2553" s="41"/>
    </row>
    <row r="2554" spans="1:10" ht="15.75">
      <c r="A2554" s="125"/>
      <c r="B2554" s="125"/>
      <c r="C2554" s="125"/>
      <c r="D2554" s="41"/>
      <c r="E2554" s="194"/>
      <c r="F2554" s="112"/>
      <c r="G2554" s="112"/>
      <c r="H2554" s="112"/>
      <c r="I2554" s="41"/>
      <c r="J2554" s="41"/>
    </row>
    <row r="2555" spans="1:10" ht="15.75">
      <c r="A2555" s="125"/>
      <c r="B2555" s="125"/>
      <c r="C2555" s="125"/>
      <c r="D2555" s="41"/>
      <c r="E2555" s="194"/>
      <c r="F2555" s="112"/>
      <c r="G2555" s="112"/>
      <c r="H2555" s="112"/>
      <c r="I2555" s="41"/>
      <c r="J2555" s="41"/>
    </row>
    <row r="2556" spans="1:10" ht="15.75">
      <c r="A2556" s="125"/>
      <c r="B2556" s="125"/>
      <c r="C2556" s="125"/>
      <c r="D2556" s="41"/>
      <c r="E2556" s="194"/>
      <c r="F2556" s="112"/>
      <c r="G2556" s="112"/>
      <c r="H2556" s="112"/>
      <c r="I2556" s="41"/>
      <c r="J2556" s="41"/>
    </row>
    <row r="2557" spans="1:10" ht="15.75">
      <c r="A2557" s="125"/>
      <c r="B2557" s="125"/>
      <c r="C2557" s="125"/>
      <c r="D2557" s="41"/>
      <c r="E2557" s="194"/>
      <c r="F2557" s="112"/>
      <c r="G2557" s="112"/>
      <c r="H2557" s="112"/>
      <c r="I2557" s="41"/>
      <c r="J2557" s="41"/>
    </row>
    <row r="2558" spans="1:10" ht="15.75">
      <c r="A2558" s="125"/>
      <c r="B2558" s="125"/>
      <c r="C2558" s="125"/>
      <c r="D2558" s="41"/>
      <c r="E2558" s="194"/>
      <c r="F2558" s="112"/>
      <c r="G2558" s="112"/>
      <c r="H2558" s="112"/>
      <c r="I2558" s="41"/>
      <c r="J2558" s="41"/>
    </row>
    <row r="2559" spans="1:10" ht="15.75">
      <c r="A2559" s="125"/>
      <c r="B2559" s="125"/>
      <c r="C2559" s="125"/>
      <c r="D2559" s="41"/>
      <c r="E2559" s="194"/>
      <c r="F2559" s="112"/>
      <c r="G2559" s="112"/>
      <c r="H2559" s="112"/>
      <c r="I2559" s="41"/>
      <c r="J2559" s="41"/>
    </row>
    <row r="2560" spans="1:10" ht="15.75">
      <c r="A2560" s="125"/>
      <c r="B2560" s="125"/>
      <c r="C2560" s="125"/>
      <c r="D2560" s="41"/>
      <c r="E2560" s="194"/>
      <c r="F2560" s="112"/>
      <c r="G2560" s="112"/>
      <c r="H2560" s="112"/>
      <c r="I2560" s="41"/>
      <c r="J2560" s="41"/>
    </row>
    <row r="2561" spans="1:10" ht="15.75">
      <c r="A2561" s="125"/>
      <c r="B2561" s="125"/>
      <c r="C2561" s="125"/>
      <c r="D2561" s="41"/>
      <c r="E2561" s="194"/>
      <c r="F2561" s="112"/>
      <c r="G2561" s="112"/>
      <c r="H2561" s="112"/>
      <c r="I2561" s="41"/>
      <c r="J2561" s="41"/>
    </row>
    <row r="2562" spans="1:10" ht="15.75">
      <c r="A2562" s="125"/>
      <c r="B2562" s="125"/>
      <c r="C2562" s="125"/>
      <c r="D2562" s="41"/>
      <c r="E2562" s="194"/>
      <c r="F2562" s="112"/>
      <c r="G2562" s="112"/>
      <c r="H2562" s="112"/>
      <c r="I2562" s="41"/>
      <c r="J2562" s="41"/>
    </row>
    <row r="2563" spans="1:10" ht="15.75">
      <c r="A2563" s="125"/>
      <c r="B2563" s="125"/>
      <c r="C2563" s="125"/>
      <c r="D2563" s="41"/>
      <c r="E2563" s="194"/>
      <c r="F2563" s="112"/>
      <c r="G2563" s="112"/>
      <c r="H2563" s="112"/>
      <c r="I2563" s="41"/>
      <c r="J2563" s="41"/>
    </row>
    <row r="2564" spans="1:10" ht="15.75">
      <c r="A2564" s="125"/>
      <c r="B2564" s="125"/>
      <c r="C2564" s="125"/>
      <c r="D2564" s="41"/>
      <c r="E2564" s="194"/>
      <c r="F2564" s="112"/>
      <c r="G2564" s="112"/>
      <c r="H2564" s="112"/>
      <c r="I2564" s="41"/>
      <c r="J2564" s="41"/>
    </row>
    <row r="2565" spans="1:10" ht="15.75">
      <c r="A2565" s="125"/>
      <c r="B2565" s="125"/>
      <c r="C2565" s="125"/>
      <c r="D2565" s="41"/>
      <c r="E2565" s="194"/>
      <c r="F2565" s="112"/>
      <c r="G2565" s="112"/>
      <c r="H2565" s="112"/>
      <c r="I2565" s="41"/>
      <c r="J2565" s="41"/>
    </row>
    <row r="2566" spans="1:10" ht="15.75">
      <c r="A2566" s="125"/>
      <c r="B2566" s="125"/>
      <c r="C2566" s="125"/>
      <c r="D2566" s="41"/>
      <c r="E2566" s="194"/>
      <c r="F2566" s="112"/>
      <c r="G2566" s="112"/>
      <c r="H2566" s="112"/>
      <c r="I2566" s="41"/>
      <c r="J2566" s="41"/>
    </row>
    <row r="2567" spans="1:10" ht="15.75">
      <c r="A2567" s="125"/>
      <c r="B2567" s="125"/>
      <c r="C2567" s="125"/>
      <c r="D2567" s="41"/>
      <c r="E2567" s="194"/>
      <c r="F2567" s="112"/>
      <c r="G2567" s="112"/>
      <c r="H2567" s="112"/>
      <c r="I2567" s="41"/>
      <c r="J2567" s="41"/>
    </row>
    <row r="2568" spans="1:10" ht="15.75">
      <c r="A2568" s="125"/>
      <c r="B2568" s="125"/>
      <c r="C2568" s="125"/>
      <c r="D2568" s="41"/>
      <c r="E2568" s="194"/>
      <c r="F2568" s="112"/>
      <c r="G2568" s="112"/>
      <c r="H2568" s="112"/>
      <c r="I2568" s="41"/>
      <c r="J2568" s="41"/>
    </row>
    <row r="2569" spans="1:10" ht="15.75">
      <c r="A2569" s="125"/>
      <c r="B2569" s="125"/>
      <c r="C2569" s="125"/>
      <c r="D2569" s="41"/>
      <c r="E2569" s="194"/>
      <c r="F2569" s="112"/>
      <c r="G2569" s="112"/>
      <c r="H2569" s="112"/>
      <c r="I2569" s="41"/>
      <c r="J2569" s="41"/>
    </row>
    <row r="2570" spans="1:10" ht="15.75">
      <c r="A2570" s="125"/>
      <c r="B2570" s="125"/>
      <c r="C2570" s="125"/>
      <c r="D2570" s="41"/>
      <c r="E2570" s="194"/>
      <c r="F2570" s="112"/>
      <c r="G2570" s="112"/>
      <c r="H2570" s="112"/>
      <c r="I2570" s="41"/>
      <c r="J2570" s="41"/>
    </row>
    <row r="2571" spans="1:10" ht="15.75">
      <c r="A2571" s="125"/>
      <c r="B2571" s="125"/>
      <c r="C2571" s="125"/>
      <c r="D2571" s="41"/>
      <c r="E2571" s="194"/>
      <c r="F2571" s="112"/>
      <c r="G2571" s="112"/>
      <c r="H2571" s="112"/>
      <c r="I2571" s="41"/>
      <c r="J2571" s="41"/>
    </row>
    <row r="2572" spans="1:10" ht="15.75">
      <c r="A2572" s="125"/>
      <c r="B2572" s="125"/>
      <c r="C2572" s="125"/>
      <c r="D2572" s="41"/>
      <c r="E2572" s="194"/>
      <c r="F2572" s="112"/>
      <c r="G2572" s="112"/>
      <c r="H2572" s="112"/>
      <c r="I2572" s="41"/>
      <c r="J2572" s="41"/>
    </row>
    <row r="2573" spans="1:10" ht="15.75">
      <c r="A2573" s="125"/>
      <c r="B2573" s="125"/>
      <c r="C2573" s="125"/>
      <c r="D2573" s="41"/>
      <c r="E2573" s="194"/>
      <c r="F2573" s="112"/>
      <c r="G2573" s="112"/>
      <c r="H2573" s="112"/>
      <c r="I2573" s="41"/>
      <c r="J2573" s="41"/>
    </row>
    <row r="2574" spans="1:10" ht="15.75">
      <c r="A2574" s="125"/>
      <c r="B2574" s="125"/>
      <c r="C2574" s="125"/>
      <c r="D2574" s="41"/>
      <c r="E2574" s="194"/>
      <c r="F2574" s="112"/>
      <c r="G2574" s="112"/>
      <c r="H2574" s="112"/>
      <c r="I2574" s="41"/>
      <c r="J2574" s="41"/>
    </row>
    <row r="2575" spans="1:10" ht="15.75">
      <c r="A2575" s="125"/>
      <c r="B2575" s="125"/>
      <c r="C2575" s="125"/>
      <c r="D2575" s="41"/>
      <c r="E2575" s="194"/>
      <c r="F2575" s="112"/>
      <c r="G2575" s="112"/>
      <c r="H2575" s="112"/>
      <c r="I2575" s="41"/>
      <c r="J2575" s="41"/>
    </row>
    <row r="2576" spans="1:10" ht="15.75">
      <c r="A2576" s="125"/>
      <c r="B2576" s="125"/>
      <c r="C2576" s="125"/>
      <c r="D2576" s="41"/>
      <c r="E2576" s="194"/>
      <c r="F2576" s="112"/>
      <c r="G2576" s="112"/>
      <c r="H2576" s="112"/>
      <c r="I2576" s="41"/>
      <c r="J2576" s="41"/>
    </row>
  </sheetData>
  <autoFilter ref="A2:HU2306"/>
  <mergeCells count="1">
    <mergeCell ref="A1:L1"/>
  </mergeCells>
  <phoneticPr fontId="0" type="noConversion"/>
  <printOptions horizontalCentered="1"/>
  <pageMargins left="0.196850393700787" right="0.196850393700787" top="0.196850393700787" bottom="0.39370078740157499" header="0.511811023622047" footer="0"/>
  <pageSetup paperSize="8" scale="33" fitToHeight="5" orientation="portrait" r:id="rId1"/>
  <headerFooter alignWithMargins="0">
    <oddFooter>&amp;L&amp;"Arial,Regular"Production Control Department&amp;C&amp;"Arial,Bold"&amp;18Hino Motors Manufacturing (Thailand) Ltd.&amp;RPage &amp;P/&amp;N</oddFooter>
  </headerFooter>
  <rowBreaks count="1" manualBreakCount="1">
    <brk id="159" max="23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"/>
  <sheetViews>
    <sheetView workbookViewId="0">
      <selection activeCell="J16" sqref="J16"/>
    </sheetView>
  </sheetViews>
  <sheetFormatPr defaultRowHeight="21.75"/>
  <sheetData>
    <row r="1" spans="1:84">
      <c r="A1">
        <v>242</v>
      </c>
      <c r="B1" t="s">
        <v>2547</v>
      </c>
      <c r="C1" t="s">
        <v>2548</v>
      </c>
      <c r="D1" t="s">
        <v>2549</v>
      </c>
      <c r="E1" t="s">
        <v>2549</v>
      </c>
      <c r="F1" t="s">
        <v>2550</v>
      </c>
      <c r="G1" t="s">
        <v>2551</v>
      </c>
      <c r="H1">
        <v>100</v>
      </c>
      <c r="I1" t="s">
        <v>138</v>
      </c>
      <c r="J1" t="s">
        <v>138</v>
      </c>
      <c r="K1" t="s">
        <v>585</v>
      </c>
      <c r="L1" t="s">
        <v>2552</v>
      </c>
      <c r="M1" t="s">
        <v>2549</v>
      </c>
      <c r="N1" t="s">
        <v>2553</v>
      </c>
      <c r="O1" t="s">
        <v>2554</v>
      </c>
      <c r="P1" t="s">
        <v>431</v>
      </c>
      <c r="Q1" t="s">
        <v>2555</v>
      </c>
      <c r="R1" t="s">
        <v>531</v>
      </c>
      <c r="S1" t="s">
        <v>2556</v>
      </c>
      <c r="T1" t="s">
        <v>2557</v>
      </c>
      <c r="U1" t="s">
        <v>1440</v>
      </c>
      <c r="V1" t="s">
        <v>2558</v>
      </c>
      <c r="W1" t="s">
        <v>2559</v>
      </c>
      <c r="X1" t="s">
        <v>2560</v>
      </c>
      <c r="Y1" t="s">
        <v>2561</v>
      </c>
      <c r="Z1" t="s">
        <v>2562</v>
      </c>
      <c r="AA1" t="s">
        <v>2563</v>
      </c>
      <c r="AB1" t="s">
        <v>2531</v>
      </c>
      <c r="AC1" t="s">
        <v>1041</v>
      </c>
      <c r="AD1" t="s">
        <v>2564</v>
      </c>
      <c r="AE1" t="s">
        <v>2565</v>
      </c>
      <c r="AF1" t="s">
        <v>2566</v>
      </c>
      <c r="AG1" t="s">
        <v>2567</v>
      </c>
      <c r="AH1" t="s">
        <v>2568</v>
      </c>
      <c r="AI1" t="s">
        <v>2569</v>
      </c>
      <c r="AJ1" t="s">
        <v>2570</v>
      </c>
      <c r="AK1" t="s">
        <v>2551</v>
      </c>
      <c r="AL1" t="s">
        <v>2571</v>
      </c>
      <c r="AM1">
        <v>25</v>
      </c>
      <c r="AN1">
        <v>72331</v>
      </c>
      <c r="AO1" t="s">
        <v>2572</v>
      </c>
      <c r="AP1" t="s">
        <v>2573</v>
      </c>
      <c r="AQ1" t="s">
        <v>2551</v>
      </c>
      <c r="AR1" t="s">
        <v>2551</v>
      </c>
      <c r="AS1" t="s">
        <v>2551</v>
      </c>
      <c r="AT1" t="s">
        <v>2551</v>
      </c>
      <c r="AU1" t="s">
        <v>2551</v>
      </c>
      <c r="AV1" t="s">
        <v>2574</v>
      </c>
      <c r="AW1" t="s">
        <v>2551</v>
      </c>
      <c r="AX1" t="s">
        <v>2551</v>
      </c>
      <c r="AY1" t="s">
        <v>2551</v>
      </c>
      <c r="AZ1" t="s">
        <v>2551</v>
      </c>
      <c r="BA1">
        <v>10</v>
      </c>
      <c r="BB1">
        <v>10</v>
      </c>
      <c r="BC1">
        <v>10</v>
      </c>
      <c r="BD1">
        <v>2200.77</v>
      </c>
      <c r="BE1">
        <v>1980.693</v>
      </c>
      <c r="BF1">
        <v>220.077</v>
      </c>
      <c r="BG1" t="s">
        <v>2575</v>
      </c>
      <c r="BH1">
        <v>14</v>
      </c>
      <c r="BI1" t="s">
        <v>2576</v>
      </c>
      <c r="BJ1" t="s">
        <v>2577</v>
      </c>
      <c r="BK1" t="s">
        <v>138</v>
      </c>
      <c r="BL1" t="s">
        <v>1508</v>
      </c>
      <c r="BM1" t="s">
        <v>1509</v>
      </c>
      <c r="BN1" t="s">
        <v>1517</v>
      </c>
      <c r="BO1" t="s">
        <v>2117</v>
      </c>
      <c r="BP1" t="s">
        <v>1672</v>
      </c>
      <c r="BQ1" t="s">
        <v>2578</v>
      </c>
      <c r="BR1" t="s">
        <v>2579</v>
      </c>
      <c r="BS1" t="s">
        <v>1676</v>
      </c>
      <c r="BT1" t="s">
        <v>1685</v>
      </c>
      <c r="BU1" t="s">
        <v>2580</v>
      </c>
      <c r="BV1" t="s">
        <v>2581</v>
      </c>
      <c r="BW1" t="s">
        <v>2551</v>
      </c>
      <c r="BX1" t="s">
        <v>2582</v>
      </c>
      <c r="BY1" t="s">
        <v>2583</v>
      </c>
      <c r="BZ1" t="s">
        <v>2584</v>
      </c>
      <c r="CA1" t="s">
        <v>2570</v>
      </c>
      <c r="CB1" t="s">
        <v>2585</v>
      </c>
      <c r="CC1" t="s">
        <v>2586</v>
      </c>
      <c r="CD1" t="s">
        <v>2587</v>
      </c>
      <c r="CE1" t="s">
        <v>317</v>
      </c>
      <c r="CF1" t="s">
        <v>94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3"/>
  <sheetViews>
    <sheetView zoomScale="55" zoomScaleNormal="55" workbookViewId="0">
      <selection activeCell="F36" sqref="F36"/>
    </sheetView>
  </sheetViews>
  <sheetFormatPr defaultRowHeight="24"/>
  <cols>
    <col min="1" max="1" width="8.85546875" style="96" customWidth="1"/>
    <col min="2" max="2" width="16.85546875" style="69" bestFit="1" customWidth="1"/>
    <col min="3" max="3" width="18.85546875" style="98" bestFit="1" customWidth="1"/>
    <col min="4" max="4" width="16.5703125" style="98" bestFit="1" customWidth="1"/>
    <col min="5" max="5" width="40.85546875" style="98" bestFit="1" customWidth="1"/>
    <col min="6" max="6" width="40.140625" style="98" bestFit="1" customWidth="1"/>
    <col min="7" max="7" width="33.42578125" style="98" bestFit="1" customWidth="1"/>
    <col min="8" max="8" width="28.140625" style="98" bestFit="1" customWidth="1"/>
    <col min="9" max="9" width="71.85546875" style="98" bestFit="1" customWidth="1"/>
    <col min="10" max="14" width="9.140625" style="69"/>
    <col min="15" max="15" width="48" style="161" bestFit="1" customWidth="1"/>
    <col min="16" max="16" width="34.140625" style="161" bestFit="1" customWidth="1"/>
    <col min="17" max="16384" width="9.140625" style="69"/>
  </cols>
  <sheetData>
    <row r="1" spans="1:17">
      <c r="A1" s="247" t="s">
        <v>2976</v>
      </c>
      <c r="B1" s="247"/>
      <c r="C1" s="66" t="s">
        <v>2977</v>
      </c>
      <c r="D1" s="67"/>
      <c r="E1" s="67"/>
      <c r="F1" s="67"/>
      <c r="G1" s="67"/>
      <c r="H1" s="67"/>
      <c r="I1" s="68" t="s">
        <v>2978</v>
      </c>
    </row>
    <row r="2" spans="1:17">
      <c r="A2" s="70" t="s">
        <v>2979</v>
      </c>
      <c r="B2" s="71" t="s">
        <v>2980</v>
      </c>
      <c r="C2" s="72" t="s">
        <v>2981</v>
      </c>
      <c r="D2" s="72" t="s">
        <v>2982</v>
      </c>
      <c r="E2" s="72" t="s">
        <v>2983</v>
      </c>
      <c r="F2" s="72" t="s">
        <v>2984</v>
      </c>
      <c r="G2" s="72" t="s">
        <v>2985</v>
      </c>
      <c r="H2" s="72" t="s">
        <v>2986</v>
      </c>
      <c r="I2" s="72" t="s">
        <v>2987</v>
      </c>
    </row>
    <row r="3" spans="1:17">
      <c r="A3" s="73" t="str">
        <f>"11015"</f>
        <v>11015</v>
      </c>
      <c r="B3" s="74" t="s">
        <v>886</v>
      </c>
      <c r="C3" s="75">
        <v>11015</v>
      </c>
      <c r="D3" s="76" t="s">
        <v>2988</v>
      </c>
      <c r="E3" s="76" t="s">
        <v>2989</v>
      </c>
      <c r="F3" s="76" t="s">
        <v>2990</v>
      </c>
      <c r="G3" s="76" t="s">
        <v>2991</v>
      </c>
      <c r="H3" s="76" t="s">
        <v>2992</v>
      </c>
      <c r="I3" s="76" t="str">
        <f>E3&amp;" ("&amp;F3&amp;$I$1</f>
        <v>VORACHAKYONT (VISUTKASAT (HO.))</v>
      </c>
      <c r="O3" s="162">
        <v>11015</v>
      </c>
      <c r="P3" s="163" t="s">
        <v>886</v>
      </c>
      <c r="Q3" s="33"/>
    </row>
    <row r="4" spans="1:17">
      <c r="A4" s="77" t="str">
        <f>"11023"</f>
        <v>11023</v>
      </c>
      <c r="B4" s="78" t="s">
        <v>889</v>
      </c>
      <c r="C4" s="75">
        <v>11015</v>
      </c>
      <c r="D4" s="76" t="s">
        <v>2993</v>
      </c>
      <c r="E4" s="76" t="s">
        <v>2989</v>
      </c>
      <c r="F4" s="76" t="s">
        <v>2994</v>
      </c>
      <c r="G4" s="76" t="s">
        <v>2991</v>
      </c>
      <c r="H4" s="76" t="s">
        <v>2995</v>
      </c>
      <c r="I4" s="76" t="str">
        <f>E4&amp;" ("&amp;F4&amp;$I$1</f>
        <v>VORACHAKYONT (PAHOLYOTHIN)</v>
      </c>
      <c r="O4" s="162">
        <v>11023</v>
      </c>
      <c r="P4" s="164" t="s">
        <v>889</v>
      </c>
      <c r="Q4" s="33"/>
    </row>
    <row r="5" spans="1:17">
      <c r="A5" s="77" t="str">
        <f>"11031"</f>
        <v>11031</v>
      </c>
      <c r="B5" s="78" t="s">
        <v>892</v>
      </c>
      <c r="C5" s="75">
        <v>11015</v>
      </c>
      <c r="D5" s="76" t="s">
        <v>2996</v>
      </c>
      <c r="E5" s="76" t="s">
        <v>2989</v>
      </c>
      <c r="F5" s="76" t="s">
        <v>2997</v>
      </c>
      <c r="G5" s="76" t="s">
        <v>2991</v>
      </c>
      <c r="H5" s="76" t="s">
        <v>2998</v>
      </c>
      <c r="I5" s="76" t="str">
        <f t="shared" ref="I5:I68" si="0">E5&amp;" ("&amp;F5&amp;$I$1</f>
        <v>VORACHAKYONT (PETCHBURI)</v>
      </c>
      <c r="O5" s="162">
        <v>11031</v>
      </c>
      <c r="P5" s="164" t="s">
        <v>892</v>
      </c>
      <c r="Q5" s="33"/>
    </row>
    <row r="6" spans="1:17">
      <c r="A6" s="77" t="str">
        <f>"11049"</f>
        <v>11049</v>
      </c>
      <c r="B6" s="78" t="s">
        <v>895</v>
      </c>
      <c r="C6" s="75">
        <v>11015</v>
      </c>
      <c r="D6" s="76" t="s">
        <v>2999</v>
      </c>
      <c r="E6" s="76" t="s">
        <v>2989</v>
      </c>
      <c r="F6" s="76" t="s">
        <v>3000</v>
      </c>
      <c r="G6" s="76" t="s">
        <v>2991</v>
      </c>
      <c r="H6" s="76" t="s">
        <v>3001</v>
      </c>
      <c r="I6" s="76" t="str">
        <f t="shared" si="0"/>
        <v>VORACHAKYONT (THONBURI)</v>
      </c>
      <c r="O6" s="165">
        <v>11049</v>
      </c>
      <c r="P6" s="164" t="s">
        <v>895</v>
      </c>
      <c r="Q6" s="33"/>
    </row>
    <row r="7" spans="1:17">
      <c r="A7" s="77">
        <v>11056</v>
      </c>
      <c r="B7" s="78" t="s">
        <v>897</v>
      </c>
      <c r="C7" s="75">
        <v>11015</v>
      </c>
      <c r="D7" s="76" t="s">
        <v>3002</v>
      </c>
      <c r="E7" s="76" t="s">
        <v>2989</v>
      </c>
      <c r="F7" s="76" t="s">
        <v>3003</v>
      </c>
      <c r="G7" s="76" t="s">
        <v>2991</v>
      </c>
      <c r="H7" s="76" t="s">
        <v>3004</v>
      </c>
      <c r="I7" s="76" t="str">
        <f t="shared" si="0"/>
        <v>VORACHAKYONT (PAKNAM)</v>
      </c>
      <c r="O7" s="166">
        <v>11056</v>
      </c>
      <c r="P7" s="164" t="s">
        <v>897</v>
      </c>
      <c r="Q7" s="33"/>
    </row>
    <row r="8" spans="1:17">
      <c r="A8" s="77">
        <v>11064</v>
      </c>
      <c r="B8" s="78" t="s">
        <v>900</v>
      </c>
      <c r="C8" s="75">
        <v>11015</v>
      </c>
      <c r="D8" s="76" t="s">
        <v>3005</v>
      </c>
      <c r="E8" s="76" t="s">
        <v>2989</v>
      </c>
      <c r="F8" s="76" t="s">
        <v>3006</v>
      </c>
      <c r="G8" s="76" t="s">
        <v>2991</v>
      </c>
      <c r="H8" s="76" t="s">
        <v>3007</v>
      </c>
      <c r="I8" s="76" t="str">
        <f t="shared" si="0"/>
        <v>VORACHAKYONT (SRINAKARIN)</v>
      </c>
      <c r="O8" s="166">
        <v>11064</v>
      </c>
      <c r="P8" s="164" t="s">
        <v>900</v>
      </c>
      <c r="Q8" s="33"/>
    </row>
    <row r="9" spans="1:17">
      <c r="A9" s="79">
        <v>11072</v>
      </c>
      <c r="B9" s="80" t="s">
        <v>903</v>
      </c>
      <c r="C9" s="75">
        <v>11015</v>
      </c>
      <c r="D9" s="76" t="s">
        <v>3008</v>
      </c>
      <c r="E9" s="76" t="s">
        <v>2989</v>
      </c>
      <c r="F9" s="76" t="s">
        <v>3009</v>
      </c>
      <c r="G9" s="76" t="s">
        <v>2991</v>
      </c>
      <c r="H9" s="76" t="s">
        <v>3010</v>
      </c>
      <c r="I9" s="76" t="str">
        <f t="shared" si="0"/>
        <v>VORACHAKYONT (RAMA 2)</v>
      </c>
      <c r="O9" s="167">
        <v>11072</v>
      </c>
      <c r="P9" s="168" t="s">
        <v>903</v>
      </c>
      <c r="Q9" s="33"/>
    </row>
    <row r="10" spans="1:17">
      <c r="A10" s="81">
        <v>11080</v>
      </c>
      <c r="B10" s="82" t="s">
        <v>906</v>
      </c>
      <c r="C10" s="75">
        <v>11023</v>
      </c>
      <c r="D10" s="76" t="s">
        <v>3011</v>
      </c>
      <c r="E10" s="76" t="s">
        <v>3012</v>
      </c>
      <c r="F10" s="76" t="s">
        <v>3013</v>
      </c>
      <c r="G10" s="76" t="s">
        <v>3014</v>
      </c>
      <c r="H10" s="76" t="s">
        <v>3015</v>
      </c>
      <c r="I10" s="76" t="str">
        <f t="shared" si="0"/>
        <v>SPI (CHIENGKONG)</v>
      </c>
      <c r="O10" s="169">
        <v>11080</v>
      </c>
      <c r="P10" s="170" t="s">
        <v>906</v>
      </c>
      <c r="Q10" s="33"/>
    </row>
    <row r="11" spans="1:17">
      <c r="A11" s="81">
        <v>11098</v>
      </c>
      <c r="B11" s="82" t="s">
        <v>909</v>
      </c>
      <c r="C11" s="75">
        <v>11023</v>
      </c>
      <c r="D11" s="76" t="s">
        <v>3016</v>
      </c>
      <c r="E11" s="76" t="s">
        <v>3012</v>
      </c>
      <c r="F11" s="76" t="s">
        <v>3017</v>
      </c>
      <c r="G11" s="76" t="s">
        <v>3014</v>
      </c>
      <c r="H11" s="76" t="s">
        <v>3018</v>
      </c>
      <c r="I11" s="76" t="str">
        <f t="shared" si="0"/>
        <v>SPI (BANGKAE)</v>
      </c>
      <c r="O11" s="169">
        <v>11098</v>
      </c>
      <c r="P11" s="170" t="s">
        <v>909</v>
      </c>
      <c r="Q11" s="33"/>
    </row>
    <row r="12" spans="1:17">
      <c r="A12" s="81">
        <v>11106</v>
      </c>
      <c r="B12" s="82" t="s">
        <v>912</v>
      </c>
      <c r="C12" s="75">
        <v>11023</v>
      </c>
      <c r="D12" s="76" t="s">
        <v>3019</v>
      </c>
      <c r="E12" s="76" t="s">
        <v>3012</v>
      </c>
      <c r="F12" s="76" t="s">
        <v>3020</v>
      </c>
      <c r="G12" s="76" t="s">
        <v>3014</v>
      </c>
      <c r="H12" s="76" t="s">
        <v>3021</v>
      </c>
      <c r="I12" s="76" t="str">
        <f t="shared" si="0"/>
        <v>SPI (LADPRAO)</v>
      </c>
      <c r="O12" s="169">
        <v>11106</v>
      </c>
      <c r="P12" s="170" t="s">
        <v>912</v>
      </c>
      <c r="Q12" s="33"/>
    </row>
    <row r="13" spans="1:17">
      <c r="A13" s="81">
        <v>11112</v>
      </c>
      <c r="B13" s="82" t="s">
        <v>915</v>
      </c>
      <c r="C13" s="75">
        <v>11023</v>
      </c>
      <c r="D13" s="76" t="s">
        <v>3022</v>
      </c>
      <c r="E13" s="76" t="s">
        <v>3012</v>
      </c>
      <c r="F13" s="76" t="s">
        <v>3023</v>
      </c>
      <c r="G13" s="76" t="s">
        <v>3014</v>
      </c>
      <c r="H13" s="76" t="s">
        <v>3024</v>
      </c>
      <c r="I13" s="76" t="str">
        <f t="shared" si="0"/>
        <v>SPI (HUAMAK (HO.))</v>
      </c>
      <c r="O13" s="169">
        <v>11112</v>
      </c>
      <c r="P13" s="170" t="s">
        <v>915</v>
      </c>
      <c r="Q13" s="33"/>
    </row>
    <row r="14" spans="1:17">
      <c r="A14" s="81">
        <v>11116</v>
      </c>
      <c r="B14" s="82" t="s">
        <v>918</v>
      </c>
      <c r="C14" s="75">
        <v>11023</v>
      </c>
      <c r="D14" s="76" t="s">
        <v>3025</v>
      </c>
      <c r="E14" s="76" t="s">
        <v>3012</v>
      </c>
      <c r="F14" s="76" t="s">
        <v>3026</v>
      </c>
      <c r="G14" s="76" t="s">
        <v>3014</v>
      </c>
      <c r="H14" s="76" t="s">
        <v>3027</v>
      </c>
      <c r="I14" s="76" t="str">
        <f t="shared" si="0"/>
        <v>SPI (SUKLAPHIBAL2)</v>
      </c>
      <c r="O14" s="169">
        <v>11116</v>
      </c>
      <c r="P14" s="170" t="s">
        <v>918</v>
      </c>
      <c r="Q14" s="33"/>
    </row>
    <row r="15" spans="1:17">
      <c r="A15" s="81">
        <v>11130</v>
      </c>
      <c r="B15" s="82" t="s">
        <v>921</v>
      </c>
      <c r="C15" s="75">
        <v>11023</v>
      </c>
      <c r="D15" s="76" t="s">
        <v>3028</v>
      </c>
      <c r="E15" s="76" t="s">
        <v>3012</v>
      </c>
      <c r="F15" s="76" t="s">
        <v>3003</v>
      </c>
      <c r="G15" s="76" t="s">
        <v>3014</v>
      </c>
      <c r="H15" s="76" t="s">
        <v>3004</v>
      </c>
      <c r="I15" s="76" t="str">
        <f t="shared" si="0"/>
        <v>SPI (PAKNAM)</v>
      </c>
      <c r="O15" s="169">
        <v>11130</v>
      </c>
      <c r="P15" s="170" t="s">
        <v>921</v>
      </c>
      <c r="Q15" s="33"/>
    </row>
    <row r="16" spans="1:17">
      <c r="A16" s="81">
        <v>11148</v>
      </c>
      <c r="B16" s="82" t="s">
        <v>924</v>
      </c>
      <c r="C16" s="75">
        <v>11023</v>
      </c>
      <c r="D16" s="76" t="s">
        <v>3029</v>
      </c>
      <c r="E16" s="76" t="s">
        <v>3012</v>
      </c>
      <c r="F16" s="76" t="s">
        <v>3030</v>
      </c>
      <c r="G16" s="76" t="s">
        <v>3014</v>
      </c>
      <c r="H16" s="76" t="s">
        <v>3031</v>
      </c>
      <c r="I16" s="76" t="str">
        <f t="shared" si="0"/>
        <v>SPI (TAEPRARAK)</v>
      </c>
      <c r="O16" s="169">
        <v>11148</v>
      </c>
      <c r="P16" s="170" t="s">
        <v>924</v>
      </c>
      <c r="Q16" s="33"/>
    </row>
    <row r="17" spans="1:17">
      <c r="A17" s="81">
        <v>11163</v>
      </c>
      <c r="B17" s="82" t="s">
        <v>930</v>
      </c>
      <c r="C17" s="75">
        <v>11023</v>
      </c>
      <c r="D17" s="76" t="s">
        <v>3032</v>
      </c>
      <c r="E17" s="76" t="s">
        <v>3012</v>
      </c>
      <c r="F17" s="76" t="s">
        <v>3033</v>
      </c>
      <c r="G17" s="76" t="s">
        <v>3014</v>
      </c>
      <c r="H17" s="76" t="s">
        <v>3034</v>
      </c>
      <c r="I17" s="76" t="str">
        <f t="shared" si="0"/>
        <v>SPI (RATCHAPRUEK)</v>
      </c>
      <c r="O17" s="169">
        <v>11163</v>
      </c>
      <c r="P17" s="170" t="s">
        <v>930</v>
      </c>
      <c r="Q17" s="33"/>
    </row>
    <row r="18" spans="1:17">
      <c r="A18" s="81">
        <v>11171</v>
      </c>
      <c r="B18" s="82" t="s">
        <v>933</v>
      </c>
      <c r="C18" s="75">
        <v>11031</v>
      </c>
      <c r="D18" s="76" t="s">
        <v>3035</v>
      </c>
      <c r="E18" s="76" t="s">
        <v>3036</v>
      </c>
      <c r="F18" s="76" t="s">
        <v>2994</v>
      </c>
      <c r="G18" s="76" t="s">
        <v>3037</v>
      </c>
      <c r="H18" s="76" t="s">
        <v>2995</v>
      </c>
      <c r="I18" s="76" t="str">
        <f t="shared" si="0"/>
        <v>CHAROENTHAI (PAHOLYOTHIN)</v>
      </c>
      <c r="O18" s="169">
        <v>11171</v>
      </c>
      <c r="P18" s="170" t="s">
        <v>933</v>
      </c>
      <c r="Q18" s="33"/>
    </row>
    <row r="19" spans="1:17">
      <c r="A19" s="81">
        <v>11189</v>
      </c>
      <c r="B19" s="82" t="s">
        <v>938</v>
      </c>
      <c r="C19" s="75">
        <v>11031</v>
      </c>
      <c r="D19" s="76" t="s">
        <v>3038</v>
      </c>
      <c r="E19" s="76" t="s">
        <v>3036</v>
      </c>
      <c r="F19" s="76" t="s">
        <v>3039</v>
      </c>
      <c r="G19" s="76" t="s">
        <v>3037</v>
      </c>
      <c r="H19" s="76" t="s">
        <v>3040</v>
      </c>
      <c r="I19" s="76" t="str">
        <f t="shared" si="0"/>
        <v>CHAROENTHAI (SUKHUMVIT 71)</v>
      </c>
      <c r="O19" s="169">
        <v>11189</v>
      </c>
      <c r="P19" s="170" t="s">
        <v>938</v>
      </c>
      <c r="Q19" s="33"/>
    </row>
    <row r="20" spans="1:17">
      <c r="A20" s="81">
        <v>11197</v>
      </c>
      <c r="B20" s="82" t="s">
        <v>941</v>
      </c>
      <c r="C20" s="75">
        <v>11031</v>
      </c>
      <c r="D20" s="76" t="s">
        <v>3041</v>
      </c>
      <c r="E20" s="76" t="s">
        <v>3036</v>
      </c>
      <c r="F20" s="76" t="s">
        <v>3042</v>
      </c>
      <c r="G20" s="76" t="s">
        <v>3037</v>
      </c>
      <c r="H20" s="76" t="s">
        <v>3043</v>
      </c>
      <c r="I20" s="76" t="str">
        <f t="shared" si="0"/>
        <v>CHAROENTHAI (PATTANAKARN)</v>
      </c>
      <c r="O20" s="169">
        <v>11197</v>
      </c>
      <c r="P20" s="170" t="s">
        <v>941</v>
      </c>
      <c r="Q20" s="33"/>
    </row>
    <row r="21" spans="1:17">
      <c r="A21" s="81">
        <v>11205</v>
      </c>
      <c r="B21" s="82" t="s">
        <v>944</v>
      </c>
      <c r="C21" s="75">
        <v>11031</v>
      </c>
      <c r="D21" s="76" t="s">
        <v>3044</v>
      </c>
      <c r="E21" s="76" t="s">
        <v>3036</v>
      </c>
      <c r="F21" s="76" t="s">
        <v>3006</v>
      </c>
      <c r="G21" s="76" t="s">
        <v>3037</v>
      </c>
      <c r="H21" s="76" t="s">
        <v>3007</v>
      </c>
      <c r="I21" s="76" t="str">
        <f t="shared" si="0"/>
        <v>CHAROENTHAI (SRINAKARIN)</v>
      </c>
      <c r="O21" s="169">
        <v>11205</v>
      </c>
      <c r="P21" s="170" t="s">
        <v>944</v>
      </c>
      <c r="Q21" s="33"/>
    </row>
    <row r="22" spans="1:17">
      <c r="A22" s="81">
        <v>11213</v>
      </c>
      <c r="B22" s="82" t="s">
        <v>947</v>
      </c>
      <c r="C22" s="75">
        <v>11031</v>
      </c>
      <c r="D22" s="76" t="s">
        <v>3045</v>
      </c>
      <c r="E22" s="76" t="s">
        <v>3036</v>
      </c>
      <c r="F22" s="76" t="s">
        <v>3046</v>
      </c>
      <c r="G22" s="76" t="s">
        <v>3037</v>
      </c>
      <c r="H22" s="76" t="s">
        <v>3047</v>
      </c>
      <c r="I22" s="76" t="str">
        <f t="shared" si="0"/>
        <v>CHAROENTHAI (NAWAMIN)</v>
      </c>
      <c r="O22" s="169">
        <v>11213</v>
      </c>
      <c r="P22" s="170" t="s">
        <v>947</v>
      </c>
      <c r="Q22" s="33"/>
    </row>
    <row r="23" spans="1:17">
      <c r="A23" s="81">
        <v>11221</v>
      </c>
      <c r="B23" s="82" t="s">
        <v>950</v>
      </c>
      <c r="C23" s="75">
        <v>11031</v>
      </c>
      <c r="D23" s="76" t="s">
        <v>3048</v>
      </c>
      <c r="E23" s="76" t="s">
        <v>3036</v>
      </c>
      <c r="F23" s="76" t="s">
        <v>3049</v>
      </c>
      <c r="G23" s="76" t="s">
        <v>3037</v>
      </c>
      <c r="H23" s="76" t="s">
        <v>3050</v>
      </c>
      <c r="I23" s="76" t="str">
        <f t="shared" si="0"/>
        <v>CHAROENTHAI (VIPAVADEE-DINDEANG)</v>
      </c>
      <c r="O23" s="169">
        <v>11221</v>
      </c>
      <c r="P23" s="170" t="s">
        <v>950</v>
      </c>
      <c r="Q23" s="33"/>
    </row>
    <row r="24" spans="1:17">
      <c r="A24" s="81">
        <v>11239</v>
      </c>
      <c r="B24" s="82" t="s">
        <v>953</v>
      </c>
      <c r="C24" s="75">
        <v>11049</v>
      </c>
      <c r="D24" s="76" t="s">
        <v>3051</v>
      </c>
      <c r="E24" s="76" t="s">
        <v>3052</v>
      </c>
      <c r="F24" s="76" t="s">
        <v>2997</v>
      </c>
      <c r="G24" s="76" t="s">
        <v>3053</v>
      </c>
      <c r="H24" s="76" t="s">
        <v>3054</v>
      </c>
      <c r="I24" s="76" t="str">
        <f t="shared" si="0"/>
        <v>PITHAN BKK (PETCHBURI)</v>
      </c>
      <c r="O24" s="169">
        <v>11239</v>
      </c>
      <c r="P24" s="170" t="s">
        <v>953</v>
      </c>
      <c r="Q24" s="33"/>
    </row>
    <row r="25" spans="1:17">
      <c r="A25" s="81">
        <v>11247</v>
      </c>
      <c r="B25" s="82" t="s">
        <v>956</v>
      </c>
      <c r="C25" s="75">
        <v>11049</v>
      </c>
      <c r="D25" s="76" t="s">
        <v>3055</v>
      </c>
      <c r="E25" s="76" t="s">
        <v>3052</v>
      </c>
      <c r="F25" s="76" t="s">
        <v>3056</v>
      </c>
      <c r="G25" s="76" t="s">
        <v>3053</v>
      </c>
      <c r="H25" s="76" t="s">
        <v>3057</v>
      </c>
      <c r="I25" s="76" t="str">
        <f t="shared" si="0"/>
        <v>PITHAN BKK (SURAWONGSE)</v>
      </c>
      <c r="O25" s="169">
        <v>11247</v>
      </c>
      <c r="P25" s="170" t="s">
        <v>956</v>
      </c>
      <c r="Q25" s="33"/>
    </row>
    <row r="26" spans="1:17">
      <c r="A26" s="81">
        <v>11254</v>
      </c>
      <c r="B26" s="82" t="s">
        <v>959</v>
      </c>
      <c r="C26" s="75">
        <v>11049</v>
      </c>
      <c r="D26" s="76" t="s">
        <v>3058</v>
      </c>
      <c r="E26" s="76" t="s">
        <v>3052</v>
      </c>
      <c r="F26" s="76" t="s">
        <v>3059</v>
      </c>
      <c r="G26" s="76" t="s">
        <v>3053</v>
      </c>
      <c r="H26" s="76" t="s">
        <v>3060</v>
      </c>
      <c r="I26" s="76" t="str">
        <f t="shared" si="0"/>
        <v>PITHAN BKK (RAM INDHA)</v>
      </c>
      <c r="O26" s="169">
        <v>11254</v>
      </c>
      <c r="P26" s="170" t="s">
        <v>959</v>
      </c>
      <c r="Q26" s="33"/>
    </row>
    <row r="27" spans="1:17">
      <c r="A27" s="81">
        <v>11262</v>
      </c>
      <c r="B27" s="82" t="s">
        <v>962</v>
      </c>
      <c r="C27" s="75">
        <v>11049</v>
      </c>
      <c r="D27" s="76" t="s">
        <v>3061</v>
      </c>
      <c r="E27" s="76" t="s">
        <v>3052</v>
      </c>
      <c r="F27" s="76" t="s">
        <v>3062</v>
      </c>
      <c r="G27" s="76" t="s">
        <v>3053</v>
      </c>
      <c r="H27" s="76" t="s">
        <v>3063</v>
      </c>
      <c r="I27" s="76" t="str">
        <f t="shared" si="0"/>
        <v>PITHAN BKK (TAWEEWATTANA)</v>
      </c>
      <c r="O27" s="169">
        <v>11262</v>
      </c>
      <c r="P27" s="170" t="s">
        <v>962</v>
      </c>
      <c r="Q27" s="33"/>
    </row>
    <row r="28" spans="1:17">
      <c r="A28" s="81">
        <v>11270</v>
      </c>
      <c r="B28" s="82" t="s">
        <v>965</v>
      </c>
      <c r="C28" s="75">
        <v>11049</v>
      </c>
      <c r="D28" s="76" t="s">
        <v>3064</v>
      </c>
      <c r="E28" s="76" t="s">
        <v>3052</v>
      </c>
      <c r="F28" s="76" t="s">
        <v>3065</v>
      </c>
      <c r="G28" s="76" t="s">
        <v>3053</v>
      </c>
      <c r="H28" s="76" t="s">
        <v>3066</v>
      </c>
      <c r="I28" s="76" t="str">
        <f t="shared" si="0"/>
        <v>PITHAN BKK (SUKSAWAT)</v>
      </c>
      <c r="O28" s="169">
        <v>11270</v>
      </c>
      <c r="P28" s="170" t="s">
        <v>965</v>
      </c>
      <c r="Q28" s="33"/>
    </row>
    <row r="29" spans="1:17">
      <c r="A29" s="81">
        <v>11288</v>
      </c>
      <c r="B29" s="82" t="s">
        <v>968</v>
      </c>
      <c r="C29" s="75">
        <v>11056</v>
      </c>
      <c r="D29" s="76" t="s">
        <v>3067</v>
      </c>
      <c r="E29" s="76" t="s">
        <v>3068</v>
      </c>
      <c r="F29" s="76" t="s">
        <v>3069</v>
      </c>
      <c r="G29" s="76" t="s">
        <v>3070</v>
      </c>
      <c r="H29" s="76" t="s">
        <v>3071</v>
      </c>
      <c r="I29" s="76" t="str">
        <f t="shared" si="0"/>
        <v>BARAWINSOR (U-CHE LIANG)</v>
      </c>
      <c r="O29" s="169">
        <v>11288</v>
      </c>
      <c r="P29" s="170" t="s">
        <v>968</v>
      </c>
      <c r="Q29" s="33"/>
    </row>
    <row r="30" spans="1:17">
      <c r="A30" s="81">
        <v>11296</v>
      </c>
      <c r="B30" s="82" t="s">
        <v>971</v>
      </c>
      <c r="C30" s="75">
        <v>11056</v>
      </c>
      <c r="D30" s="76" t="s">
        <v>3072</v>
      </c>
      <c r="E30" s="76" t="s">
        <v>3068</v>
      </c>
      <c r="F30" s="76" t="s">
        <v>3006</v>
      </c>
      <c r="G30" s="76" t="s">
        <v>3070</v>
      </c>
      <c r="H30" s="76" t="s">
        <v>3007</v>
      </c>
      <c r="I30" s="76" t="str">
        <f t="shared" si="0"/>
        <v>BARAWINSOR (SRINAKARIN)</v>
      </c>
      <c r="O30" s="169">
        <v>11296</v>
      </c>
      <c r="P30" s="170" t="s">
        <v>971</v>
      </c>
      <c r="Q30" s="33"/>
    </row>
    <row r="31" spans="1:17">
      <c r="A31" s="81">
        <v>11304</v>
      </c>
      <c r="B31" s="82" t="s">
        <v>974</v>
      </c>
      <c r="C31" s="75">
        <v>11056</v>
      </c>
      <c r="D31" s="76" t="s">
        <v>3073</v>
      </c>
      <c r="E31" s="76" t="s">
        <v>3068</v>
      </c>
      <c r="F31" s="76" t="s">
        <v>3074</v>
      </c>
      <c r="G31" s="76" t="s">
        <v>3070</v>
      </c>
      <c r="H31" s="76" t="s">
        <v>3075</v>
      </c>
      <c r="I31" s="76" t="str">
        <f t="shared" si="0"/>
        <v>BARAWINSOR (LADKRABANG)</v>
      </c>
      <c r="O31" s="169">
        <v>11304</v>
      </c>
      <c r="P31" s="170" t="s">
        <v>974</v>
      </c>
      <c r="Q31" s="33"/>
    </row>
    <row r="32" spans="1:17">
      <c r="A32" s="81">
        <v>11312</v>
      </c>
      <c r="B32" s="82" t="s">
        <v>977</v>
      </c>
      <c r="C32" s="75">
        <v>11064</v>
      </c>
      <c r="D32" s="76" t="s">
        <v>3076</v>
      </c>
      <c r="E32" s="76" t="s">
        <v>3077</v>
      </c>
      <c r="F32" s="76" t="s">
        <v>3078</v>
      </c>
      <c r="G32" s="76" t="s">
        <v>3079</v>
      </c>
      <c r="H32" s="76" t="s">
        <v>3080</v>
      </c>
      <c r="I32" s="76" t="str">
        <f t="shared" si="0"/>
        <v>KRUNGTHEPYONT (RAMA 9)</v>
      </c>
      <c r="O32" s="169">
        <v>11312</v>
      </c>
      <c r="P32" s="170" t="s">
        <v>977</v>
      </c>
      <c r="Q32" s="33"/>
    </row>
    <row r="33" spans="1:17">
      <c r="A33" s="81">
        <v>11320</v>
      </c>
      <c r="B33" s="82" t="s">
        <v>980</v>
      </c>
      <c r="C33" s="75">
        <v>11064</v>
      </c>
      <c r="D33" s="76" t="s">
        <v>3081</v>
      </c>
      <c r="E33" s="76" t="s">
        <v>3077</v>
      </c>
      <c r="F33" s="76" t="s">
        <v>3082</v>
      </c>
      <c r="G33" s="76" t="s">
        <v>3079</v>
      </c>
      <c r="H33" s="76" t="s">
        <v>3083</v>
      </c>
      <c r="I33" s="76" t="str">
        <f t="shared" si="0"/>
        <v>KRUNGTHEPYONT (PRACHA-U-THID)</v>
      </c>
      <c r="O33" s="169">
        <v>11320</v>
      </c>
      <c r="P33" s="170" t="s">
        <v>980</v>
      </c>
      <c r="Q33" s="33"/>
    </row>
    <row r="34" spans="1:17">
      <c r="A34" s="81">
        <v>11338</v>
      </c>
      <c r="B34" s="82" t="s">
        <v>982</v>
      </c>
      <c r="C34" s="75">
        <v>11064</v>
      </c>
      <c r="D34" s="76" t="s">
        <v>3084</v>
      </c>
      <c r="E34" s="76" t="s">
        <v>3077</v>
      </c>
      <c r="F34" s="76" t="s">
        <v>3085</v>
      </c>
      <c r="G34" s="76" t="s">
        <v>3079</v>
      </c>
      <c r="H34" s="76" t="s">
        <v>3086</v>
      </c>
      <c r="I34" s="76" t="str">
        <f t="shared" si="0"/>
        <v>KRUNGTHEPYONT (WONGSAWANG)</v>
      </c>
      <c r="O34" s="169">
        <v>11338</v>
      </c>
      <c r="P34" s="170" t="s">
        <v>982</v>
      </c>
      <c r="Q34" s="33"/>
    </row>
    <row r="35" spans="1:17">
      <c r="A35" s="81">
        <v>11346</v>
      </c>
      <c r="B35" s="82" t="s">
        <v>984</v>
      </c>
      <c r="C35" s="75">
        <v>11072</v>
      </c>
      <c r="D35" s="76" t="s">
        <v>3087</v>
      </c>
      <c r="E35" s="76" t="s">
        <v>3088</v>
      </c>
      <c r="F35" s="76" t="s">
        <v>3089</v>
      </c>
      <c r="G35" s="76" t="s">
        <v>3090</v>
      </c>
      <c r="H35" s="76" t="s">
        <v>3091</v>
      </c>
      <c r="I35" s="76" t="str">
        <f t="shared" si="0"/>
        <v>K.MOTORS (LIABMAENAM)</v>
      </c>
      <c r="O35" s="169">
        <v>11346</v>
      </c>
      <c r="P35" s="170" t="s">
        <v>984</v>
      </c>
      <c r="Q35" s="33"/>
    </row>
    <row r="36" spans="1:17">
      <c r="A36" s="81">
        <v>11555</v>
      </c>
      <c r="B36" s="82" t="s">
        <v>927</v>
      </c>
      <c r="C36" s="75">
        <v>11072</v>
      </c>
      <c r="D36" s="76" t="s">
        <v>3092</v>
      </c>
      <c r="E36" s="76" t="s">
        <v>3088</v>
      </c>
      <c r="F36" s="76" t="s">
        <v>3093</v>
      </c>
      <c r="G36" s="76" t="s">
        <v>3090</v>
      </c>
      <c r="H36" s="76" t="s">
        <v>3094</v>
      </c>
      <c r="I36" s="76" t="str">
        <f t="shared" si="0"/>
        <v>K.MOTORS (EAKCHAI)</v>
      </c>
      <c r="O36" s="169">
        <v>11555</v>
      </c>
      <c r="P36" s="170" t="s">
        <v>927</v>
      </c>
      <c r="Q36" s="33"/>
    </row>
    <row r="37" spans="1:17">
      <c r="A37" s="81">
        <v>12013</v>
      </c>
      <c r="B37" s="82" t="s">
        <v>986</v>
      </c>
      <c r="C37" s="75">
        <v>11072</v>
      </c>
      <c r="D37" s="76" t="s">
        <v>3095</v>
      </c>
      <c r="E37" s="76" t="s">
        <v>3088</v>
      </c>
      <c r="F37" s="76" t="s">
        <v>3096</v>
      </c>
      <c r="G37" s="76" t="s">
        <v>3090</v>
      </c>
      <c r="H37" s="76" t="s">
        <v>3097</v>
      </c>
      <c r="I37" s="76" t="str">
        <f t="shared" si="0"/>
        <v>K.MOTORS (PHAPRADANG)</v>
      </c>
      <c r="O37" s="169">
        <v>12013</v>
      </c>
      <c r="P37" s="170" t="s">
        <v>986</v>
      </c>
      <c r="Q37" s="33"/>
    </row>
    <row r="38" spans="1:17">
      <c r="A38" s="79">
        <v>12021</v>
      </c>
      <c r="B38" s="80" t="s">
        <v>988</v>
      </c>
      <c r="C38" s="75">
        <v>11072</v>
      </c>
      <c r="D38" s="76" t="s">
        <v>3098</v>
      </c>
      <c r="E38" s="76" t="s">
        <v>3088</v>
      </c>
      <c r="F38" s="76" t="s">
        <v>3099</v>
      </c>
      <c r="G38" s="76" t="s">
        <v>3090</v>
      </c>
      <c r="H38" s="76" t="s">
        <v>3100</v>
      </c>
      <c r="I38" s="76" t="str">
        <f t="shared" si="0"/>
        <v>K.MOTORS (SUKHUMVIT 43)</v>
      </c>
      <c r="O38" s="167">
        <v>12021</v>
      </c>
      <c r="P38" s="168" t="s">
        <v>988</v>
      </c>
      <c r="Q38" s="33"/>
    </row>
    <row r="39" spans="1:17">
      <c r="A39" s="81">
        <v>12039</v>
      </c>
      <c r="B39" s="82" t="s">
        <v>990</v>
      </c>
      <c r="C39" s="75">
        <v>11072</v>
      </c>
      <c r="D39" s="76" t="s">
        <v>3101</v>
      </c>
      <c r="E39" s="76" t="s">
        <v>3088</v>
      </c>
      <c r="F39" s="76" t="s">
        <v>3020</v>
      </c>
      <c r="G39" s="76" t="s">
        <v>3090</v>
      </c>
      <c r="H39" s="76" t="s">
        <v>3021</v>
      </c>
      <c r="I39" s="76" t="str">
        <f t="shared" si="0"/>
        <v>K.MOTORS (LADPRAO)</v>
      </c>
      <c r="O39" s="169">
        <v>12039</v>
      </c>
      <c r="P39" s="170" t="s">
        <v>990</v>
      </c>
      <c r="Q39" s="33"/>
    </row>
    <row r="40" spans="1:17">
      <c r="A40" s="81">
        <v>12047</v>
      </c>
      <c r="B40" s="82" t="s">
        <v>992</v>
      </c>
      <c r="C40" s="75">
        <v>11072</v>
      </c>
      <c r="D40" s="76" t="s">
        <v>3102</v>
      </c>
      <c r="E40" s="76" t="s">
        <v>3088</v>
      </c>
      <c r="F40" s="76" t="s">
        <v>3103</v>
      </c>
      <c r="G40" s="76" t="s">
        <v>3090</v>
      </c>
      <c r="H40" s="76" t="s">
        <v>3104</v>
      </c>
      <c r="I40" s="76" t="str">
        <f t="shared" si="0"/>
        <v>K.MOTORS (RAMKHAMHEANG)</v>
      </c>
      <c r="O40" s="169">
        <v>12047</v>
      </c>
      <c r="P40" s="170" t="s">
        <v>992</v>
      </c>
      <c r="Q40" s="33"/>
    </row>
    <row r="41" spans="1:17">
      <c r="A41" s="81">
        <v>12054</v>
      </c>
      <c r="B41" s="82" t="s">
        <v>994</v>
      </c>
      <c r="C41" s="75">
        <v>11072</v>
      </c>
      <c r="D41" s="76" t="s">
        <v>3105</v>
      </c>
      <c r="E41" s="76" t="s">
        <v>3088</v>
      </c>
      <c r="F41" s="76" t="s">
        <v>3106</v>
      </c>
      <c r="G41" s="76" t="s">
        <v>3090</v>
      </c>
      <c r="H41" s="76" t="s">
        <v>3107</v>
      </c>
      <c r="I41" s="76" t="str">
        <f t="shared" si="0"/>
        <v>K.MOTORS (SUKLAPHIBAL 1)</v>
      </c>
      <c r="O41" s="169">
        <v>12054</v>
      </c>
      <c r="P41" s="170" t="s">
        <v>994</v>
      </c>
      <c r="Q41" s="33"/>
    </row>
    <row r="42" spans="1:17">
      <c r="A42" s="81">
        <v>12062</v>
      </c>
      <c r="B42" s="82" t="s">
        <v>996</v>
      </c>
      <c r="C42" s="75">
        <v>11072</v>
      </c>
      <c r="D42" s="76" t="s">
        <v>3108</v>
      </c>
      <c r="E42" s="76" t="s">
        <v>3088</v>
      </c>
      <c r="F42" s="76" t="s">
        <v>3109</v>
      </c>
      <c r="G42" s="76" t="s">
        <v>3090</v>
      </c>
      <c r="H42" s="76" t="s">
        <v>3110</v>
      </c>
      <c r="I42" s="76" t="str">
        <f t="shared" si="0"/>
        <v>K.MOTORS (CHAN ROAD)</v>
      </c>
      <c r="O42" s="169">
        <v>12062</v>
      </c>
      <c r="P42" s="170" t="s">
        <v>996</v>
      </c>
      <c r="Q42" s="33"/>
    </row>
    <row r="43" spans="1:17">
      <c r="A43" s="81">
        <v>12088</v>
      </c>
      <c r="B43" s="82" t="s">
        <v>1000</v>
      </c>
      <c r="C43" s="75">
        <v>11072</v>
      </c>
      <c r="D43" s="76" t="s">
        <v>3111</v>
      </c>
      <c r="E43" s="76" t="s">
        <v>3088</v>
      </c>
      <c r="F43" s="76" t="s">
        <v>3112</v>
      </c>
      <c r="G43" s="76" t="s">
        <v>3090</v>
      </c>
      <c r="H43" s="76" t="s">
        <v>3113</v>
      </c>
      <c r="I43" s="76" t="str">
        <f t="shared" si="0"/>
        <v>K.MOTORS (PETCHKASEAM)</v>
      </c>
      <c r="O43" s="169">
        <v>12088</v>
      </c>
      <c r="P43" s="170" t="s">
        <v>1000</v>
      </c>
      <c r="Q43" s="33"/>
    </row>
    <row r="44" spans="1:17">
      <c r="A44" s="81">
        <v>12104</v>
      </c>
      <c r="B44" s="82" t="s">
        <v>1002</v>
      </c>
      <c r="C44" s="75">
        <v>11072</v>
      </c>
      <c r="D44" s="76" t="s">
        <v>3114</v>
      </c>
      <c r="E44" s="76" t="s">
        <v>3088</v>
      </c>
      <c r="F44" s="76" t="s">
        <v>3059</v>
      </c>
      <c r="G44" s="76" t="s">
        <v>3090</v>
      </c>
      <c r="H44" s="76" t="s">
        <v>3060</v>
      </c>
      <c r="I44" s="76" t="str">
        <f t="shared" si="0"/>
        <v>K.MOTORS (RAM INDHA)</v>
      </c>
      <c r="O44" s="169">
        <v>12104</v>
      </c>
      <c r="P44" s="170" t="s">
        <v>1002</v>
      </c>
      <c r="Q44" s="33"/>
    </row>
    <row r="45" spans="1:17">
      <c r="A45" s="81">
        <v>12112</v>
      </c>
      <c r="B45" s="82" t="s">
        <v>1004</v>
      </c>
      <c r="C45" s="75">
        <v>11072</v>
      </c>
      <c r="D45" s="76" t="s">
        <v>3115</v>
      </c>
      <c r="E45" s="76" t="s">
        <v>3088</v>
      </c>
      <c r="F45" s="76" t="s">
        <v>3116</v>
      </c>
      <c r="G45" s="76" t="s">
        <v>3090</v>
      </c>
      <c r="H45" s="76" t="s">
        <v>3117</v>
      </c>
      <c r="I45" s="76" t="str">
        <f t="shared" si="0"/>
        <v>K.MOTORS (SAPANMAI)</v>
      </c>
      <c r="O45" s="169">
        <v>12112</v>
      </c>
      <c r="P45" s="170" t="s">
        <v>1004</v>
      </c>
      <c r="Q45" s="33"/>
    </row>
    <row r="46" spans="1:17">
      <c r="A46" s="81">
        <v>12120</v>
      </c>
      <c r="B46" s="82" t="s">
        <v>1006</v>
      </c>
      <c r="C46" s="75">
        <v>11072</v>
      </c>
      <c r="D46" s="76" t="s">
        <v>3118</v>
      </c>
      <c r="E46" s="76" t="s">
        <v>3088</v>
      </c>
      <c r="F46" s="76" t="s">
        <v>3119</v>
      </c>
      <c r="G46" s="76" t="s">
        <v>3120</v>
      </c>
      <c r="H46" s="76" t="s">
        <v>3121</v>
      </c>
      <c r="I46" s="76" t="str">
        <f t="shared" si="0"/>
        <v>K.MOTORS (BANGJAK)</v>
      </c>
      <c r="O46" s="169">
        <v>12120</v>
      </c>
      <c r="P46" s="170" t="s">
        <v>1006</v>
      </c>
      <c r="Q46" s="33"/>
    </row>
    <row r="47" spans="1:17">
      <c r="A47" s="81">
        <v>12138</v>
      </c>
      <c r="B47" s="82" t="s">
        <v>1020</v>
      </c>
      <c r="C47" s="75">
        <v>11072</v>
      </c>
      <c r="D47" s="76" t="s">
        <v>3122</v>
      </c>
      <c r="E47" s="76" t="s">
        <v>3088</v>
      </c>
      <c r="F47" s="76" t="s">
        <v>3082</v>
      </c>
      <c r="G47" s="76" t="s">
        <v>3120</v>
      </c>
      <c r="H47" s="76" t="s">
        <v>3083</v>
      </c>
      <c r="I47" s="76" t="str">
        <f t="shared" si="0"/>
        <v>K.MOTORS (PRACHA-U-THID)</v>
      </c>
      <c r="O47" s="169">
        <v>12138</v>
      </c>
      <c r="P47" s="170" t="s">
        <v>1020</v>
      </c>
      <c r="Q47" s="33"/>
    </row>
    <row r="48" spans="1:17">
      <c r="A48" s="83">
        <v>12146</v>
      </c>
      <c r="B48" s="84" t="s">
        <v>887</v>
      </c>
      <c r="C48" s="75">
        <v>11072</v>
      </c>
      <c r="D48" s="76" t="s">
        <v>3123</v>
      </c>
      <c r="E48" s="76" t="s">
        <v>3088</v>
      </c>
      <c r="F48" s="76" t="s">
        <v>3124</v>
      </c>
      <c r="G48" s="76" t="s">
        <v>3090</v>
      </c>
      <c r="H48" s="76" t="s">
        <v>3125</v>
      </c>
      <c r="I48" s="76" t="str">
        <f t="shared" si="0"/>
        <v>K.MOTORS (BANGKLO)</v>
      </c>
      <c r="O48" s="171">
        <v>12146</v>
      </c>
      <c r="P48" s="172" t="s">
        <v>887</v>
      </c>
      <c r="Q48" s="33"/>
    </row>
    <row r="49" spans="1:17">
      <c r="A49" s="85">
        <v>12153</v>
      </c>
      <c r="B49" s="86" t="s">
        <v>890</v>
      </c>
      <c r="C49" s="75">
        <v>11072</v>
      </c>
      <c r="D49" s="76" t="s">
        <v>3126</v>
      </c>
      <c r="E49" s="76" t="s">
        <v>3088</v>
      </c>
      <c r="F49" s="76" t="s">
        <v>3127</v>
      </c>
      <c r="G49" s="76" t="s">
        <v>3090</v>
      </c>
      <c r="H49" s="76" t="s">
        <v>3128</v>
      </c>
      <c r="I49" s="76" t="str">
        <f t="shared" si="0"/>
        <v>K.MOTORS (HUAYKHWANG)</v>
      </c>
      <c r="O49" s="173">
        <v>12153</v>
      </c>
      <c r="P49" s="174" t="s">
        <v>890</v>
      </c>
      <c r="Q49" s="33"/>
    </row>
    <row r="50" spans="1:17">
      <c r="A50" s="87">
        <v>12162</v>
      </c>
      <c r="B50" s="82" t="s">
        <v>893</v>
      </c>
      <c r="C50" s="75">
        <v>11072</v>
      </c>
      <c r="D50" s="76" t="s">
        <v>3129</v>
      </c>
      <c r="E50" s="76" t="s">
        <v>3088</v>
      </c>
      <c r="F50" s="76" t="s">
        <v>3130</v>
      </c>
      <c r="G50" s="76" t="s">
        <v>3090</v>
      </c>
      <c r="H50" s="76" t="s">
        <v>3131</v>
      </c>
      <c r="I50" s="76" t="str">
        <f t="shared" si="0"/>
        <v>K.MOTORS (SRINAKARINTEPARUK)</v>
      </c>
      <c r="O50" s="175">
        <v>12162</v>
      </c>
      <c r="P50" s="170" t="s">
        <v>893</v>
      </c>
      <c r="Q50" s="33"/>
    </row>
    <row r="51" spans="1:17">
      <c r="A51" s="87">
        <v>12179</v>
      </c>
      <c r="B51" s="82" t="s">
        <v>896</v>
      </c>
      <c r="C51" s="75">
        <v>11072</v>
      </c>
      <c r="D51" s="76" t="s">
        <v>3132</v>
      </c>
      <c r="E51" s="76" t="s">
        <v>3088</v>
      </c>
      <c r="F51" s="76" t="s">
        <v>3133</v>
      </c>
      <c r="G51" s="76" t="s">
        <v>3090</v>
      </c>
      <c r="H51" s="76" t="s">
        <v>3134</v>
      </c>
      <c r="I51" s="76" t="str">
        <f t="shared" si="0"/>
        <v>K.MOTORS (VIPAWADEE 60)</v>
      </c>
      <c r="O51" s="175">
        <v>12179</v>
      </c>
      <c r="P51" s="170" t="s">
        <v>896</v>
      </c>
      <c r="Q51" s="33"/>
    </row>
    <row r="52" spans="1:17">
      <c r="A52" s="87">
        <v>12187</v>
      </c>
      <c r="B52" s="82" t="s">
        <v>898</v>
      </c>
      <c r="C52" s="75">
        <v>11080</v>
      </c>
      <c r="D52" s="76" t="s">
        <v>3135</v>
      </c>
      <c r="E52" s="76" t="s">
        <v>3136</v>
      </c>
      <c r="F52" s="76" t="s">
        <v>3020</v>
      </c>
      <c r="G52" s="76" t="s">
        <v>3137</v>
      </c>
      <c r="H52" s="76" t="s">
        <v>3021</v>
      </c>
      <c r="I52" s="76" t="str">
        <f t="shared" si="0"/>
        <v>METROPOLITAN (LADPRAO)</v>
      </c>
      <c r="O52" s="175">
        <v>12187</v>
      </c>
      <c r="P52" s="170" t="s">
        <v>898</v>
      </c>
      <c r="Q52" s="33"/>
    </row>
    <row r="53" spans="1:17">
      <c r="A53" s="87">
        <v>12195</v>
      </c>
      <c r="B53" s="82" t="s">
        <v>901</v>
      </c>
      <c r="C53" s="75">
        <v>11080</v>
      </c>
      <c r="D53" s="76" t="s">
        <v>3138</v>
      </c>
      <c r="E53" s="76" t="s">
        <v>3136</v>
      </c>
      <c r="F53" s="76" t="s">
        <v>3139</v>
      </c>
      <c r="G53" s="76" t="s">
        <v>3137</v>
      </c>
      <c r="H53" s="76" t="s">
        <v>3140</v>
      </c>
      <c r="I53" s="76" t="str">
        <f t="shared" si="0"/>
        <v>METROPOLITAN (BANGNA)</v>
      </c>
      <c r="O53" s="175">
        <v>12195</v>
      </c>
      <c r="P53" s="170" t="s">
        <v>901</v>
      </c>
      <c r="Q53" s="33"/>
    </row>
    <row r="54" spans="1:17">
      <c r="A54" s="87">
        <v>12203</v>
      </c>
      <c r="B54" s="82" t="s">
        <v>904</v>
      </c>
      <c r="C54" s="75">
        <v>11080</v>
      </c>
      <c r="D54" s="76" t="s">
        <v>3141</v>
      </c>
      <c r="E54" s="76" t="s">
        <v>3136</v>
      </c>
      <c r="F54" s="76" t="s">
        <v>3142</v>
      </c>
      <c r="G54" s="76" t="s">
        <v>3137</v>
      </c>
      <c r="H54" s="76" t="s">
        <v>3143</v>
      </c>
      <c r="I54" s="76" t="str">
        <f t="shared" si="0"/>
        <v>METROPOLITAN (CHANGWATTANA (LAKSI))</v>
      </c>
      <c r="O54" s="175">
        <v>12203</v>
      </c>
      <c r="P54" s="170" t="s">
        <v>904</v>
      </c>
      <c r="Q54" s="33"/>
    </row>
    <row r="55" spans="1:17">
      <c r="A55" s="87">
        <v>12211</v>
      </c>
      <c r="B55" s="82" t="s">
        <v>907</v>
      </c>
      <c r="C55" s="75">
        <v>11080</v>
      </c>
      <c r="D55" s="76" t="s">
        <v>3144</v>
      </c>
      <c r="E55" s="76" t="s">
        <v>3136</v>
      </c>
      <c r="F55" s="76" t="s">
        <v>3145</v>
      </c>
      <c r="G55" s="76" t="s">
        <v>3137</v>
      </c>
      <c r="H55" s="76" t="s">
        <v>3146</v>
      </c>
      <c r="I55" s="76" t="str">
        <f t="shared" si="0"/>
        <v>METROPOLITAN (RAJBURANA)</v>
      </c>
      <c r="O55" s="175">
        <v>12211</v>
      </c>
      <c r="P55" s="170" t="s">
        <v>907</v>
      </c>
      <c r="Q55" s="33"/>
    </row>
    <row r="56" spans="1:17">
      <c r="A56" s="87">
        <v>13011</v>
      </c>
      <c r="B56" s="82" t="s">
        <v>910</v>
      </c>
      <c r="C56" s="75">
        <v>11080</v>
      </c>
      <c r="D56" s="76" t="s">
        <v>3147</v>
      </c>
      <c r="E56" s="76" t="s">
        <v>3136</v>
      </c>
      <c r="F56" s="76" t="s">
        <v>3148</v>
      </c>
      <c r="G56" s="76" t="s">
        <v>3137</v>
      </c>
      <c r="H56" s="76" t="s">
        <v>3149</v>
      </c>
      <c r="I56" s="76" t="str">
        <f t="shared" si="0"/>
        <v>METROPOLITAN (SRI AYUHAYA 2)</v>
      </c>
      <c r="O56" s="175">
        <v>13011</v>
      </c>
      <c r="P56" s="170" t="s">
        <v>910</v>
      </c>
      <c r="Q56" s="33"/>
    </row>
    <row r="57" spans="1:17">
      <c r="A57" s="87">
        <v>13029</v>
      </c>
      <c r="B57" s="82" t="s">
        <v>913</v>
      </c>
      <c r="C57" s="75">
        <v>11080</v>
      </c>
      <c r="D57" s="76" t="s">
        <v>3150</v>
      </c>
      <c r="E57" s="76" t="s">
        <v>3136</v>
      </c>
      <c r="F57" s="76" t="s">
        <v>3151</v>
      </c>
      <c r="G57" s="76" t="s">
        <v>3137</v>
      </c>
      <c r="H57" s="76" t="s">
        <v>3152</v>
      </c>
      <c r="I57" s="76" t="str">
        <f t="shared" si="0"/>
        <v>METROPOLITAN (PRACHACHERN)</v>
      </c>
      <c r="O57" s="175">
        <v>13029</v>
      </c>
      <c r="P57" s="170" t="s">
        <v>913</v>
      </c>
      <c r="Q57" s="33"/>
    </row>
    <row r="58" spans="1:17">
      <c r="A58" s="87">
        <v>13037</v>
      </c>
      <c r="B58" s="82" t="s">
        <v>916</v>
      </c>
      <c r="C58" s="75">
        <v>11080</v>
      </c>
      <c r="D58" s="76" t="s">
        <v>3153</v>
      </c>
      <c r="E58" s="76" t="s">
        <v>3136</v>
      </c>
      <c r="F58" s="76" t="s">
        <v>3154</v>
      </c>
      <c r="G58" s="76" t="s">
        <v>3137</v>
      </c>
      <c r="H58" s="76" t="s">
        <v>3155</v>
      </c>
      <c r="I58" s="76" t="str">
        <f t="shared" si="0"/>
        <v>METROPOLITAN (WONGWANROPNOK)</v>
      </c>
      <c r="O58" s="175">
        <v>13037</v>
      </c>
      <c r="P58" s="170" t="s">
        <v>916</v>
      </c>
      <c r="Q58" s="33"/>
    </row>
    <row r="59" spans="1:17">
      <c r="A59" s="87">
        <v>13045</v>
      </c>
      <c r="B59" s="82" t="s">
        <v>919</v>
      </c>
      <c r="C59" s="75">
        <v>11080</v>
      </c>
      <c r="D59" s="76" t="s">
        <v>3156</v>
      </c>
      <c r="E59" s="76" t="s">
        <v>3136</v>
      </c>
      <c r="F59" s="76" t="s">
        <v>3157</v>
      </c>
      <c r="G59" s="76" t="s">
        <v>3137</v>
      </c>
      <c r="H59" s="76" t="s">
        <v>3158</v>
      </c>
      <c r="I59" s="76" t="str">
        <f t="shared" si="0"/>
        <v>METROPOLITAN (WANGHIN)</v>
      </c>
      <c r="O59" s="175">
        <v>13045</v>
      </c>
      <c r="P59" s="170" t="s">
        <v>919</v>
      </c>
      <c r="Q59" s="33"/>
    </row>
    <row r="60" spans="1:17">
      <c r="A60" s="87">
        <v>13052</v>
      </c>
      <c r="B60" s="82" t="s">
        <v>922</v>
      </c>
      <c r="C60" s="75">
        <v>11080</v>
      </c>
      <c r="D60" s="76" t="s">
        <v>3159</v>
      </c>
      <c r="E60" s="76" t="s">
        <v>3136</v>
      </c>
      <c r="F60" s="76" t="s">
        <v>3078</v>
      </c>
      <c r="G60" s="76" t="s">
        <v>3137</v>
      </c>
      <c r="H60" s="76" t="s">
        <v>3080</v>
      </c>
      <c r="I60" s="76" t="str">
        <f t="shared" si="0"/>
        <v>METROPOLITAN (RAMA 9)</v>
      </c>
      <c r="O60" s="175">
        <v>13052</v>
      </c>
      <c r="P60" s="170" t="s">
        <v>922</v>
      </c>
      <c r="Q60" s="33"/>
    </row>
    <row r="61" spans="1:17">
      <c r="A61" s="87">
        <v>13060</v>
      </c>
      <c r="B61" s="82" t="s">
        <v>925</v>
      </c>
      <c r="C61" s="75">
        <v>11080</v>
      </c>
      <c r="D61" s="76" t="s">
        <v>3160</v>
      </c>
      <c r="E61" s="76" t="s">
        <v>3136</v>
      </c>
      <c r="F61" s="76" t="s">
        <v>3161</v>
      </c>
      <c r="G61" s="76" t="s">
        <v>3137</v>
      </c>
      <c r="H61" s="76" t="s">
        <v>3031</v>
      </c>
      <c r="I61" s="76" t="str">
        <f t="shared" si="0"/>
        <v>METROPOLITAN (TAEPALUCK)</v>
      </c>
      <c r="O61" s="175">
        <v>13060</v>
      </c>
      <c r="P61" s="170" t="s">
        <v>925</v>
      </c>
      <c r="Q61" s="33"/>
    </row>
    <row r="62" spans="1:17">
      <c r="A62" s="87">
        <v>13102</v>
      </c>
      <c r="B62" s="82" t="s">
        <v>928</v>
      </c>
      <c r="C62" s="75">
        <v>11080</v>
      </c>
      <c r="D62" s="76" t="s">
        <v>3162</v>
      </c>
      <c r="E62" s="76" t="s">
        <v>3136</v>
      </c>
      <c r="F62" s="76" t="s">
        <v>3163</v>
      </c>
      <c r="G62" s="76" t="s">
        <v>3137</v>
      </c>
      <c r="H62" s="76" t="s">
        <v>3164</v>
      </c>
      <c r="I62" s="76" t="str">
        <f t="shared" si="0"/>
        <v>METROPOLITAN (DONMUANG)</v>
      </c>
      <c r="O62" s="175">
        <v>13102</v>
      </c>
      <c r="P62" s="170" t="s">
        <v>928</v>
      </c>
      <c r="Q62" s="33"/>
    </row>
    <row r="63" spans="1:17">
      <c r="A63" s="87">
        <v>13110</v>
      </c>
      <c r="B63" s="82" t="s">
        <v>931</v>
      </c>
      <c r="C63" s="75">
        <v>11080</v>
      </c>
      <c r="D63" s="76" t="s">
        <v>3165</v>
      </c>
      <c r="E63" s="76" t="s">
        <v>3136</v>
      </c>
      <c r="F63" s="76" t="s">
        <v>3166</v>
      </c>
      <c r="G63" s="76" t="s">
        <v>3137</v>
      </c>
      <c r="H63" s="76" t="s">
        <v>3167</v>
      </c>
      <c r="I63" s="76" t="str">
        <f t="shared" si="0"/>
        <v>METROPOLITAN (SAIMAI)</v>
      </c>
      <c r="O63" s="175">
        <v>13110</v>
      </c>
      <c r="P63" s="170" t="s">
        <v>931</v>
      </c>
      <c r="Q63" s="33"/>
    </row>
    <row r="64" spans="1:17">
      <c r="A64" s="87">
        <v>13128</v>
      </c>
      <c r="B64" s="82" t="s">
        <v>934</v>
      </c>
      <c r="C64" s="75">
        <v>11080</v>
      </c>
      <c r="D64" s="76" t="s">
        <v>3168</v>
      </c>
      <c r="E64" s="76" t="s">
        <v>3136</v>
      </c>
      <c r="F64" s="76" t="s">
        <v>3169</v>
      </c>
      <c r="G64" s="76" t="s">
        <v>3137</v>
      </c>
      <c r="H64" s="76" t="s">
        <v>3170</v>
      </c>
      <c r="I64" s="76" t="str">
        <f t="shared" si="0"/>
        <v>METROPOLITAN (PINGLAO)</v>
      </c>
      <c r="O64" s="175">
        <v>13128</v>
      </c>
      <c r="P64" s="170" t="s">
        <v>934</v>
      </c>
      <c r="Q64" s="33"/>
    </row>
    <row r="65" spans="1:17">
      <c r="A65" s="87">
        <v>13144</v>
      </c>
      <c r="B65" s="82" t="s">
        <v>939</v>
      </c>
      <c r="C65" s="75">
        <v>11098</v>
      </c>
      <c r="D65" s="76" t="s">
        <v>3171</v>
      </c>
      <c r="E65" s="76" t="s">
        <v>3000</v>
      </c>
      <c r="F65" s="76" t="s">
        <v>3172</v>
      </c>
      <c r="G65" s="76" t="s">
        <v>3001</v>
      </c>
      <c r="H65" s="76" t="s">
        <v>3173</v>
      </c>
      <c r="I65" s="76" t="str">
        <f t="shared" si="0"/>
        <v>THONBURI (CHARANSANITWONG)</v>
      </c>
      <c r="O65" s="175">
        <v>13144</v>
      </c>
      <c r="P65" s="170" t="s">
        <v>939</v>
      </c>
      <c r="Q65" s="33"/>
    </row>
    <row r="66" spans="1:17">
      <c r="A66" s="87">
        <v>13151</v>
      </c>
      <c r="B66" s="82" t="s">
        <v>942</v>
      </c>
      <c r="C66" s="75">
        <v>11098</v>
      </c>
      <c r="D66" s="76" t="s">
        <v>3174</v>
      </c>
      <c r="E66" s="76" t="s">
        <v>3000</v>
      </c>
      <c r="F66" s="76" t="s">
        <v>3175</v>
      </c>
      <c r="G66" s="76" t="s">
        <v>3001</v>
      </c>
      <c r="H66" s="76" t="s">
        <v>2998</v>
      </c>
      <c r="I66" s="76" t="str">
        <f t="shared" si="0"/>
        <v>THONBURI (PETCHBURI TUDMAI)</v>
      </c>
      <c r="O66" s="175">
        <v>13151</v>
      </c>
      <c r="P66" s="170" t="s">
        <v>942</v>
      </c>
      <c r="Q66" s="33"/>
    </row>
    <row r="67" spans="1:17">
      <c r="A67" s="87">
        <v>13160</v>
      </c>
      <c r="B67" s="82" t="s">
        <v>945</v>
      </c>
      <c r="C67" s="75">
        <v>11098</v>
      </c>
      <c r="D67" s="76" t="s">
        <v>3176</v>
      </c>
      <c r="E67" s="76" t="s">
        <v>3000</v>
      </c>
      <c r="F67" s="76" t="s">
        <v>3177</v>
      </c>
      <c r="G67" s="76" t="s">
        <v>3001</v>
      </c>
      <c r="H67" s="76" t="s">
        <v>3010</v>
      </c>
      <c r="I67" s="76" t="str">
        <f t="shared" si="0"/>
        <v>THONBURI (RAMA II)</v>
      </c>
      <c r="O67" s="175">
        <v>13160</v>
      </c>
      <c r="P67" s="170" t="s">
        <v>945</v>
      </c>
      <c r="Q67" s="33"/>
    </row>
    <row r="68" spans="1:17">
      <c r="A68" s="87">
        <v>13178</v>
      </c>
      <c r="B68" s="82" t="s">
        <v>948</v>
      </c>
      <c r="C68" s="75">
        <v>11098</v>
      </c>
      <c r="D68" s="76" t="s">
        <v>3178</v>
      </c>
      <c r="E68" s="76" t="s">
        <v>3000</v>
      </c>
      <c r="F68" s="76" t="s">
        <v>3020</v>
      </c>
      <c r="G68" s="76" t="s">
        <v>3001</v>
      </c>
      <c r="H68" s="76" t="s">
        <v>3021</v>
      </c>
      <c r="I68" s="76" t="str">
        <f t="shared" si="0"/>
        <v>THONBURI (LADPRAO)</v>
      </c>
      <c r="O68" s="175">
        <v>13178</v>
      </c>
      <c r="P68" s="170" t="s">
        <v>948</v>
      </c>
      <c r="Q68" s="33"/>
    </row>
    <row r="69" spans="1:17">
      <c r="A69" s="87">
        <v>13185</v>
      </c>
      <c r="B69" s="82" t="s">
        <v>951</v>
      </c>
      <c r="C69" s="75">
        <v>11098</v>
      </c>
      <c r="D69" s="76" t="s">
        <v>3179</v>
      </c>
      <c r="E69" s="76" t="s">
        <v>3000</v>
      </c>
      <c r="F69" s="76" t="s">
        <v>3180</v>
      </c>
      <c r="G69" s="76" t="s">
        <v>3001</v>
      </c>
      <c r="H69" s="76" t="s">
        <v>3181</v>
      </c>
      <c r="I69" s="76" t="str">
        <f t="shared" ref="I69:I132" si="1">E69&amp;" ("&amp;F69&amp;$I$1</f>
        <v>THONBURI (TAPRA)</v>
      </c>
      <c r="O69" s="175">
        <v>13185</v>
      </c>
      <c r="P69" s="170" t="s">
        <v>951</v>
      </c>
      <c r="Q69" s="33"/>
    </row>
    <row r="70" spans="1:17">
      <c r="A70" s="87">
        <v>13193</v>
      </c>
      <c r="B70" s="82" t="s">
        <v>954</v>
      </c>
      <c r="C70" s="75">
        <v>11098</v>
      </c>
      <c r="D70" s="76" t="s">
        <v>3182</v>
      </c>
      <c r="E70" s="76" t="s">
        <v>3000</v>
      </c>
      <c r="F70" s="76" t="s">
        <v>3183</v>
      </c>
      <c r="G70" s="76" t="s">
        <v>3001</v>
      </c>
      <c r="H70" s="76" t="s">
        <v>3184</v>
      </c>
      <c r="I70" s="76" t="str">
        <f t="shared" si="1"/>
        <v>THONBURI (ON-NUCH)</v>
      </c>
      <c r="O70" s="175">
        <v>13193</v>
      </c>
      <c r="P70" s="170" t="s">
        <v>954</v>
      </c>
      <c r="Q70" s="33"/>
    </row>
    <row r="71" spans="1:17">
      <c r="A71" s="87">
        <v>13219</v>
      </c>
      <c r="B71" s="82" t="s">
        <v>957</v>
      </c>
      <c r="C71" s="75">
        <v>11098</v>
      </c>
      <c r="D71" s="76" t="s">
        <v>3185</v>
      </c>
      <c r="E71" s="76" t="s">
        <v>3000</v>
      </c>
      <c r="F71" s="76" t="s">
        <v>3186</v>
      </c>
      <c r="G71" s="76" t="s">
        <v>3001</v>
      </c>
      <c r="H71" s="76" t="s">
        <v>3086</v>
      </c>
      <c r="I71" s="76" t="str">
        <f t="shared" si="1"/>
        <v>THONBURI (WONG SAWANG)</v>
      </c>
      <c r="O71" s="175">
        <v>13219</v>
      </c>
      <c r="P71" s="170" t="s">
        <v>957</v>
      </c>
      <c r="Q71" s="33"/>
    </row>
    <row r="72" spans="1:17">
      <c r="A72" s="87">
        <v>13227</v>
      </c>
      <c r="B72" s="82" t="s">
        <v>960</v>
      </c>
      <c r="C72" s="75">
        <v>11098</v>
      </c>
      <c r="D72" s="76" t="s">
        <v>3187</v>
      </c>
      <c r="E72" s="76" t="s">
        <v>3000</v>
      </c>
      <c r="F72" s="76" t="s">
        <v>3188</v>
      </c>
      <c r="G72" s="76" t="s">
        <v>3001</v>
      </c>
      <c r="H72" s="76" t="s">
        <v>3189</v>
      </c>
      <c r="I72" s="76" t="str">
        <f t="shared" si="1"/>
        <v>THONBURI (PRADITMANUTHAM)</v>
      </c>
      <c r="O72" s="175">
        <v>13227</v>
      </c>
      <c r="P72" s="170" t="s">
        <v>960</v>
      </c>
      <c r="Q72" s="33"/>
    </row>
    <row r="73" spans="1:17">
      <c r="A73" s="87">
        <v>13235</v>
      </c>
      <c r="B73" s="82" t="s">
        <v>963</v>
      </c>
      <c r="C73" s="75">
        <v>11098</v>
      </c>
      <c r="D73" s="76" t="s">
        <v>3190</v>
      </c>
      <c r="E73" s="76" t="s">
        <v>3000</v>
      </c>
      <c r="F73" s="76" t="s">
        <v>3191</v>
      </c>
      <c r="G73" s="76" t="s">
        <v>3001</v>
      </c>
      <c r="H73" s="76" t="s">
        <v>3192</v>
      </c>
      <c r="I73" s="76" t="str">
        <f t="shared" si="1"/>
        <v>THONBURI (SUKHAPHIBAL 3)</v>
      </c>
      <c r="O73" s="175">
        <v>13235</v>
      </c>
      <c r="P73" s="170" t="s">
        <v>963</v>
      </c>
      <c r="Q73" s="33"/>
    </row>
    <row r="74" spans="1:17">
      <c r="A74" s="87">
        <v>13243</v>
      </c>
      <c r="B74" s="82" t="s">
        <v>966</v>
      </c>
      <c r="C74" s="75">
        <v>11098</v>
      </c>
      <c r="D74" s="76" t="s">
        <v>3193</v>
      </c>
      <c r="E74" s="76" t="s">
        <v>3000</v>
      </c>
      <c r="F74" s="76" t="s">
        <v>3194</v>
      </c>
      <c r="G74" s="76" t="s">
        <v>3001</v>
      </c>
      <c r="H74" s="76" t="s">
        <v>3195</v>
      </c>
      <c r="I74" s="76" t="str">
        <f t="shared" si="1"/>
        <v>THONBURI (ROMKLAO)</v>
      </c>
      <c r="O74" s="175">
        <v>13243</v>
      </c>
      <c r="P74" s="170" t="s">
        <v>966</v>
      </c>
      <c r="Q74" s="33"/>
    </row>
    <row r="75" spans="1:17">
      <c r="A75" s="88">
        <v>14019</v>
      </c>
      <c r="B75" s="80" t="s">
        <v>969</v>
      </c>
      <c r="C75" s="75">
        <v>11098</v>
      </c>
      <c r="D75" s="76" t="s">
        <v>3196</v>
      </c>
      <c r="E75" s="76" t="s">
        <v>3000</v>
      </c>
      <c r="F75" s="76" t="s">
        <v>3197</v>
      </c>
      <c r="G75" s="76" t="s">
        <v>3001</v>
      </c>
      <c r="H75" s="76" t="s">
        <v>3104</v>
      </c>
      <c r="I75" s="76" t="str">
        <f t="shared" si="1"/>
        <v>THONBURI (RAMKAMHANG)</v>
      </c>
      <c r="O75" s="176">
        <v>14019</v>
      </c>
      <c r="P75" s="168" t="s">
        <v>969</v>
      </c>
      <c r="Q75" s="33"/>
    </row>
    <row r="76" spans="1:17">
      <c r="A76" s="87">
        <v>14027</v>
      </c>
      <c r="B76" s="82" t="s">
        <v>972</v>
      </c>
      <c r="C76" s="75">
        <v>11106</v>
      </c>
      <c r="D76" s="76" t="s">
        <v>3198</v>
      </c>
      <c r="E76" s="76" t="s">
        <v>3199</v>
      </c>
      <c r="F76" s="76" t="s">
        <v>3006</v>
      </c>
      <c r="G76" s="76" t="s">
        <v>3200</v>
      </c>
      <c r="H76" s="76" t="s">
        <v>3007</v>
      </c>
      <c r="I76" s="76" t="str">
        <f t="shared" si="1"/>
        <v>SUMMIT (SRINAKARIN)</v>
      </c>
      <c r="O76" s="175">
        <v>14027</v>
      </c>
      <c r="P76" s="170" t="s">
        <v>972</v>
      </c>
      <c r="Q76" s="33"/>
    </row>
    <row r="77" spans="1:17">
      <c r="A77" s="87">
        <v>14032</v>
      </c>
      <c r="B77" s="82" t="s">
        <v>989</v>
      </c>
      <c r="C77" s="75">
        <v>11106</v>
      </c>
      <c r="D77" s="76" t="s">
        <v>3201</v>
      </c>
      <c r="E77" s="76" t="s">
        <v>3199</v>
      </c>
      <c r="F77" s="76" t="s">
        <v>3139</v>
      </c>
      <c r="G77" s="76" t="s">
        <v>3200</v>
      </c>
      <c r="H77" s="76" t="s">
        <v>3140</v>
      </c>
      <c r="I77" s="76" t="str">
        <f t="shared" si="1"/>
        <v>SUMMIT (BANGNA)</v>
      </c>
      <c r="O77" s="175">
        <v>14032</v>
      </c>
      <c r="P77" s="170" t="s">
        <v>989</v>
      </c>
      <c r="Q77" s="33"/>
    </row>
    <row r="78" spans="1:17">
      <c r="A78" s="87">
        <v>14035</v>
      </c>
      <c r="B78" s="82" t="s">
        <v>975</v>
      </c>
      <c r="C78" s="75">
        <v>11106</v>
      </c>
      <c r="D78" s="76" t="s">
        <v>3202</v>
      </c>
      <c r="E78" s="76" t="s">
        <v>3199</v>
      </c>
      <c r="F78" s="76" t="s">
        <v>3183</v>
      </c>
      <c r="G78" s="76" t="s">
        <v>3200</v>
      </c>
      <c r="H78" s="76" t="s">
        <v>3184</v>
      </c>
      <c r="I78" s="76" t="str">
        <f t="shared" si="1"/>
        <v>SUMMIT (ON-NUCH)</v>
      </c>
      <c r="O78" s="175">
        <v>14035</v>
      </c>
      <c r="P78" s="170" t="s">
        <v>975</v>
      </c>
      <c r="Q78" s="33"/>
    </row>
    <row r="79" spans="1:17">
      <c r="A79" s="87">
        <v>14043</v>
      </c>
      <c r="B79" s="82" t="s">
        <v>978</v>
      </c>
      <c r="C79" s="75">
        <v>11106</v>
      </c>
      <c r="D79" s="76" t="s">
        <v>3203</v>
      </c>
      <c r="E79" s="76" t="s">
        <v>3199</v>
      </c>
      <c r="F79" s="76" t="s">
        <v>3204</v>
      </c>
      <c r="G79" s="76" t="s">
        <v>3200</v>
      </c>
      <c r="H79" s="76" t="s">
        <v>3205</v>
      </c>
      <c r="I79" s="76" t="str">
        <f t="shared" si="1"/>
        <v>SUMMIT (RATCHADAPISEK)</v>
      </c>
      <c r="O79" s="175">
        <v>14043</v>
      </c>
      <c r="P79" s="170" t="s">
        <v>978</v>
      </c>
      <c r="Q79" s="33"/>
    </row>
    <row r="80" spans="1:17">
      <c r="A80" s="87">
        <v>14050</v>
      </c>
      <c r="B80" s="82" t="s">
        <v>981</v>
      </c>
      <c r="C80" s="75">
        <v>11106</v>
      </c>
      <c r="D80" s="76" t="s">
        <v>3206</v>
      </c>
      <c r="E80" s="76" t="s">
        <v>3199</v>
      </c>
      <c r="F80" s="76" t="s">
        <v>3207</v>
      </c>
      <c r="G80" s="76" t="s">
        <v>3200</v>
      </c>
      <c r="H80" s="76" t="s">
        <v>3208</v>
      </c>
      <c r="I80" s="76" t="str">
        <f t="shared" si="1"/>
        <v>SUMMIT (BANGMUENG)</v>
      </c>
      <c r="O80" s="175">
        <v>14050</v>
      </c>
      <c r="P80" s="170" t="s">
        <v>981</v>
      </c>
      <c r="Q80" s="33"/>
    </row>
    <row r="81" spans="1:17">
      <c r="A81" s="87">
        <v>14068</v>
      </c>
      <c r="B81" s="82" t="s">
        <v>983</v>
      </c>
      <c r="C81" s="75">
        <v>11116</v>
      </c>
      <c r="D81" s="76" t="s">
        <v>3209</v>
      </c>
      <c r="E81" s="76" t="s">
        <v>3210</v>
      </c>
      <c r="F81" s="76" t="s">
        <v>3211</v>
      </c>
      <c r="G81" s="76" t="s">
        <v>3212</v>
      </c>
      <c r="H81" s="76" t="s">
        <v>3213</v>
      </c>
      <c r="I81" s="76" t="str">
        <f t="shared" si="1"/>
        <v>LEXUS B'KK (LEXUS)</v>
      </c>
      <c r="O81" s="175">
        <v>14068</v>
      </c>
      <c r="P81" s="170" t="s">
        <v>983</v>
      </c>
      <c r="Q81" s="33"/>
    </row>
    <row r="82" spans="1:17">
      <c r="A82" s="87">
        <v>14076</v>
      </c>
      <c r="B82" s="82" t="s">
        <v>985</v>
      </c>
      <c r="C82" s="75">
        <v>11122</v>
      </c>
      <c r="D82" s="76" t="s">
        <v>3214</v>
      </c>
      <c r="E82" s="76" t="s">
        <v>3215</v>
      </c>
      <c r="F82" s="76" t="s">
        <v>3216</v>
      </c>
      <c r="G82" s="76" t="s">
        <v>3217</v>
      </c>
      <c r="H82" s="76" t="s">
        <v>3218</v>
      </c>
      <c r="I82" s="76" t="str">
        <f t="shared" si="1"/>
        <v>NARUMIT (NARUEMIT)</v>
      </c>
      <c r="O82" s="175">
        <v>14076</v>
      </c>
      <c r="P82" s="170" t="s">
        <v>985</v>
      </c>
      <c r="Q82" s="33"/>
    </row>
    <row r="83" spans="1:17">
      <c r="A83" s="87">
        <v>14084</v>
      </c>
      <c r="B83" s="82" t="s">
        <v>987</v>
      </c>
      <c r="C83" s="75">
        <v>11130</v>
      </c>
      <c r="D83" s="76" t="s">
        <v>3219</v>
      </c>
      <c r="E83" s="76" t="s">
        <v>3220</v>
      </c>
      <c r="F83" s="76" t="s">
        <v>3220</v>
      </c>
      <c r="G83" s="76" t="s">
        <v>3221</v>
      </c>
      <c r="H83" s="76" t="s">
        <v>3218</v>
      </c>
      <c r="I83" s="76" t="str">
        <f t="shared" si="1"/>
        <v>PARAGON MOTOR (PARAGON MOTOR)</v>
      </c>
      <c r="O83" s="175">
        <v>14084</v>
      </c>
      <c r="P83" s="170" t="s">
        <v>987</v>
      </c>
      <c r="Q83" s="33"/>
    </row>
    <row r="84" spans="1:17">
      <c r="A84" s="87">
        <v>14100</v>
      </c>
      <c r="B84" s="82" t="s">
        <v>991</v>
      </c>
      <c r="C84" s="75">
        <v>11130</v>
      </c>
      <c r="D84" s="76" t="s">
        <v>3222</v>
      </c>
      <c r="E84" s="76" t="s">
        <v>3220</v>
      </c>
      <c r="F84" s="76" t="s">
        <v>3223</v>
      </c>
      <c r="G84" s="76" t="s">
        <v>3224</v>
      </c>
      <c r="H84" s="76" t="s">
        <v>3225</v>
      </c>
      <c r="I84" s="76" t="str">
        <f t="shared" si="1"/>
        <v>PARAGON MOTOR (THAI MARKET)</v>
      </c>
      <c r="O84" s="175">
        <v>14100</v>
      </c>
      <c r="P84" s="170" t="s">
        <v>991</v>
      </c>
      <c r="Q84" s="33"/>
    </row>
    <row r="85" spans="1:17">
      <c r="A85" s="87">
        <v>14118</v>
      </c>
      <c r="B85" s="82" t="s">
        <v>993</v>
      </c>
      <c r="C85" s="75">
        <v>11148</v>
      </c>
      <c r="D85" s="76" t="s">
        <v>3226</v>
      </c>
      <c r="E85" s="76" t="s">
        <v>3227</v>
      </c>
      <c r="F85" s="76" t="s">
        <v>3227</v>
      </c>
      <c r="G85" s="76" t="s">
        <v>3228</v>
      </c>
      <c r="H85" s="76" t="s">
        <v>3218</v>
      </c>
      <c r="I85" s="76" t="str">
        <f t="shared" si="1"/>
        <v>KRUNG THAI (KRUNG THAI)</v>
      </c>
      <c r="O85" s="175">
        <v>14118</v>
      </c>
      <c r="P85" s="170" t="s">
        <v>993</v>
      </c>
      <c r="Q85" s="33"/>
    </row>
    <row r="86" spans="1:17">
      <c r="A86" s="87">
        <v>14126</v>
      </c>
      <c r="B86" s="82" t="s">
        <v>995</v>
      </c>
      <c r="C86" s="75">
        <v>11148</v>
      </c>
      <c r="D86" s="76" t="s">
        <v>3229</v>
      </c>
      <c r="E86" s="76" t="s">
        <v>3227</v>
      </c>
      <c r="F86" s="76" t="s">
        <v>3230</v>
      </c>
      <c r="G86" s="76" t="s">
        <v>3228</v>
      </c>
      <c r="H86" s="76" t="s">
        <v>3231</v>
      </c>
      <c r="I86" s="76" t="str">
        <f t="shared" si="1"/>
        <v>KRUNG THAI (KASET)</v>
      </c>
      <c r="O86" s="175">
        <v>14126</v>
      </c>
      <c r="P86" s="170" t="s">
        <v>995</v>
      </c>
      <c r="Q86" s="18"/>
    </row>
    <row r="87" spans="1:17">
      <c r="A87" s="87">
        <v>14134</v>
      </c>
      <c r="B87" s="82" t="s">
        <v>997</v>
      </c>
      <c r="C87" s="75">
        <v>11148</v>
      </c>
      <c r="D87" s="76" t="s">
        <v>3232</v>
      </c>
      <c r="E87" s="76" t="s">
        <v>3227</v>
      </c>
      <c r="F87" s="76" t="s">
        <v>3233</v>
      </c>
      <c r="G87" s="76" t="s">
        <v>3228</v>
      </c>
      <c r="H87" s="76" t="s">
        <v>3234</v>
      </c>
      <c r="I87" s="76" t="str">
        <f t="shared" si="1"/>
        <v>KRUNG THAI (TALING CHAN)</v>
      </c>
      <c r="O87" s="175">
        <v>14134</v>
      </c>
      <c r="P87" s="170" t="s">
        <v>997</v>
      </c>
      <c r="Q87" s="22"/>
    </row>
    <row r="88" spans="1:17">
      <c r="A88" s="87">
        <v>14142</v>
      </c>
      <c r="B88" s="82" t="s">
        <v>999</v>
      </c>
      <c r="C88" s="75">
        <v>11155</v>
      </c>
      <c r="D88" s="76" t="s">
        <v>3235</v>
      </c>
      <c r="E88" s="76" t="s">
        <v>3236</v>
      </c>
      <c r="F88" s="76" t="s">
        <v>3236</v>
      </c>
      <c r="G88" s="76" t="s">
        <v>3237</v>
      </c>
      <c r="H88" s="76" t="s">
        <v>3218</v>
      </c>
      <c r="I88" s="76" t="str">
        <f t="shared" si="1"/>
        <v>AEKNIMIT THAI (AEKNIMIT THAI)</v>
      </c>
      <c r="O88" s="175">
        <v>14142</v>
      </c>
      <c r="P88" s="170" t="s">
        <v>999</v>
      </c>
      <c r="Q88" s="22"/>
    </row>
    <row r="89" spans="1:17">
      <c r="A89" s="87">
        <v>14150</v>
      </c>
      <c r="B89" s="82" t="s">
        <v>1001</v>
      </c>
      <c r="C89" s="75">
        <v>11155</v>
      </c>
      <c r="D89" s="76" t="s">
        <v>3238</v>
      </c>
      <c r="E89" s="76" t="s">
        <v>3236</v>
      </c>
      <c r="F89" s="76" t="s">
        <v>3239</v>
      </c>
      <c r="G89" s="76" t="s">
        <v>3240</v>
      </c>
      <c r="H89" s="76" t="s">
        <v>3241</v>
      </c>
      <c r="I89" s="76" t="str">
        <f t="shared" si="1"/>
        <v>AEKNIMIT THAI (MUANGTHONG-TIWANON)</v>
      </c>
      <c r="O89" s="175">
        <v>14150</v>
      </c>
      <c r="P89" s="170" t="s">
        <v>1001</v>
      </c>
      <c r="Q89" s="22"/>
    </row>
    <row r="90" spans="1:17">
      <c r="A90" s="87">
        <v>14168</v>
      </c>
      <c r="B90" s="82" t="s">
        <v>1003</v>
      </c>
      <c r="C90" s="75">
        <v>11155</v>
      </c>
      <c r="D90" s="76" t="s">
        <v>3242</v>
      </c>
      <c r="E90" s="76" t="s">
        <v>3236</v>
      </c>
      <c r="F90" s="76" t="s">
        <v>3243</v>
      </c>
      <c r="G90" s="76" t="s">
        <v>3240</v>
      </c>
      <c r="H90" s="76" t="s">
        <v>3244</v>
      </c>
      <c r="I90" s="76" t="str">
        <f t="shared" si="1"/>
        <v>AEKNIMIT THAI (KARNCHANAPISEK-BANGYAI)</v>
      </c>
      <c r="O90" s="175">
        <v>14168</v>
      </c>
      <c r="P90" s="170" t="s">
        <v>1003</v>
      </c>
      <c r="Q90" s="22"/>
    </row>
    <row r="91" spans="1:17">
      <c r="A91" s="87">
        <v>14175</v>
      </c>
      <c r="B91" s="82" t="s">
        <v>1005</v>
      </c>
      <c r="C91" s="75">
        <v>11163</v>
      </c>
      <c r="D91" s="76" t="s">
        <v>3245</v>
      </c>
      <c r="E91" s="76" t="s">
        <v>3246</v>
      </c>
      <c r="F91" s="76" t="s">
        <v>3247</v>
      </c>
      <c r="G91" s="76" t="s">
        <v>3248</v>
      </c>
      <c r="H91" s="76" t="s">
        <v>3218</v>
      </c>
      <c r="I91" s="76" t="str">
        <f t="shared" si="1"/>
        <v>P.S ENTERPRISE (HEAD OFFICE)</v>
      </c>
      <c r="O91" s="175">
        <v>14175</v>
      </c>
      <c r="P91" s="170" t="s">
        <v>1005</v>
      </c>
      <c r="Q91" s="36"/>
    </row>
    <row r="92" spans="1:17">
      <c r="A92" s="87">
        <v>14183</v>
      </c>
      <c r="B92" s="82" t="s">
        <v>1007</v>
      </c>
      <c r="C92" s="75">
        <v>11163</v>
      </c>
      <c r="D92" s="76" t="s">
        <v>3249</v>
      </c>
      <c r="E92" s="76" t="s">
        <v>3246</v>
      </c>
      <c r="F92" s="76" t="s">
        <v>3250</v>
      </c>
      <c r="G92" s="76" t="s">
        <v>3251</v>
      </c>
      <c r="H92" s="76" t="s">
        <v>3252</v>
      </c>
      <c r="I92" s="76" t="str">
        <f t="shared" si="1"/>
        <v>P.S ENTERPRISE (LAMLOOKKA)</v>
      </c>
      <c r="O92" s="175">
        <v>14183</v>
      </c>
      <c r="P92" s="170" t="s">
        <v>1007</v>
      </c>
      <c r="Q92" s="22"/>
    </row>
    <row r="93" spans="1:17">
      <c r="A93" s="87">
        <v>14191</v>
      </c>
      <c r="B93" s="82" t="s">
        <v>1021</v>
      </c>
      <c r="C93" s="75">
        <v>11171</v>
      </c>
      <c r="D93" s="76" t="s">
        <v>3253</v>
      </c>
      <c r="E93" s="76" t="s">
        <v>3254</v>
      </c>
      <c r="F93" s="76" t="s">
        <v>3247</v>
      </c>
      <c r="G93" s="76" t="s">
        <v>3255</v>
      </c>
      <c r="H93" s="76" t="s">
        <v>3218</v>
      </c>
      <c r="I93" s="76" t="str">
        <f t="shared" si="1"/>
        <v>PETRA (HEAD OFFICE)</v>
      </c>
      <c r="O93" s="175">
        <v>14191</v>
      </c>
      <c r="P93" s="170" t="s">
        <v>1021</v>
      </c>
      <c r="Q93" s="36"/>
    </row>
    <row r="94" spans="1:17">
      <c r="A94" s="83">
        <v>14209</v>
      </c>
      <c r="B94" s="84" t="s">
        <v>888</v>
      </c>
      <c r="C94" s="75">
        <v>11171</v>
      </c>
      <c r="D94" s="76" t="s">
        <v>3256</v>
      </c>
      <c r="E94" s="76" t="s">
        <v>3254</v>
      </c>
      <c r="F94" s="76" t="s">
        <v>3257</v>
      </c>
      <c r="G94" s="76" t="s">
        <v>3255</v>
      </c>
      <c r="H94" s="76" t="s">
        <v>3258</v>
      </c>
      <c r="I94" s="76" t="str">
        <f t="shared" si="1"/>
        <v>PETRA (RANGSIT)</v>
      </c>
      <c r="O94" s="171">
        <v>14209</v>
      </c>
      <c r="P94" s="172" t="s">
        <v>888</v>
      </c>
      <c r="Q94" s="22"/>
    </row>
    <row r="95" spans="1:17">
      <c r="A95" s="89">
        <v>14223</v>
      </c>
      <c r="B95" s="86" t="s">
        <v>891</v>
      </c>
      <c r="C95" s="75">
        <v>11171</v>
      </c>
      <c r="D95" s="76" t="s">
        <v>3259</v>
      </c>
      <c r="E95" s="76" t="s">
        <v>3254</v>
      </c>
      <c r="F95" s="76" t="s">
        <v>3260</v>
      </c>
      <c r="G95" s="76" t="s">
        <v>3255</v>
      </c>
      <c r="H95" s="76" t="s">
        <v>3261</v>
      </c>
      <c r="I95" s="76" t="str">
        <f t="shared" si="1"/>
        <v>PETRA (LADLUMKAEW)</v>
      </c>
      <c r="O95" s="177">
        <v>14223</v>
      </c>
      <c r="P95" s="174" t="s">
        <v>891</v>
      </c>
      <c r="Q95" s="22"/>
    </row>
    <row r="96" spans="1:17">
      <c r="A96" s="81">
        <v>14225</v>
      </c>
      <c r="B96" s="82" t="s">
        <v>894</v>
      </c>
      <c r="C96" s="75">
        <v>11189</v>
      </c>
      <c r="D96" s="76" t="s">
        <v>3262</v>
      </c>
      <c r="E96" s="76" t="s">
        <v>3263</v>
      </c>
      <c r="F96" s="76" t="s">
        <v>3263</v>
      </c>
      <c r="G96" s="76" t="s">
        <v>3264</v>
      </c>
      <c r="H96" s="76" t="s">
        <v>3218</v>
      </c>
      <c r="I96" s="76" t="str">
        <f t="shared" si="1"/>
        <v>LIBRA (LIBRA)</v>
      </c>
      <c r="O96" s="169">
        <v>14225</v>
      </c>
      <c r="P96" s="170" t="s">
        <v>894</v>
      </c>
      <c r="Q96" s="22"/>
    </row>
    <row r="97" spans="1:17">
      <c r="A97" s="81">
        <v>14233</v>
      </c>
      <c r="B97" s="82" t="s">
        <v>891</v>
      </c>
      <c r="C97" s="75">
        <v>11189</v>
      </c>
      <c r="D97" s="76" t="s">
        <v>3265</v>
      </c>
      <c r="E97" s="76" t="s">
        <v>3263</v>
      </c>
      <c r="F97" s="76" t="s">
        <v>3266</v>
      </c>
      <c r="G97" s="76" t="s">
        <v>3264</v>
      </c>
      <c r="H97" s="76" t="s">
        <v>3267</v>
      </c>
      <c r="I97" s="76" t="str">
        <f t="shared" si="1"/>
        <v>LIBRA (WATCHARAPOL)</v>
      </c>
      <c r="O97" s="169">
        <v>14233</v>
      </c>
      <c r="P97" s="170" t="s">
        <v>891</v>
      </c>
      <c r="Q97" s="22"/>
    </row>
    <row r="98" spans="1:17">
      <c r="A98" s="81">
        <v>15016</v>
      </c>
      <c r="B98" s="82" t="s">
        <v>899</v>
      </c>
      <c r="C98" s="75">
        <v>11197</v>
      </c>
      <c r="D98" s="76" t="s">
        <v>3268</v>
      </c>
      <c r="E98" s="76" t="s">
        <v>3269</v>
      </c>
      <c r="F98" s="76" t="s">
        <v>3269</v>
      </c>
      <c r="G98" s="76" t="s">
        <v>3270</v>
      </c>
      <c r="H98" s="76" t="s">
        <v>3218</v>
      </c>
      <c r="I98" s="76" t="str">
        <f t="shared" si="1"/>
        <v>PHUMPATTANA (PHUMPATTANA)</v>
      </c>
      <c r="O98" s="169">
        <v>15016</v>
      </c>
      <c r="P98" s="170" t="s">
        <v>899</v>
      </c>
      <c r="Q98" s="22"/>
    </row>
    <row r="99" spans="1:17">
      <c r="A99" s="79">
        <v>15032</v>
      </c>
      <c r="B99" s="80" t="s">
        <v>902</v>
      </c>
      <c r="C99" s="75">
        <v>11197</v>
      </c>
      <c r="D99" s="76" t="s">
        <v>3271</v>
      </c>
      <c r="E99" s="76" t="s">
        <v>3269</v>
      </c>
      <c r="F99" s="76" t="s">
        <v>3272</v>
      </c>
      <c r="G99" s="76" t="s">
        <v>3270</v>
      </c>
      <c r="H99" s="76" t="s">
        <v>3273</v>
      </c>
      <c r="I99" s="76" t="str">
        <f t="shared" si="1"/>
        <v>PHUMPATTANA (SUANLUANG)</v>
      </c>
      <c r="O99" s="167">
        <v>15032</v>
      </c>
      <c r="P99" s="168" t="s">
        <v>902</v>
      </c>
      <c r="Q99" s="22"/>
    </row>
    <row r="100" spans="1:17">
      <c r="A100" s="81">
        <v>15040</v>
      </c>
      <c r="B100" s="82" t="s">
        <v>905</v>
      </c>
      <c r="C100" s="75">
        <v>11197</v>
      </c>
      <c r="D100" s="76" t="s">
        <v>3274</v>
      </c>
      <c r="E100" s="76" t="s">
        <v>3269</v>
      </c>
      <c r="F100" s="76" t="s">
        <v>3275</v>
      </c>
      <c r="G100" s="76" t="s">
        <v>3270</v>
      </c>
      <c r="H100" s="76" t="s">
        <v>3276</v>
      </c>
      <c r="I100" s="76" t="str">
        <f t="shared" si="1"/>
        <v>PHUMPATTANA (NONGJOK)</v>
      </c>
      <c r="O100" s="169">
        <v>15040</v>
      </c>
      <c r="P100" s="170" t="s">
        <v>905</v>
      </c>
      <c r="Q100" s="22"/>
    </row>
    <row r="101" spans="1:17">
      <c r="A101" s="79">
        <v>15057</v>
      </c>
      <c r="B101" s="80" t="s">
        <v>908</v>
      </c>
      <c r="C101" s="75">
        <v>11205</v>
      </c>
      <c r="D101" s="76" t="s">
        <v>3277</v>
      </c>
      <c r="E101" s="76" t="s">
        <v>3278</v>
      </c>
      <c r="F101" s="76" t="s">
        <v>3279</v>
      </c>
      <c r="G101" s="76" t="s">
        <v>3280</v>
      </c>
      <c r="H101" s="76" t="s">
        <v>3281</v>
      </c>
      <c r="I101" s="76" t="str">
        <f t="shared" si="1"/>
        <v>@ UNITED (PUCHAOSAMINGPHRAI)</v>
      </c>
      <c r="O101" s="167">
        <v>15057</v>
      </c>
      <c r="P101" s="168" t="s">
        <v>908</v>
      </c>
      <c r="Q101" s="22"/>
    </row>
    <row r="102" spans="1:17">
      <c r="A102" s="81">
        <v>15065</v>
      </c>
      <c r="B102" s="82" t="s">
        <v>911</v>
      </c>
      <c r="C102" s="75">
        <v>11205</v>
      </c>
      <c r="D102" s="76" t="s">
        <v>3282</v>
      </c>
      <c r="E102" s="76" t="s">
        <v>3278</v>
      </c>
      <c r="F102" s="76" t="s">
        <v>3283</v>
      </c>
      <c r="G102" s="76" t="s">
        <v>3280</v>
      </c>
      <c r="H102" s="76" t="s">
        <v>3284</v>
      </c>
      <c r="I102" s="76" t="str">
        <f t="shared" si="1"/>
        <v>@ UNITED (PAKNAM - BANGPOO)</v>
      </c>
      <c r="O102" s="169">
        <v>15065</v>
      </c>
      <c r="P102" s="170" t="s">
        <v>911</v>
      </c>
      <c r="Q102" s="35"/>
    </row>
    <row r="103" spans="1:17">
      <c r="A103" s="81">
        <v>15073</v>
      </c>
      <c r="B103" s="82" t="s">
        <v>914</v>
      </c>
      <c r="C103" s="75">
        <v>11205</v>
      </c>
      <c r="D103" s="76" t="s">
        <v>3285</v>
      </c>
      <c r="E103" s="76" t="s">
        <v>3278</v>
      </c>
      <c r="F103" s="76" t="s">
        <v>3286</v>
      </c>
      <c r="G103" s="76" t="s">
        <v>3280</v>
      </c>
      <c r="H103" s="76" t="s">
        <v>3287</v>
      </c>
      <c r="I103" s="76" t="str">
        <f t="shared" si="1"/>
        <v>@ UNITED (THEPARUK (HO))</v>
      </c>
      <c r="O103" s="169">
        <v>15073</v>
      </c>
      <c r="P103" s="170" t="s">
        <v>914</v>
      </c>
      <c r="Q103" s="36"/>
    </row>
    <row r="104" spans="1:17">
      <c r="A104" s="81">
        <v>15081</v>
      </c>
      <c r="B104" s="82" t="s">
        <v>917</v>
      </c>
      <c r="C104" s="75">
        <v>11205</v>
      </c>
      <c r="D104" s="76" t="s">
        <v>3288</v>
      </c>
      <c r="E104" s="76" t="s">
        <v>3278</v>
      </c>
      <c r="F104" s="76" t="s">
        <v>3289</v>
      </c>
      <c r="G104" s="76" t="s">
        <v>3280</v>
      </c>
      <c r="H104" s="76" t="s">
        <v>3290</v>
      </c>
      <c r="I104" s="76" t="str">
        <f t="shared" si="1"/>
        <v>@ UNITED (RAMA 3)</v>
      </c>
      <c r="O104" s="169">
        <v>15081</v>
      </c>
      <c r="P104" s="170" t="s">
        <v>917</v>
      </c>
      <c r="Q104" s="22"/>
    </row>
    <row r="105" spans="1:17">
      <c r="A105" s="81">
        <v>15090</v>
      </c>
      <c r="B105" s="82" t="s">
        <v>920</v>
      </c>
      <c r="C105" s="75">
        <v>11213</v>
      </c>
      <c r="D105" s="76" t="s">
        <v>3291</v>
      </c>
      <c r="E105" s="76" t="s">
        <v>3292</v>
      </c>
      <c r="F105" s="76" t="s">
        <v>3247</v>
      </c>
      <c r="G105" s="76" t="s">
        <v>3293</v>
      </c>
      <c r="H105" s="76" t="s">
        <v>3218</v>
      </c>
      <c r="I105" s="76" t="str">
        <f t="shared" si="1"/>
        <v>T.B.N. (HEAD OFFICE)</v>
      </c>
      <c r="O105" s="169">
        <v>15090</v>
      </c>
      <c r="P105" s="170" t="s">
        <v>920</v>
      </c>
      <c r="Q105" s="22"/>
    </row>
    <row r="106" spans="1:17">
      <c r="A106" s="81">
        <v>15107</v>
      </c>
      <c r="B106" s="82" t="s">
        <v>923</v>
      </c>
      <c r="C106" s="75">
        <v>11213</v>
      </c>
      <c r="D106" s="76" t="s">
        <v>3294</v>
      </c>
      <c r="E106" s="76" t="s">
        <v>3292</v>
      </c>
      <c r="F106" s="76" t="s">
        <v>3295</v>
      </c>
      <c r="G106" s="76" t="s">
        <v>3293</v>
      </c>
      <c r="H106" s="76" t="s">
        <v>3296</v>
      </c>
      <c r="I106" s="76" t="str">
        <f t="shared" si="1"/>
        <v>T.B.N. (SUVARNABHUMI-ON NUCH)</v>
      </c>
      <c r="O106" s="169">
        <v>15107</v>
      </c>
      <c r="P106" s="170" t="s">
        <v>923</v>
      </c>
      <c r="Q106" s="22"/>
    </row>
    <row r="107" spans="1:17">
      <c r="A107" s="81">
        <v>15115</v>
      </c>
      <c r="B107" s="82" t="s">
        <v>926</v>
      </c>
      <c r="C107" s="75">
        <v>11213</v>
      </c>
      <c r="D107" s="76" t="s">
        <v>3297</v>
      </c>
      <c r="E107" s="76" t="s">
        <v>3292</v>
      </c>
      <c r="F107" s="76" t="s">
        <v>3197</v>
      </c>
      <c r="G107" s="76" t="s">
        <v>3293</v>
      </c>
      <c r="H107" s="76" t="s">
        <v>3104</v>
      </c>
      <c r="I107" s="76" t="str">
        <f t="shared" si="1"/>
        <v>T.B.N. (RAMKAMHANG)</v>
      </c>
      <c r="O107" s="169">
        <v>15115</v>
      </c>
      <c r="P107" s="170" t="s">
        <v>926</v>
      </c>
      <c r="Q107" s="36"/>
    </row>
    <row r="108" spans="1:17">
      <c r="A108" s="81">
        <v>15123</v>
      </c>
      <c r="B108" s="82" t="s">
        <v>929</v>
      </c>
      <c r="C108" s="75">
        <v>11213</v>
      </c>
      <c r="D108" s="76" t="s">
        <v>3298</v>
      </c>
      <c r="E108" s="76" t="s">
        <v>3292</v>
      </c>
      <c r="F108" s="76" t="s">
        <v>3299</v>
      </c>
      <c r="G108" s="76" t="s">
        <v>3293</v>
      </c>
      <c r="H108" s="76" t="s">
        <v>3300</v>
      </c>
      <c r="I108" s="76" t="str">
        <f t="shared" si="1"/>
        <v>T.B.N. (KARNCHANAPISEK)</v>
      </c>
      <c r="O108" s="169">
        <v>15123</v>
      </c>
      <c r="P108" s="170" t="s">
        <v>929</v>
      </c>
      <c r="Q108" s="22"/>
    </row>
    <row r="109" spans="1:17">
      <c r="A109" s="81">
        <v>15131</v>
      </c>
      <c r="B109" s="82" t="s">
        <v>932</v>
      </c>
      <c r="C109" s="75">
        <v>11221</v>
      </c>
      <c r="D109" s="76" t="s">
        <v>3301</v>
      </c>
      <c r="E109" s="76" t="s">
        <v>3302</v>
      </c>
      <c r="F109" s="76" t="s">
        <v>3302</v>
      </c>
      <c r="G109" s="76" t="s">
        <v>3303</v>
      </c>
      <c r="H109" s="76" t="s">
        <v>3218</v>
      </c>
      <c r="I109" s="76" t="str">
        <f t="shared" si="1"/>
        <v>BANGKOK (BANGKOK)</v>
      </c>
      <c r="O109" s="169">
        <v>15131</v>
      </c>
      <c r="P109" s="170" t="s">
        <v>932</v>
      </c>
      <c r="Q109" s="22"/>
    </row>
    <row r="110" spans="1:17">
      <c r="A110" s="79">
        <v>16030</v>
      </c>
      <c r="B110" s="80" t="s">
        <v>940</v>
      </c>
      <c r="C110" s="75">
        <v>11221</v>
      </c>
      <c r="D110" s="76" t="s">
        <v>3304</v>
      </c>
      <c r="E110" s="76" t="s">
        <v>3302</v>
      </c>
      <c r="F110" s="76" t="s">
        <v>3305</v>
      </c>
      <c r="G110" s="76" t="s">
        <v>3303</v>
      </c>
      <c r="H110" s="76" t="s">
        <v>3164</v>
      </c>
      <c r="I110" s="76" t="str">
        <f t="shared" si="1"/>
        <v>BANGKOK (DONGMUANG)</v>
      </c>
      <c r="O110" s="167">
        <v>16030</v>
      </c>
      <c r="P110" s="168" t="s">
        <v>940</v>
      </c>
      <c r="Q110" s="22"/>
    </row>
    <row r="111" spans="1:17">
      <c r="A111" s="90">
        <v>16041</v>
      </c>
      <c r="B111" s="91" t="s">
        <v>935</v>
      </c>
      <c r="C111" s="75">
        <v>11221</v>
      </c>
      <c r="D111" s="76" t="s">
        <v>3306</v>
      </c>
      <c r="E111" s="76" t="s">
        <v>3302</v>
      </c>
      <c r="F111" s="76" t="s">
        <v>3307</v>
      </c>
      <c r="G111" s="76" t="s">
        <v>3303</v>
      </c>
      <c r="H111" s="76" t="s">
        <v>3300</v>
      </c>
      <c r="I111" s="76" t="str">
        <f t="shared" si="1"/>
        <v>BANGKOK (KARNCHANAPHISEK)</v>
      </c>
      <c r="O111" s="178">
        <v>16041</v>
      </c>
      <c r="P111" s="179" t="s">
        <v>935</v>
      </c>
      <c r="Q111" s="22"/>
    </row>
    <row r="112" spans="1:17">
      <c r="A112" s="81">
        <v>16048</v>
      </c>
      <c r="B112" s="82" t="s">
        <v>943</v>
      </c>
      <c r="C112" s="75">
        <v>11239</v>
      </c>
      <c r="D112" s="76" t="s">
        <v>3308</v>
      </c>
      <c r="E112" s="76" t="s">
        <v>3309</v>
      </c>
      <c r="F112" s="76" t="s">
        <v>3309</v>
      </c>
      <c r="G112" s="76" t="s">
        <v>3310</v>
      </c>
      <c r="H112" s="76" t="s">
        <v>3218</v>
      </c>
      <c r="I112" s="76" t="str">
        <f t="shared" si="1"/>
        <v>FRIENDSHIP (FRIENDSHIP)</v>
      </c>
      <c r="O112" s="169">
        <v>16048</v>
      </c>
      <c r="P112" s="170" t="s">
        <v>943</v>
      </c>
      <c r="Q112" s="22"/>
    </row>
    <row r="113" spans="1:17">
      <c r="A113" s="81">
        <v>16055</v>
      </c>
      <c r="B113" s="82" t="s">
        <v>946</v>
      </c>
      <c r="C113" s="75">
        <v>11239</v>
      </c>
      <c r="D113" s="76" t="s">
        <v>3311</v>
      </c>
      <c r="E113" s="76" t="s">
        <v>3309</v>
      </c>
      <c r="F113" s="76" t="s">
        <v>3312</v>
      </c>
      <c r="G113" s="76" t="s">
        <v>3310</v>
      </c>
      <c r="H113" s="76" t="s">
        <v>3313</v>
      </c>
      <c r="I113" s="76" t="str">
        <f t="shared" si="1"/>
        <v>FRIENDSHIP (BANGKUWAD)</v>
      </c>
      <c r="O113" s="169">
        <v>16055</v>
      </c>
      <c r="P113" s="170" t="s">
        <v>946</v>
      </c>
      <c r="Q113" s="22"/>
    </row>
    <row r="114" spans="1:17">
      <c r="A114" s="81">
        <v>16071</v>
      </c>
      <c r="B114" s="82" t="s">
        <v>949</v>
      </c>
      <c r="C114" s="75">
        <v>11239</v>
      </c>
      <c r="D114" s="76" t="s">
        <v>3314</v>
      </c>
      <c r="E114" s="76" t="s">
        <v>3309</v>
      </c>
      <c r="F114" s="76" t="s">
        <v>3315</v>
      </c>
      <c r="G114" s="76" t="s">
        <v>3310</v>
      </c>
      <c r="H114" s="76" t="s">
        <v>3316</v>
      </c>
      <c r="I114" s="76" t="str">
        <f t="shared" si="1"/>
        <v>FRIENDSHIP (NAWANAKORN)</v>
      </c>
      <c r="O114" s="169">
        <v>16071</v>
      </c>
      <c r="P114" s="170" t="s">
        <v>949</v>
      </c>
      <c r="Q114" s="22"/>
    </row>
    <row r="115" spans="1:17">
      <c r="A115" s="79">
        <v>16089</v>
      </c>
      <c r="B115" s="80" t="s">
        <v>952</v>
      </c>
      <c r="C115" s="75">
        <v>11247</v>
      </c>
      <c r="D115" s="76" t="s">
        <v>3317</v>
      </c>
      <c r="E115" s="76" t="s">
        <v>3318</v>
      </c>
      <c r="F115" s="76" t="s">
        <v>3318</v>
      </c>
      <c r="G115" s="76" t="s">
        <v>3319</v>
      </c>
      <c r="H115" s="76" t="s">
        <v>3218</v>
      </c>
      <c r="I115" s="76" t="str">
        <f t="shared" si="1"/>
        <v>EMPIRES (EMPIRES)</v>
      </c>
      <c r="O115" s="167">
        <v>16089</v>
      </c>
      <c r="P115" s="168" t="s">
        <v>952</v>
      </c>
      <c r="Q115" s="22"/>
    </row>
    <row r="116" spans="1:17">
      <c r="A116" s="81">
        <v>16105</v>
      </c>
      <c r="B116" s="82" t="s">
        <v>955</v>
      </c>
      <c r="C116" s="75">
        <v>11247</v>
      </c>
      <c r="D116" s="76" t="s">
        <v>3320</v>
      </c>
      <c r="E116" s="76" t="s">
        <v>3318</v>
      </c>
      <c r="F116" s="76" t="s">
        <v>3321</v>
      </c>
      <c r="G116" s="76" t="s">
        <v>3319</v>
      </c>
      <c r="H116" s="76" t="s">
        <v>3322</v>
      </c>
      <c r="I116" s="76" t="str">
        <f t="shared" si="1"/>
        <v>EMPIRES (BANGBON)</v>
      </c>
      <c r="O116" s="169">
        <v>16105</v>
      </c>
      <c r="P116" s="170" t="s">
        <v>955</v>
      </c>
      <c r="Q116" s="22"/>
    </row>
    <row r="117" spans="1:17">
      <c r="A117" s="81">
        <v>16113</v>
      </c>
      <c r="B117" s="82" t="s">
        <v>958</v>
      </c>
      <c r="C117" s="75">
        <v>11254</v>
      </c>
      <c r="D117" s="76" t="s">
        <v>3323</v>
      </c>
      <c r="E117" s="76" t="s">
        <v>3324</v>
      </c>
      <c r="F117" s="76" t="s">
        <v>3324</v>
      </c>
      <c r="G117" s="76" t="s">
        <v>3325</v>
      </c>
      <c r="H117" s="76" t="s">
        <v>3218</v>
      </c>
      <c r="I117" s="76" t="str">
        <f t="shared" si="1"/>
        <v>SIAM AUTO SALON (SIAM AUTO SALON)</v>
      </c>
      <c r="O117" s="169">
        <v>16113</v>
      </c>
      <c r="P117" s="170" t="s">
        <v>958</v>
      </c>
      <c r="Q117" s="38"/>
    </row>
    <row r="118" spans="1:17">
      <c r="A118" s="81">
        <v>16121</v>
      </c>
      <c r="B118" s="82" t="s">
        <v>961</v>
      </c>
      <c r="C118" s="75">
        <v>11254</v>
      </c>
      <c r="D118" s="76" t="s">
        <v>3326</v>
      </c>
      <c r="E118" s="76" t="s">
        <v>3324</v>
      </c>
      <c r="F118" s="76" t="s">
        <v>3017</v>
      </c>
      <c r="G118" s="76" t="s">
        <v>3327</v>
      </c>
      <c r="H118" s="76" t="s">
        <v>3018</v>
      </c>
      <c r="I118" s="76" t="str">
        <f t="shared" si="1"/>
        <v>SIAM AUTO SALON (BANGKAE)</v>
      </c>
      <c r="O118" s="169">
        <v>16121</v>
      </c>
      <c r="P118" s="170" t="s">
        <v>961</v>
      </c>
      <c r="Q118" s="39"/>
    </row>
    <row r="119" spans="1:17">
      <c r="A119" s="81">
        <v>16139</v>
      </c>
      <c r="B119" s="82" t="s">
        <v>964</v>
      </c>
      <c r="C119" s="75">
        <v>11262</v>
      </c>
      <c r="D119" s="76" t="s">
        <v>3328</v>
      </c>
      <c r="E119" s="76" t="s">
        <v>3329</v>
      </c>
      <c r="F119" s="76" t="s">
        <v>3329</v>
      </c>
      <c r="G119" s="76" t="s">
        <v>3330</v>
      </c>
      <c r="H119" s="76" t="s">
        <v>3218</v>
      </c>
      <c r="I119" s="76" t="str">
        <f t="shared" si="1"/>
        <v>JD CARS (JD CARS)</v>
      </c>
      <c r="O119" s="169">
        <v>16139</v>
      </c>
      <c r="P119" s="170" t="s">
        <v>964</v>
      </c>
      <c r="Q119" s="33"/>
    </row>
    <row r="120" spans="1:17">
      <c r="A120" s="81">
        <v>16148</v>
      </c>
      <c r="B120" s="82" t="s">
        <v>967</v>
      </c>
      <c r="C120" s="75">
        <v>11270</v>
      </c>
      <c r="D120" s="76" t="s">
        <v>3331</v>
      </c>
      <c r="E120" s="76" t="s">
        <v>3332</v>
      </c>
      <c r="F120" s="76" t="s">
        <v>3332</v>
      </c>
      <c r="G120" s="76" t="s">
        <v>3333</v>
      </c>
      <c r="H120" s="76" t="s">
        <v>3218</v>
      </c>
      <c r="I120" s="76" t="str">
        <f t="shared" si="1"/>
        <v>NAKORNTHON (NAKORNTHON)</v>
      </c>
      <c r="O120" s="169">
        <v>16148</v>
      </c>
      <c r="P120" s="170" t="s">
        <v>967</v>
      </c>
      <c r="Q120" s="33"/>
    </row>
    <row r="121" spans="1:17">
      <c r="A121" s="81">
        <v>16164</v>
      </c>
      <c r="B121" s="82" t="s">
        <v>970</v>
      </c>
      <c r="C121" s="75">
        <v>11270</v>
      </c>
      <c r="D121" s="76" t="s">
        <v>3334</v>
      </c>
      <c r="E121" s="76" t="s">
        <v>3332</v>
      </c>
      <c r="F121" s="76" t="s">
        <v>3335</v>
      </c>
      <c r="G121" s="76" t="s">
        <v>3333</v>
      </c>
      <c r="H121" s="76" t="s">
        <v>3031</v>
      </c>
      <c r="I121" s="76" t="str">
        <f t="shared" si="1"/>
        <v>NAKORNTHON (TEPARAK)</v>
      </c>
      <c r="O121" s="169">
        <v>16164</v>
      </c>
      <c r="P121" s="170" t="s">
        <v>970</v>
      </c>
      <c r="Q121" s="33"/>
    </row>
    <row r="122" spans="1:17">
      <c r="A122" s="81">
        <v>16172</v>
      </c>
      <c r="B122" s="82" t="s">
        <v>973</v>
      </c>
      <c r="C122" s="75">
        <v>11270</v>
      </c>
      <c r="D122" s="76" t="s">
        <v>3336</v>
      </c>
      <c r="E122" s="76" t="s">
        <v>3332</v>
      </c>
      <c r="F122" s="76" t="s">
        <v>3337</v>
      </c>
      <c r="G122" s="76" t="s">
        <v>3333</v>
      </c>
      <c r="H122" s="76" t="s">
        <v>3338</v>
      </c>
      <c r="I122" s="76" t="str">
        <f t="shared" si="1"/>
        <v>NAKORNTHON (BANGBOR)</v>
      </c>
      <c r="O122" s="169">
        <v>16172</v>
      </c>
      <c r="P122" s="170" t="s">
        <v>973</v>
      </c>
      <c r="Q122" s="33"/>
    </row>
    <row r="123" spans="1:17">
      <c r="A123" s="81">
        <v>16188</v>
      </c>
      <c r="B123" s="82" t="s">
        <v>976</v>
      </c>
      <c r="C123" s="75">
        <v>11270</v>
      </c>
      <c r="D123" s="76" t="s">
        <v>3339</v>
      </c>
      <c r="E123" s="76" t="s">
        <v>3332</v>
      </c>
      <c r="F123" s="76" t="s">
        <v>3340</v>
      </c>
      <c r="G123" s="76" t="s">
        <v>3333</v>
      </c>
      <c r="H123" s="76" t="s">
        <v>3341</v>
      </c>
      <c r="I123" s="76" t="str">
        <f t="shared" si="1"/>
        <v>NAKORNTHON (SONGPRAPA)</v>
      </c>
      <c r="O123" s="169">
        <v>16188</v>
      </c>
      <c r="P123" s="170" t="s">
        <v>976</v>
      </c>
      <c r="Q123" s="37"/>
    </row>
    <row r="124" spans="1:17">
      <c r="A124" s="81">
        <v>2070</v>
      </c>
      <c r="B124" s="82" t="s">
        <v>998</v>
      </c>
      <c r="C124" s="75">
        <v>11288</v>
      </c>
      <c r="D124" s="76" t="s">
        <v>3342</v>
      </c>
      <c r="E124" s="76" t="s">
        <v>3343</v>
      </c>
      <c r="F124" s="76" t="s">
        <v>3344</v>
      </c>
      <c r="G124" s="76" t="s">
        <v>3345</v>
      </c>
      <c r="H124" s="76" t="s">
        <v>3346</v>
      </c>
      <c r="I124" s="76" t="str">
        <f t="shared" si="1"/>
        <v>MUANGNON (SAPHAN PRARAM 5)</v>
      </c>
      <c r="O124" s="169">
        <v>2070</v>
      </c>
      <c r="P124" s="170" t="s">
        <v>998</v>
      </c>
      <c r="Q124" s="33"/>
    </row>
    <row r="125" spans="1:17">
      <c r="A125" s="81">
        <v>51011</v>
      </c>
      <c r="B125" s="82" t="s">
        <v>979</v>
      </c>
      <c r="C125" s="75">
        <v>11288</v>
      </c>
      <c r="D125" s="76" t="s">
        <v>3347</v>
      </c>
      <c r="E125" s="76" t="s">
        <v>3343</v>
      </c>
      <c r="F125" s="76" t="s">
        <v>3348</v>
      </c>
      <c r="G125" s="76" t="s">
        <v>3345</v>
      </c>
      <c r="H125" s="76" t="s">
        <v>3349</v>
      </c>
      <c r="I125" s="76" t="str">
        <f t="shared" si="1"/>
        <v>MUANGNON (TIWANON (HO.))</v>
      </c>
      <c r="O125" s="169">
        <v>51011</v>
      </c>
      <c r="P125" s="170" t="s">
        <v>979</v>
      </c>
      <c r="Q125" s="33"/>
    </row>
    <row r="126" spans="1:17">
      <c r="A126" s="92" t="s">
        <v>1008</v>
      </c>
      <c r="B126" s="93"/>
      <c r="C126" s="75">
        <v>11288</v>
      </c>
      <c r="D126" s="76" t="s">
        <v>3350</v>
      </c>
      <c r="E126" s="76" t="s">
        <v>3343</v>
      </c>
      <c r="F126" s="76" t="s">
        <v>3351</v>
      </c>
      <c r="G126" s="76" t="s">
        <v>3345</v>
      </c>
      <c r="H126" s="76" t="s">
        <v>3352</v>
      </c>
      <c r="I126" s="76" t="str">
        <f t="shared" si="1"/>
        <v>MUANGNON (CHAIYAPHRUK)</v>
      </c>
      <c r="O126" s="180">
        <v>92092</v>
      </c>
      <c r="P126" s="180" t="s">
        <v>2628</v>
      </c>
      <c r="Q126" s="33"/>
    </row>
    <row r="127" spans="1:17">
      <c r="A127" s="94" t="s">
        <v>1022</v>
      </c>
      <c r="B127" s="95"/>
      <c r="C127" s="75">
        <v>11296</v>
      </c>
      <c r="D127" s="76" t="s">
        <v>3353</v>
      </c>
      <c r="E127" s="76" t="s">
        <v>3354</v>
      </c>
      <c r="F127" s="76" t="s">
        <v>3354</v>
      </c>
      <c r="G127" s="76" t="s">
        <v>3355</v>
      </c>
      <c r="H127" s="76" t="s">
        <v>3218</v>
      </c>
      <c r="I127" s="76" t="str">
        <f t="shared" si="1"/>
        <v>CHAIRATCHAKARN (CHAIRATCHAKARN)</v>
      </c>
      <c r="O127" s="180">
        <v>94481</v>
      </c>
      <c r="P127" s="180" t="s">
        <v>2629</v>
      </c>
      <c r="Q127" s="33"/>
    </row>
    <row r="128" spans="1:17">
      <c r="C128" s="75">
        <v>11296</v>
      </c>
      <c r="D128" s="76" t="s">
        <v>3356</v>
      </c>
      <c r="E128" s="76" t="s">
        <v>3354</v>
      </c>
      <c r="F128" s="76" t="s">
        <v>3357</v>
      </c>
      <c r="G128" s="76" t="s">
        <v>3355</v>
      </c>
      <c r="H128" s="76" t="s">
        <v>3358</v>
      </c>
      <c r="I128" s="76" t="str">
        <f t="shared" si="1"/>
        <v>CHAIRATCHAKARN (KASETNAWAMIN)</v>
      </c>
      <c r="O128" s="180">
        <v>94612</v>
      </c>
      <c r="P128" s="180" t="s">
        <v>2630</v>
      </c>
      <c r="Q128" s="33"/>
    </row>
    <row r="129" spans="3:17">
      <c r="C129" s="75">
        <v>11304</v>
      </c>
      <c r="D129" s="76" t="s">
        <v>3359</v>
      </c>
      <c r="E129" s="76" t="s">
        <v>3360</v>
      </c>
      <c r="F129" s="76" t="s">
        <v>3360</v>
      </c>
      <c r="G129" s="76" t="s">
        <v>3361</v>
      </c>
      <c r="H129" s="76" t="s">
        <v>3218</v>
      </c>
      <c r="I129" s="76" t="str">
        <f t="shared" si="1"/>
        <v>SUVARNABHUMI (SUVARNABHUMI)</v>
      </c>
      <c r="O129" s="180"/>
      <c r="P129" s="180"/>
      <c r="Q129" s="33"/>
    </row>
    <row r="130" spans="3:17">
      <c r="C130" s="75">
        <v>11304</v>
      </c>
      <c r="D130" s="76" t="s">
        <v>3362</v>
      </c>
      <c r="E130" s="76" t="s">
        <v>3360</v>
      </c>
      <c r="F130" s="76" t="s">
        <v>3363</v>
      </c>
      <c r="G130" s="76" t="s">
        <v>3361</v>
      </c>
      <c r="H130" s="76" t="s">
        <v>3364</v>
      </c>
      <c r="I130" s="76" t="str">
        <f t="shared" si="1"/>
        <v>SUVARNABHUMI (KINGKAEW)</v>
      </c>
      <c r="O130" s="181" t="s">
        <v>1008</v>
      </c>
      <c r="P130" s="181"/>
      <c r="Q130" s="33"/>
    </row>
    <row r="131" spans="3:17">
      <c r="C131" s="75">
        <v>11304</v>
      </c>
      <c r="D131" s="76" t="s">
        <v>3365</v>
      </c>
      <c r="E131" s="76" t="s">
        <v>3360</v>
      </c>
      <c r="F131" s="76" t="s">
        <v>3366</v>
      </c>
      <c r="G131" s="76" t="s">
        <v>3361</v>
      </c>
      <c r="H131" s="76" t="s">
        <v>3113</v>
      </c>
      <c r="I131" s="76" t="str">
        <f t="shared" si="1"/>
        <v>SUVARNABHUMI (PETCHKASEM)</v>
      </c>
      <c r="O131" s="182" t="s">
        <v>1022</v>
      </c>
      <c r="P131" s="182"/>
      <c r="Q131" s="33"/>
    </row>
    <row r="132" spans="3:17" ht="24.75">
      <c r="C132" s="75">
        <v>11312</v>
      </c>
      <c r="D132" s="76" t="s">
        <v>3367</v>
      </c>
      <c r="E132" s="76" t="s">
        <v>3368</v>
      </c>
      <c r="F132" s="76" t="s">
        <v>3368</v>
      </c>
      <c r="G132" s="76" t="s">
        <v>3369</v>
      </c>
      <c r="H132" s="76" t="s">
        <v>3218</v>
      </c>
      <c r="I132" s="76" t="str">
        <f t="shared" si="1"/>
        <v>BUZZ (BUZZ)</v>
      </c>
      <c r="O132" s="180"/>
      <c r="P132" s="183"/>
      <c r="Q132" s="33"/>
    </row>
    <row r="133" spans="3:17">
      <c r="C133" s="75">
        <v>11312</v>
      </c>
      <c r="D133" s="76" t="s">
        <v>3370</v>
      </c>
      <c r="E133" s="76" t="s">
        <v>3368</v>
      </c>
      <c r="F133" s="76" t="s">
        <v>3371</v>
      </c>
      <c r="G133" s="76" t="s">
        <v>3369</v>
      </c>
      <c r="H133" s="76" t="s">
        <v>3358</v>
      </c>
      <c r="I133" s="76" t="str">
        <f t="shared" ref="I133:I196" si="2">E133&amp;" ("&amp;F133&amp;$I$1</f>
        <v>BUZZ (KASET - NAVAMIN)</v>
      </c>
    </row>
    <row r="134" spans="3:17">
      <c r="C134" s="75">
        <v>11312</v>
      </c>
      <c r="D134" s="76" t="s">
        <v>3372</v>
      </c>
      <c r="E134" s="76" t="s">
        <v>3368</v>
      </c>
      <c r="F134" s="76" t="s">
        <v>3366</v>
      </c>
      <c r="G134" s="76" t="s">
        <v>3369</v>
      </c>
      <c r="H134" s="76" t="s">
        <v>3113</v>
      </c>
      <c r="I134" s="76" t="str">
        <f t="shared" si="2"/>
        <v>BUZZ (PETCHKASEM)</v>
      </c>
    </row>
    <row r="135" spans="3:17">
      <c r="C135" s="75">
        <v>11312</v>
      </c>
      <c r="D135" s="76" t="s">
        <v>3373</v>
      </c>
      <c r="E135" s="76" t="s">
        <v>3368</v>
      </c>
      <c r="F135" s="76" t="s">
        <v>3374</v>
      </c>
      <c r="G135" s="76" t="s">
        <v>3369</v>
      </c>
      <c r="H135" s="76" t="s">
        <v>3034</v>
      </c>
      <c r="I135" s="76" t="str">
        <f t="shared" si="2"/>
        <v>BUZZ (RAJCHAPHRUK)</v>
      </c>
    </row>
    <row r="136" spans="3:17">
      <c r="C136" s="75">
        <v>11312</v>
      </c>
      <c r="D136" s="76" t="s">
        <v>3375</v>
      </c>
      <c r="E136" s="76" t="s">
        <v>3368</v>
      </c>
      <c r="F136" s="76" t="s">
        <v>3009</v>
      </c>
      <c r="G136" s="76" t="s">
        <v>3369</v>
      </c>
      <c r="H136" s="76" t="s">
        <v>3376</v>
      </c>
      <c r="I136" s="76" t="str">
        <f t="shared" si="2"/>
        <v>BUZZ (RAMA 2)</v>
      </c>
    </row>
    <row r="137" spans="3:17">
      <c r="C137" s="75">
        <v>11320</v>
      </c>
      <c r="D137" s="76" t="s">
        <v>3377</v>
      </c>
      <c r="E137" s="76" t="s">
        <v>3378</v>
      </c>
      <c r="F137" s="76" t="s">
        <v>3378</v>
      </c>
      <c r="G137" s="76" t="s">
        <v>3379</v>
      </c>
      <c r="H137" s="76" t="s">
        <v>3218</v>
      </c>
      <c r="I137" s="76" t="str">
        <f t="shared" si="2"/>
        <v>KANCHANATHEP (KANCHANATHEP)</v>
      </c>
    </row>
    <row r="138" spans="3:17">
      <c r="C138" s="75">
        <v>11346</v>
      </c>
      <c r="D138" s="76" t="s">
        <v>3380</v>
      </c>
      <c r="E138" s="76" t="s">
        <v>3381</v>
      </c>
      <c r="F138" s="76" t="s">
        <v>3381</v>
      </c>
      <c r="G138" s="76" t="s">
        <v>3382</v>
      </c>
      <c r="H138" s="76" t="s">
        <v>3218</v>
      </c>
      <c r="I138" s="76" t="str">
        <f t="shared" si="2"/>
        <v>LEXUS AUTO CITY (LEXUS AUTO CITY)</v>
      </c>
    </row>
    <row r="139" spans="3:17">
      <c r="C139" s="75">
        <v>11353</v>
      </c>
      <c r="D139" s="76" t="s">
        <v>3383</v>
      </c>
      <c r="E139" s="76" t="s">
        <v>3384</v>
      </c>
      <c r="F139" s="76" t="s">
        <v>3247</v>
      </c>
      <c r="G139" s="76" t="s">
        <v>3385</v>
      </c>
      <c r="H139" s="76" t="s">
        <v>3218</v>
      </c>
      <c r="I139" s="76" t="str">
        <f t="shared" si="2"/>
        <v>MITSUI BUSSAN AUTOMOTIVE (HEAD OFFICE)</v>
      </c>
    </row>
    <row r="140" spans="3:17">
      <c r="C140" s="75">
        <v>12013</v>
      </c>
      <c r="D140" s="76" t="s">
        <v>3386</v>
      </c>
      <c r="E140" s="76" t="s">
        <v>3387</v>
      </c>
      <c r="F140" s="76" t="s">
        <v>3388</v>
      </c>
      <c r="G140" s="76" t="s">
        <v>3389</v>
      </c>
      <c r="H140" s="76" t="s">
        <v>3390</v>
      </c>
      <c r="I140" s="76" t="str">
        <f t="shared" si="2"/>
        <v>NONTHABURI (MUANG)</v>
      </c>
    </row>
    <row r="141" spans="3:17">
      <c r="C141" s="75">
        <v>12013</v>
      </c>
      <c r="D141" s="76" t="s">
        <v>3391</v>
      </c>
      <c r="E141" s="76" t="s">
        <v>3387</v>
      </c>
      <c r="F141" s="76" t="s">
        <v>3392</v>
      </c>
      <c r="G141" s="76" t="s">
        <v>3389</v>
      </c>
      <c r="H141" s="76" t="s">
        <v>3393</v>
      </c>
      <c r="I141" s="76" t="str">
        <f t="shared" si="2"/>
        <v>NONTHABURI (BANGYAI)</v>
      </c>
    </row>
    <row r="142" spans="3:17">
      <c r="C142" s="75">
        <v>12013</v>
      </c>
      <c r="D142" s="76" t="s">
        <v>3394</v>
      </c>
      <c r="E142" s="76" t="s">
        <v>3387</v>
      </c>
      <c r="F142" s="76" t="s">
        <v>3395</v>
      </c>
      <c r="G142" s="76" t="s">
        <v>3389</v>
      </c>
      <c r="H142" s="76" t="s">
        <v>3396</v>
      </c>
      <c r="I142" s="76" t="str">
        <f t="shared" si="2"/>
        <v>NONTHABURI (RATTANATHIBET)</v>
      </c>
    </row>
    <row r="143" spans="3:17">
      <c r="C143" s="75">
        <v>12013</v>
      </c>
      <c r="D143" s="76" t="s">
        <v>3397</v>
      </c>
      <c r="E143" s="76" t="s">
        <v>3387</v>
      </c>
      <c r="F143" s="76" t="s">
        <v>3398</v>
      </c>
      <c r="G143" s="76" t="s">
        <v>3389</v>
      </c>
      <c r="H143" s="76" t="s">
        <v>3399</v>
      </c>
      <c r="I143" s="76" t="str">
        <f t="shared" si="2"/>
        <v>NONTHABURI (CHANGWATTANA)</v>
      </c>
    </row>
    <row r="144" spans="3:17">
      <c r="C144" s="75">
        <v>12013</v>
      </c>
      <c r="D144" s="76" t="s">
        <v>3400</v>
      </c>
      <c r="E144" s="76" t="s">
        <v>3387</v>
      </c>
      <c r="F144" s="76" t="s">
        <v>3401</v>
      </c>
      <c r="G144" s="76" t="s">
        <v>3389</v>
      </c>
      <c r="H144" s="76" t="s">
        <v>3402</v>
      </c>
      <c r="I144" s="76" t="str">
        <f t="shared" si="2"/>
        <v>NONTHABURI (BANGBUATONG)</v>
      </c>
    </row>
    <row r="145" spans="3:9">
      <c r="C145" s="75">
        <v>12013</v>
      </c>
      <c r="D145" s="76" t="s">
        <v>3403</v>
      </c>
      <c r="E145" s="76" t="s">
        <v>3387</v>
      </c>
      <c r="F145" s="76" t="s">
        <v>3404</v>
      </c>
      <c r="G145" s="76" t="s">
        <v>3389</v>
      </c>
      <c r="H145" s="76" t="s">
        <v>3405</v>
      </c>
      <c r="I145" s="76" t="str">
        <f t="shared" si="2"/>
        <v>NONTHABURI (SAINOI)</v>
      </c>
    </row>
    <row r="146" spans="3:9">
      <c r="C146" s="75">
        <v>12013</v>
      </c>
      <c r="D146" s="76" t="s">
        <v>3406</v>
      </c>
      <c r="E146" s="76" t="s">
        <v>3387</v>
      </c>
      <c r="F146" s="76" t="s">
        <v>3033</v>
      </c>
      <c r="G146" s="76" t="s">
        <v>3389</v>
      </c>
      <c r="H146" s="76" t="s">
        <v>3034</v>
      </c>
      <c r="I146" s="76" t="str">
        <f t="shared" si="2"/>
        <v>NONTHABURI (RATCHAPRUEK)</v>
      </c>
    </row>
    <row r="147" spans="3:9">
      <c r="C147" s="75">
        <v>12021</v>
      </c>
      <c r="D147" s="76" t="s">
        <v>3407</v>
      </c>
      <c r="E147" s="76" t="s">
        <v>3408</v>
      </c>
      <c r="F147" s="76" t="s">
        <v>3388</v>
      </c>
      <c r="G147" s="76" t="s">
        <v>3409</v>
      </c>
      <c r="H147" s="76" t="s">
        <v>3390</v>
      </c>
      <c r="I147" s="76" t="str">
        <f t="shared" si="2"/>
        <v>NAKORNPATHOM (MUANG)</v>
      </c>
    </row>
    <row r="148" spans="3:9">
      <c r="C148" s="75">
        <v>12021</v>
      </c>
      <c r="D148" s="76" t="s">
        <v>3410</v>
      </c>
      <c r="E148" s="76" t="s">
        <v>3408</v>
      </c>
      <c r="F148" s="76" t="s">
        <v>3411</v>
      </c>
      <c r="G148" s="76" t="s">
        <v>3409</v>
      </c>
      <c r="H148" s="76" t="s">
        <v>3412</v>
      </c>
      <c r="I148" s="76" t="str">
        <f t="shared" si="2"/>
        <v>NAKORNPATHOM (OM-YAI)</v>
      </c>
    </row>
    <row r="149" spans="3:9">
      <c r="C149" s="75">
        <v>12021</v>
      </c>
      <c r="D149" s="76" t="s">
        <v>3413</v>
      </c>
      <c r="E149" s="76" t="s">
        <v>3408</v>
      </c>
      <c r="F149" s="76" t="s">
        <v>3414</v>
      </c>
      <c r="G149" s="76" t="s">
        <v>3409</v>
      </c>
      <c r="H149" s="76" t="s">
        <v>3415</v>
      </c>
      <c r="I149" s="76" t="str">
        <f t="shared" si="2"/>
        <v>NAKORNPATHOM (BANGLANE)</v>
      </c>
    </row>
    <row r="150" spans="3:9">
      <c r="C150" s="75">
        <v>12021</v>
      </c>
      <c r="D150" s="76" t="s">
        <v>3416</v>
      </c>
      <c r="E150" s="76" t="s">
        <v>3408</v>
      </c>
      <c r="F150" s="76" t="s">
        <v>3417</v>
      </c>
      <c r="G150" s="76" t="s">
        <v>3409</v>
      </c>
      <c r="H150" s="76" t="s">
        <v>3418</v>
      </c>
      <c r="I150" s="76" t="str">
        <f t="shared" si="2"/>
        <v>NAKORNPATHOM (KAMPANGSEANG)</v>
      </c>
    </row>
    <row r="151" spans="3:9">
      <c r="C151" s="75">
        <v>12021</v>
      </c>
      <c r="D151" s="76" t="s">
        <v>3419</v>
      </c>
      <c r="E151" s="76" t="s">
        <v>3408</v>
      </c>
      <c r="F151" s="76" t="s">
        <v>3420</v>
      </c>
      <c r="G151" s="76" t="s">
        <v>3409</v>
      </c>
      <c r="H151" s="76" t="s">
        <v>3421</v>
      </c>
      <c r="I151" s="76" t="str">
        <f t="shared" si="2"/>
        <v>NAKORNPATHOM (PUDTHAMONTHON)</v>
      </c>
    </row>
    <row r="152" spans="3:9">
      <c r="C152" s="75">
        <v>12021</v>
      </c>
      <c r="D152" s="76" t="s">
        <v>3422</v>
      </c>
      <c r="E152" s="76" t="s">
        <v>3408</v>
      </c>
      <c r="F152" s="76" t="s">
        <v>3423</v>
      </c>
      <c r="G152" s="76" t="s">
        <v>3409</v>
      </c>
      <c r="H152" s="76" t="s">
        <v>3424</v>
      </c>
      <c r="I152" s="76" t="str">
        <f t="shared" si="2"/>
        <v>NAKORNPATHOM (TALADJINDA)</v>
      </c>
    </row>
    <row r="153" spans="3:9">
      <c r="C153" s="75">
        <v>12039</v>
      </c>
      <c r="D153" s="76" t="s">
        <v>3425</v>
      </c>
      <c r="E153" s="76" t="s">
        <v>3426</v>
      </c>
      <c r="F153" s="76" t="s">
        <v>3388</v>
      </c>
      <c r="G153" s="76" t="s">
        <v>3427</v>
      </c>
      <c r="H153" s="76" t="s">
        <v>3390</v>
      </c>
      <c r="I153" s="76" t="str">
        <f t="shared" si="2"/>
        <v>SUPANBURI (MUANG)</v>
      </c>
    </row>
    <row r="154" spans="3:9">
      <c r="C154" s="75">
        <v>12039</v>
      </c>
      <c r="D154" s="76" t="s">
        <v>3428</v>
      </c>
      <c r="E154" s="76" t="s">
        <v>3426</v>
      </c>
      <c r="F154" s="76" t="s">
        <v>3429</v>
      </c>
      <c r="G154" s="76" t="s">
        <v>3427</v>
      </c>
      <c r="H154" s="76" t="s">
        <v>3430</v>
      </c>
      <c r="I154" s="76" t="str">
        <f t="shared" si="2"/>
        <v>SUPANBURI (U-THONG)</v>
      </c>
    </row>
    <row r="155" spans="3:9">
      <c r="C155" s="75">
        <v>12039</v>
      </c>
      <c r="D155" s="76" t="s">
        <v>3431</v>
      </c>
      <c r="E155" s="76" t="s">
        <v>3426</v>
      </c>
      <c r="F155" s="76" t="s">
        <v>3432</v>
      </c>
      <c r="G155" s="76" t="s">
        <v>3427</v>
      </c>
      <c r="H155" s="76" t="s">
        <v>3433</v>
      </c>
      <c r="I155" s="76" t="str">
        <f t="shared" si="2"/>
        <v>SUPANBURI (DAN CHANG)</v>
      </c>
    </row>
    <row r="156" spans="3:9">
      <c r="C156" s="75">
        <v>12039</v>
      </c>
      <c r="D156" s="76" t="s">
        <v>3434</v>
      </c>
      <c r="E156" s="76" t="s">
        <v>3426</v>
      </c>
      <c r="F156" s="76" t="s">
        <v>3435</v>
      </c>
      <c r="G156" s="76" t="s">
        <v>3427</v>
      </c>
      <c r="H156" s="76" t="s">
        <v>3436</v>
      </c>
      <c r="I156" s="76" t="str">
        <f t="shared" si="2"/>
        <v>SUPANBURI (SONGPINONG)</v>
      </c>
    </row>
    <row r="157" spans="3:9">
      <c r="C157" s="75">
        <v>12047</v>
      </c>
      <c r="D157" s="76" t="s">
        <v>3437</v>
      </c>
      <c r="E157" s="76" t="s">
        <v>3438</v>
      </c>
      <c r="F157" s="76" t="s">
        <v>3439</v>
      </c>
      <c r="G157" s="76" t="s">
        <v>3440</v>
      </c>
      <c r="H157" s="76" t="s">
        <v>3441</v>
      </c>
      <c r="I157" s="76" t="str">
        <f t="shared" si="2"/>
        <v>CHAROENKHA (BAN PONG)</v>
      </c>
    </row>
    <row r="158" spans="3:9">
      <c r="C158" s="75">
        <v>12047</v>
      </c>
      <c r="D158" s="76" t="s">
        <v>3442</v>
      </c>
      <c r="E158" s="76" t="s">
        <v>3438</v>
      </c>
      <c r="F158" s="76" t="s">
        <v>3443</v>
      </c>
      <c r="G158" s="76" t="s">
        <v>3440</v>
      </c>
      <c r="H158" s="76" t="s">
        <v>3444</v>
      </c>
      <c r="I158" s="76" t="str">
        <f t="shared" si="2"/>
        <v>CHAROENKHA (POTHARAM)</v>
      </c>
    </row>
    <row r="159" spans="3:9">
      <c r="C159" s="75">
        <v>12047</v>
      </c>
      <c r="D159" s="76" t="s">
        <v>3445</v>
      </c>
      <c r="E159" s="76" t="s">
        <v>3438</v>
      </c>
      <c r="F159" s="76" t="s">
        <v>3446</v>
      </c>
      <c r="G159" s="76" t="s">
        <v>3440</v>
      </c>
      <c r="H159" s="76" t="s">
        <v>3447</v>
      </c>
      <c r="I159" s="76" t="str">
        <f t="shared" si="2"/>
        <v>CHAROENKHA (JOM-BUENG)</v>
      </c>
    </row>
    <row r="160" spans="3:9">
      <c r="C160" s="75">
        <v>12054</v>
      </c>
      <c r="D160" s="76" t="s">
        <v>3448</v>
      </c>
      <c r="E160" s="76" t="s">
        <v>2997</v>
      </c>
      <c r="F160" s="76" t="s">
        <v>3388</v>
      </c>
      <c r="G160" s="76" t="s">
        <v>3054</v>
      </c>
      <c r="H160" s="76" t="s">
        <v>3390</v>
      </c>
      <c r="I160" s="76" t="str">
        <f t="shared" si="2"/>
        <v>PETCHBURI (MUANG)</v>
      </c>
    </row>
    <row r="161" spans="3:9">
      <c r="C161" s="75">
        <v>12054</v>
      </c>
      <c r="D161" s="76" t="s">
        <v>3449</v>
      </c>
      <c r="E161" s="76" t="s">
        <v>2997</v>
      </c>
      <c r="F161" s="76" t="s">
        <v>3450</v>
      </c>
      <c r="G161" s="76" t="s">
        <v>3054</v>
      </c>
      <c r="H161" s="76" t="s">
        <v>3451</v>
      </c>
      <c r="I161" s="76" t="str">
        <f t="shared" si="2"/>
        <v>PETCHBURI (BORKHAEM)</v>
      </c>
    </row>
    <row r="162" spans="3:9">
      <c r="C162" s="75">
        <v>12062</v>
      </c>
      <c r="D162" s="76" t="s">
        <v>3452</v>
      </c>
      <c r="E162" s="76" t="s">
        <v>3453</v>
      </c>
      <c r="F162" s="76" t="s">
        <v>3454</v>
      </c>
      <c r="G162" s="76" t="s">
        <v>3455</v>
      </c>
      <c r="H162" s="76" t="s">
        <v>3456</v>
      </c>
      <c r="I162" s="76" t="str">
        <f t="shared" si="2"/>
        <v>SARABURI (MUAK LEK)</v>
      </c>
    </row>
    <row r="163" spans="3:9">
      <c r="C163" s="75">
        <v>12062</v>
      </c>
      <c r="D163" s="76" t="s">
        <v>3457</v>
      </c>
      <c r="E163" s="76" t="s">
        <v>3453</v>
      </c>
      <c r="F163" s="76" t="s">
        <v>3388</v>
      </c>
      <c r="G163" s="76" t="s">
        <v>3455</v>
      </c>
      <c r="H163" s="76" t="s">
        <v>3390</v>
      </c>
      <c r="I163" s="76" t="str">
        <f t="shared" si="2"/>
        <v>SARABURI (MUANG)</v>
      </c>
    </row>
    <row r="164" spans="3:9">
      <c r="C164" s="75">
        <v>12062</v>
      </c>
      <c r="D164" s="76" t="s">
        <v>3458</v>
      </c>
      <c r="E164" s="76" t="s">
        <v>3453</v>
      </c>
      <c r="F164" s="76" t="s">
        <v>3459</v>
      </c>
      <c r="G164" s="76" t="s">
        <v>3455</v>
      </c>
      <c r="H164" s="76" t="s">
        <v>3460</v>
      </c>
      <c r="I164" s="76" t="str">
        <f t="shared" si="2"/>
        <v>SARABURI (PHAPHUDHABAT)</v>
      </c>
    </row>
    <row r="165" spans="3:9">
      <c r="C165" s="75">
        <v>12062</v>
      </c>
      <c r="D165" s="76" t="s">
        <v>3461</v>
      </c>
      <c r="E165" s="76" t="s">
        <v>3453</v>
      </c>
      <c r="F165" s="76" t="s">
        <v>3462</v>
      </c>
      <c r="G165" s="76" t="s">
        <v>3455</v>
      </c>
      <c r="H165" s="76" t="s">
        <v>3463</v>
      </c>
      <c r="I165" s="76" t="str">
        <f t="shared" si="2"/>
        <v>SARABURI (NONGKAE)</v>
      </c>
    </row>
    <row r="166" spans="3:9">
      <c r="C166" s="75">
        <v>12062</v>
      </c>
      <c r="D166" s="76" t="s">
        <v>3464</v>
      </c>
      <c r="E166" s="76" t="s">
        <v>3453</v>
      </c>
      <c r="F166" s="76" t="s">
        <v>3465</v>
      </c>
      <c r="G166" s="76" t="s">
        <v>3455</v>
      </c>
      <c r="H166" s="76" t="s">
        <v>3466</v>
      </c>
      <c r="I166" s="76" t="str">
        <f t="shared" si="2"/>
        <v>SARABURI (KEANGKHOI)</v>
      </c>
    </row>
    <row r="167" spans="3:9">
      <c r="C167" s="75">
        <v>12070</v>
      </c>
      <c r="D167" s="76" t="s">
        <v>3467</v>
      </c>
      <c r="E167" s="76" t="s">
        <v>3468</v>
      </c>
      <c r="F167" s="76" t="s">
        <v>3469</v>
      </c>
      <c r="G167" s="76" t="s">
        <v>3470</v>
      </c>
      <c r="H167" s="76" t="s">
        <v>3471</v>
      </c>
      <c r="I167" s="76" t="str">
        <f t="shared" si="2"/>
        <v>AYUDHAYA (SEA-NA)</v>
      </c>
    </row>
    <row r="168" spans="3:9">
      <c r="C168" s="75">
        <v>12070</v>
      </c>
      <c r="D168" s="76" t="s">
        <v>3472</v>
      </c>
      <c r="E168" s="76" t="s">
        <v>3468</v>
      </c>
      <c r="F168" s="76" t="s">
        <v>3473</v>
      </c>
      <c r="G168" s="76" t="s">
        <v>3470</v>
      </c>
      <c r="H168" s="76" t="s">
        <v>3474</v>
      </c>
      <c r="I168" s="76" t="str">
        <f t="shared" si="2"/>
        <v>AYUDHAYA (HO. (ASIA ROAD))</v>
      </c>
    </row>
    <row r="169" spans="3:9">
      <c r="C169" s="75">
        <v>12070</v>
      </c>
      <c r="D169" s="76" t="s">
        <v>3475</v>
      </c>
      <c r="E169" s="76" t="s">
        <v>3468</v>
      </c>
      <c r="F169" s="76" t="s">
        <v>3476</v>
      </c>
      <c r="G169" s="76" t="s">
        <v>3470</v>
      </c>
      <c r="H169" s="76" t="s">
        <v>3477</v>
      </c>
      <c r="I169" s="76" t="str">
        <f t="shared" si="2"/>
        <v>AYUDHAYA (LADBUALUANG)</v>
      </c>
    </row>
    <row r="170" spans="3:9">
      <c r="C170" s="75">
        <v>12088</v>
      </c>
      <c r="D170" s="76" t="s">
        <v>3478</v>
      </c>
      <c r="E170" s="76" t="s">
        <v>3479</v>
      </c>
      <c r="F170" s="76" t="s">
        <v>3388</v>
      </c>
      <c r="G170" s="76" t="s">
        <v>3480</v>
      </c>
      <c r="H170" s="76" t="s">
        <v>3390</v>
      </c>
      <c r="I170" s="76" t="str">
        <f t="shared" si="2"/>
        <v>LOPBURI (MUANG)</v>
      </c>
    </row>
    <row r="171" spans="3:9">
      <c r="C171" s="75">
        <v>12088</v>
      </c>
      <c r="D171" s="76" t="s">
        <v>3481</v>
      </c>
      <c r="E171" s="76" t="s">
        <v>3479</v>
      </c>
      <c r="F171" s="76" t="s">
        <v>3482</v>
      </c>
      <c r="G171" s="76" t="s">
        <v>3480</v>
      </c>
      <c r="H171" s="76" t="s">
        <v>3483</v>
      </c>
      <c r="I171" s="76" t="str">
        <f t="shared" si="2"/>
        <v>LOPBURI (KOKSAMRONG)</v>
      </c>
    </row>
    <row r="172" spans="3:9">
      <c r="C172" s="75">
        <v>12088</v>
      </c>
      <c r="D172" s="76" t="s">
        <v>3484</v>
      </c>
      <c r="E172" s="76" t="s">
        <v>3479</v>
      </c>
      <c r="F172" s="76" t="s">
        <v>3485</v>
      </c>
      <c r="G172" s="76" t="s">
        <v>3480</v>
      </c>
      <c r="H172" s="76" t="s">
        <v>3486</v>
      </c>
      <c r="I172" s="76" t="str">
        <f t="shared" si="2"/>
        <v>LOPBURI (PATTANANIKOM)</v>
      </c>
    </row>
    <row r="173" spans="3:9">
      <c r="C173" s="75">
        <v>12104</v>
      </c>
      <c r="D173" s="76" t="s">
        <v>3487</v>
      </c>
      <c r="E173" s="76" t="s">
        <v>3488</v>
      </c>
      <c r="F173" s="76" t="s">
        <v>3489</v>
      </c>
      <c r="G173" s="76" t="s">
        <v>3490</v>
      </c>
      <c r="H173" s="76" t="s">
        <v>3491</v>
      </c>
      <c r="I173" s="76" t="str">
        <f t="shared" si="2"/>
        <v>SAMUTSAKORN (MAHACHAI)</v>
      </c>
    </row>
    <row r="174" spans="3:9">
      <c r="C174" s="75">
        <v>12104</v>
      </c>
      <c r="D174" s="76" t="s">
        <v>3492</v>
      </c>
      <c r="E174" s="76" t="s">
        <v>3488</v>
      </c>
      <c r="F174" s="76" t="s">
        <v>3388</v>
      </c>
      <c r="G174" s="76" t="s">
        <v>3490</v>
      </c>
      <c r="H174" s="76" t="s">
        <v>3390</v>
      </c>
      <c r="I174" s="76" t="str">
        <f t="shared" si="2"/>
        <v>SAMUTSAKORN (MUANG)</v>
      </c>
    </row>
    <row r="175" spans="3:9">
      <c r="C175" s="75">
        <v>12104</v>
      </c>
      <c r="D175" s="76" t="s">
        <v>3493</v>
      </c>
      <c r="E175" s="76" t="s">
        <v>3488</v>
      </c>
      <c r="F175" s="76" t="s">
        <v>3494</v>
      </c>
      <c r="G175" s="76" t="s">
        <v>3490</v>
      </c>
      <c r="H175" s="76" t="s">
        <v>3495</v>
      </c>
      <c r="I175" s="76" t="str">
        <f t="shared" si="2"/>
        <v>SAMUTSAKORN (KRATHUMBAN)</v>
      </c>
    </row>
    <row r="176" spans="3:9">
      <c r="C176" s="75">
        <v>12104</v>
      </c>
      <c r="D176" s="76" t="s">
        <v>3496</v>
      </c>
      <c r="E176" s="76" t="s">
        <v>3488</v>
      </c>
      <c r="F176" s="76" t="s">
        <v>3497</v>
      </c>
      <c r="G176" s="76" t="s">
        <v>3490</v>
      </c>
      <c r="H176" s="76" t="s">
        <v>3498</v>
      </c>
      <c r="I176" s="76" t="str">
        <f t="shared" si="2"/>
        <v>SAMUTSAKORN (SEADTAKIT ROAD)</v>
      </c>
    </row>
    <row r="177" spans="3:9">
      <c r="C177" s="75">
        <v>12112</v>
      </c>
      <c r="D177" s="76" t="s">
        <v>3499</v>
      </c>
      <c r="E177" s="76" t="s">
        <v>3500</v>
      </c>
      <c r="F177" s="76" t="s">
        <v>3388</v>
      </c>
      <c r="G177" s="76" t="s">
        <v>3501</v>
      </c>
      <c r="H177" s="76" t="s">
        <v>3390</v>
      </c>
      <c r="I177" s="76" t="str">
        <f t="shared" si="2"/>
        <v>PRACHUABKIRIKAN (MUANG)</v>
      </c>
    </row>
    <row r="178" spans="3:9">
      <c r="C178" s="75">
        <v>12112</v>
      </c>
      <c r="D178" s="76" t="s">
        <v>3502</v>
      </c>
      <c r="E178" s="76" t="s">
        <v>3500</v>
      </c>
      <c r="F178" s="76" t="s">
        <v>3503</v>
      </c>
      <c r="G178" s="76" t="s">
        <v>3501</v>
      </c>
      <c r="H178" s="76" t="s">
        <v>3504</v>
      </c>
      <c r="I178" s="76" t="str">
        <f t="shared" si="2"/>
        <v>PRACHUABKIRIKAN (PRANBURI)</v>
      </c>
    </row>
    <row r="179" spans="3:9">
      <c r="C179" s="75">
        <v>12112</v>
      </c>
      <c r="D179" s="76" t="s">
        <v>3505</v>
      </c>
      <c r="E179" s="76" t="s">
        <v>3500</v>
      </c>
      <c r="F179" s="76" t="s">
        <v>3506</v>
      </c>
      <c r="G179" s="76" t="s">
        <v>3501</v>
      </c>
      <c r="H179" s="76" t="s">
        <v>3507</v>
      </c>
      <c r="I179" s="76" t="str">
        <f t="shared" si="2"/>
        <v>PRACHUABKIRIKAN (BANGSAPARN)</v>
      </c>
    </row>
    <row r="180" spans="3:9">
      <c r="C180" s="75">
        <v>12112</v>
      </c>
      <c r="D180" s="76" t="s">
        <v>3508</v>
      </c>
      <c r="E180" s="76" t="s">
        <v>3500</v>
      </c>
      <c r="F180" s="76" t="s">
        <v>3509</v>
      </c>
      <c r="G180" s="76" t="s">
        <v>3501</v>
      </c>
      <c r="H180" s="76" t="s">
        <v>3510</v>
      </c>
      <c r="I180" s="76" t="str">
        <f t="shared" si="2"/>
        <v>PRACHUABKIRIKAN (HUA HIN)</v>
      </c>
    </row>
    <row r="181" spans="3:9">
      <c r="C181" s="75">
        <v>12120</v>
      </c>
      <c r="D181" s="76" t="s">
        <v>3511</v>
      </c>
      <c r="E181" s="76" t="s">
        <v>3512</v>
      </c>
      <c r="F181" s="76" t="s">
        <v>3513</v>
      </c>
      <c r="G181" s="76" t="s">
        <v>3514</v>
      </c>
      <c r="H181" s="76" t="s">
        <v>3515</v>
      </c>
      <c r="I181" s="76" t="str">
        <f t="shared" si="2"/>
        <v>KARNCHANABURI (THAMAKA)</v>
      </c>
    </row>
    <row r="182" spans="3:9">
      <c r="C182" s="75">
        <v>12120</v>
      </c>
      <c r="D182" s="76" t="s">
        <v>3516</v>
      </c>
      <c r="E182" s="76" t="s">
        <v>3512</v>
      </c>
      <c r="F182" s="76" t="s">
        <v>3388</v>
      </c>
      <c r="G182" s="76" t="s">
        <v>3514</v>
      </c>
      <c r="H182" s="76" t="s">
        <v>3390</v>
      </c>
      <c r="I182" s="76" t="str">
        <f t="shared" si="2"/>
        <v>KARNCHANABURI (MUANG)</v>
      </c>
    </row>
    <row r="183" spans="3:9">
      <c r="C183" s="75">
        <v>12120</v>
      </c>
      <c r="D183" s="76" t="s">
        <v>3517</v>
      </c>
      <c r="E183" s="76" t="s">
        <v>3512</v>
      </c>
      <c r="F183" s="76" t="s">
        <v>3518</v>
      </c>
      <c r="G183" s="76" t="s">
        <v>3514</v>
      </c>
      <c r="H183" s="76" t="s">
        <v>3519</v>
      </c>
      <c r="I183" s="76" t="str">
        <f t="shared" si="2"/>
        <v>KARNCHANABURI (PANOMTUAN)</v>
      </c>
    </row>
    <row r="184" spans="3:9">
      <c r="C184" s="75">
        <v>12138</v>
      </c>
      <c r="D184" s="76" t="s">
        <v>3520</v>
      </c>
      <c r="E184" s="76" t="s">
        <v>3521</v>
      </c>
      <c r="F184" s="76" t="s">
        <v>3522</v>
      </c>
      <c r="G184" s="76" t="s">
        <v>3523</v>
      </c>
      <c r="H184" s="76" t="s">
        <v>3524</v>
      </c>
      <c r="I184" s="76" t="str">
        <f t="shared" si="2"/>
        <v>TEERACHAI (WANGMANOW)</v>
      </c>
    </row>
    <row r="185" spans="3:9">
      <c r="C185" s="75">
        <v>12138</v>
      </c>
      <c r="D185" s="76" t="s">
        <v>3525</v>
      </c>
      <c r="E185" s="76" t="s">
        <v>3521</v>
      </c>
      <c r="F185" s="76" t="s">
        <v>3388</v>
      </c>
      <c r="G185" s="76" t="s">
        <v>3523</v>
      </c>
      <c r="H185" s="76" t="s">
        <v>3390</v>
      </c>
      <c r="I185" s="76" t="str">
        <f t="shared" si="2"/>
        <v>TEERACHAI (MUANG)</v>
      </c>
    </row>
    <row r="186" spans="3:9">
      <c r="C186" s="75">
        <v>12138</v>
      </c>
      <c r="D186" s="76" t="s">
        <v>3526</v>
      </c>
      <c r="E186" s="76" t="s">
        <v>3521</v>
      </c>
      <c r="F186" s="76" t="s">
        <v>3527</v>
      </c>
      <c r="G186" s="76" t="s">
        <v>3523</v>
      </c>
      <c r="H186" s="76" t="s">
        <v>3528</v>
      </c>
      <c r="I186" s="76" t="str">
        <f t="shared" si="2"/>
        <v>TEERACHAI (DAMNERNSA-DUAK)</v>
      </c>
    </row>
    <row r="187" spans="3:9">
      <c r="C187" s="75">
        <v>12146</v>
      </c>
      <c r="D187" s="76" t="s">
        <v>3529</v>
      </c>
      <c r="E187" s="76" t="s">
        <v>3530</v>
      </c>
      <c r="F187" s="76" t="s">
        <v>3531</v>
      </c>
      <c r="G187" s="76" t="s">
        <v>3532</v>
      </c>
      <c r="H187" s="76" t="s">
        <v>3533</v>
      </c>
      <c r="I187" s="76" t="str">
        <f t="shared" si="2"/>
        <v>PATHUMTHANI (KLONG LUANG)</v>
      </c>
    </row>
    <row r="188" spans="3:9">
      <c r="C188" s="75">
        <v>12146</v>
      </c>
      <c r="D188" s="76" t="s">
        <v>3534</v>
      </c>
      <c r="E188" s="76" t="s">
        <v>3530</v>
      </c>
      <c r="F188" s="76" t="s">
        <v>3388</v>
      </c>
      <c r="G188" s="76" t="s">
        <v>3532</v>
      </c>
      <c r="H188" s="76" t="s">
        <v>3390</v>
      </c>
      <c r="I188" s="76" t="str">
        <f t="shared" si="2"/>
        <v>PATHUMTHANI (MUANG)</v>
      </c>
    </row>
    <row r="189" spans="3:9">
      <c r="C189" s="75">
        <v>12146</v>
      </c>
      <c r="D189" s="76" t="s">
        <v>3535</v>
      </c>
      <c r="E189" s="76" t="s">
        <v>3530</v>
      </c>
      <c r="F189" s="76" t="s">
        <v>3257</v>
      </c>
      <c r="G189" s="76" t="s">
        <v>3532</v>
      </c>
      <c r="H189" s="76" t="s">
        <v>3258</v>
      </c>
      <c r="I189" s="76" t="str">
        <f t="shared" si="2"/>
        <v>PATHUMTHANI (RANGSIT)</v>
      </c>
    </row>
    <row r="190" spans="3:9">
      <c r="C190" s="75">
        <v>12153</v>
      </c>
      <c r="D190" s="76" t="s">
        <v>3536</v>
      </c>
      <c r="E190" s="76" t="s">
        <v>3537</v>
      </c>
      <c r="F190" s="76" t="s">
        <v>3388</v>
      </c>
      <c r="G190" s="76" t="s">
        <v>3538</v>
      </c>
      <c r="H190" s="76" t="s">
        <v>3390</v>
      </c>
      <c r="I190" s="76" t="str">
        <f t="shared" si="2"/>
        <v>SINGBURI (MUANG)</v>
      </c>
    </row>
    <row r="191" spans="3:9">
      <c r="C191" s="75">
        <v>12153</v>
      </c>
      <c r="D191" s="76" t="s">
        <v>3539</v>
      </c>
      <c r="E191" s="76" t="s">
        <v>3537</v>
      </c>
      <c r="F191" s="76" t="s">
        <v>3540</v>
      </c>
      <c r="G191" s="76" t="s">
        <v>3538</v>
      </c>
      <c r="H191" s="76" t="s">
        <v>3541</v>
      </c>
      <c r="I191" s="76" t="str">
        <f t="shared" si="2"/>
        <v>SINGBURI (INBURI)</v>
      </c>
    </row>
    <row r="192" spans="3:9">
      <c r="C192" s="75">
        <v>12162</v>
      </c>
      <c r="D192" s="76" t="s">
        <v>3542</v>
      </c>
      <c r="E192" s="76" t="s">
        <v>3543</v>
      </c>
      <c r="F192" s="76" t="s">
        <v>3388</v>
      </c>
      <c r="G192" s="76" t="s">
        <v>3544</v>
      </c>
      <c r="H192" s="76" t="s">
        <v>3390</v>
      </c>
      <c r="I192" s="76" t="str">
        <f t="shared" si="2"/>
        <v>KOSIT ANGTHONG (MUANG)</v>
      </c>
    </row>
    <row r="193" spans="3:9">
      <c r="C193" s="75">
        <v>12179</v>
      </c>
      <c r="D193" s="76" t="s">
        <v>3545</v>
      </c>
      <c r="E193" s="76" t="s">
        <v>3546</v>
      </c>
      <c r="F193" s="76" t="s">
        <v>3547</v>
      </c>
      <c r="G193" s="76" t="s">
        <v>3548</v>
      </c>
      <c r="H193" s="76" t="s">
        <v>3548</v>
      </c>
      <c r="I193" s="76" t="str">
        <f t="shared" si="2"/>
        <v>SAMUTSONGKARM (SAMUTSONGKRAM)</v>
      </c>
    </row>
    <row r="194" spans="3:9">
      <c r="C194" s="75">
        <v>12179</v>
      </c>
      <c r="D194" s="76" t="s">
        <v>3549</v>
      </c>
      <c r="E194" s="76" t="s">
        <v>3546</v>
      </c>
      <c r="F194" s="76" t="s">
        <v>3550</v>
      </c>
      <c r="G194" s="76" t="s">
        <v>3548</v>
      </c>
      <c r="H194" s="76" t="s">
        <v>3551</v>
      </c>
      <c r="I194" s="76" t="str">
        <f t="shared" si="2"/>
        <v>SAMUTSONGKARM (AMPHAWA)</v>
      </c>
    </row>
    <row r="195" spans="3:9">
      <c r="C195" s="75">
        <v>12187</v>
      </c>
      <c r="D195" s="76" t="s">
        <v>3552</v>
      </c>
      <c r="E195" s="76" t="s">
        <v>3553</v>
      </c>
      <c r="F195" s="76" t="s">
        <v>3553</v>
      </c>
      <c r="G195" s="76" t="s">
        <v>3554</v>
      </c>
      <c r="H195" s="76" t="s">
        <v>3554</v>
      </c>
      <c r="I195" s="76" t="str">
        <f t="shared" si="2"/>
        <v>NAKORNNAYOK (NAKORNNAYOK)</v>
      </c>
    </row>
    <row r="196" spans="3:9">
      <c r="C196" s="75">
        <v>12187</v>
      </c>
      <c r="D196" s="76" t="s">
        <v>3555</v>
      </c>
      <c r="E196" s="76" t="s">
        <v>3553</v>
      </c>
      <c r="F196" s="76" t="s">
        <v>3556</v>
      </c>
      <c r="G196" s="76" t="s">
        <v>3554</v>
      </c>
      <c r="H196" s="76" t="s">
        <v>3557</v>
      </c>
      <c r="I196" s="76" t="str">
        <f t="shared" si="2"/>
        <v>NAKORNNAYOK (AONGRAK)</v>
      </c>
    </row>
    <row r="197" spans="3:9">
      <c r="C197" s="75">
        <v>12195</v>
      </c>
      <c r="D197" s="76" t="s">
        <v>3558</v>
      </c>
      <c r="E197" s="76" t="s">
        <v>3559</v>
      </c>
      <c r="F197" s="76" t="s">
        <v>3560</v>
      </c>
      <c r="G197" s="76" t="s">
        <v>3561</v>
      </c>
      <c r="H197" s="76" t="s">
        <v>3561</v>
      </c>
      <c r="I197" s="76" t="str">
        <f t="shared" ref="I197:I260" si="3">E197&amp;" ("&amp;F197&amp;$I$1</f>
        <v>TACHIN (THAJEAN)</v>
      </c>
    </row>
    <row r="198" spans="3:9">
      <c r="C198" s="75">
        <v>12195</v>
      </c>
      <c r="D198" s="76" t="s">
        <v>3562</v>
      </c>
      <c r="E198" s="76" t="s">
        <v>3559</v>
      </c>
      <c r="F198" s="76" t="s">
        <v>3563</v>
      </c>
      <c r="G198" s="76" t="s">
        <v>3561</v>
      </c>
      <c r="H198" s="76" t="s">
        <v>3564</v>
      </c>
      <c r="I198" s="76" t="str">
        <f t="shared" si="3"/>
        <v>TACHIN (SAM PARN)</v>
      </c>
    </row>
    <row r="199" spans="3:9">
      <c r="C199" s="75">
        <v>12195</v>
      </c>
      <c r="D199" s="76" t="s">
        <v>3565</v>
      </c>
      <c r="E199" s="76" t="s">
        <v>3559</v>
      </c>
      <c r="F199" s="76" t="s">
        <v>3566</v>
      </c>
      <c r="G199" s="76" t="s">
        <v>3561</v>
      </c>
      <c r="H199" s="76" t="s">
        <v>3567</v>
      </c>
      <c r="I199" s="76" t="str">
        <f t="shared" si="3"/>
        <v>TACHIN (BUDHAMONTHON 4)</v>
      </c>
    </row>
    <row r="200" spans="3:9">
      <c r="C200" s="75">
        <v>12203</v>
      </c>
      <c r="D200" s="76" t="s">
        <v>3568</v>
      </c>
      <c r="E200" s="76" t="s">
        <v>3569</v>
      </c>
      <c r="F200" s="76" t="s">
        <v>3569</v>
      </c>
      <c r="G200" s="76" t="s">
        <v>3570</v>
      </c>
      <c r="H200" s="76" t="s">
        <v>3571</v>
      </c>
      <c r="I200" s="76" t="str">
        <f t="shared" si="3"/>
        <v>CHAITHONG CHAINAT (CHAITHONG CHAINAT)</v>
      </c>
    </row>
    <row r="201" spans="3:9">
      <c r="C201" s="75">
        <v>12211</v>
      </c>
      <c r="D201" s="76" t="s">
        <v>3572</v>
      </c>
      <c r="E201" s="76" t="s">
        <v>3573</v>
      </c>
      <c r="F201" s="76" t="s">
        <v>3574</v>
      </c>
      <c r="G201" s="76" t="s">
        <v>3575</v>
      </c>
      <c r="H201" s="76" t="s">
        <v>3576</v>
      </c>
      <c r="I201" s="76" t="str">
        <f t="shared" si="3"/>
        <v>PRATOONAMPRA-IN (PRA-IN-RACHA)</v>
      </c>
    </row>
    <row r="202" spans="3:9">
      <c r="C202" s="75">
        <v>12211</v>
      </c>
      <c r="D202" s="76" t="s">
        <v>3577</v>
      </c>
      <c r="E202" s="76" t="s">
        <v>3573</v>
      </c>
      <c r="F202" s="76" t="s">
        <v>3578</v>
      </c>
      <c r="G202" s="76" t="s">
        <v>3575</v>
      </c>
      <c r="H202" s="76" t="s">
        <v>3579</v>
      </c>
      <c r="I202" s="76" t="str">
        <f t="shared" si="3"/>
        <v>PRATOONAMPRA-IN (HEAD OFFICE WANGNOI)</v>
      </c>
    </row>
    <row r="203" spans="3:9">
      <c r="C203" s="75">
        <v>12229</v>
      </c>
      <c r="D203" s="76" t="s">
        <v>3580</v>
      </c>
      <c r="E203" s="76" t="s">
        <v>3581</v>
      </c>
      <c r="F203" s="76" t="s">
        <v>3247</v>
      </c>
      <c r="G203" s="76" t="s">
        <v>3582</v>
      </c>
      <c r="H203" s="76" t="s">
        <v>3218</v>
      </c>
      <c r="I203" s="76" t="str">
        <f t="shared" si="3"/>
        <v>MUANGPETCH (HEAD OFFICE)</v>
      </c>
    </row>
    <row r="204" spans="3:9">
      <c r="C204" s="75">
        <v>12229</v>
      </c>
      <c r="D204" s="76" t="s">
        <v>3583</v>
      </c>
      <c r="E204" s="76" t="s">
        <v>3581</v>
      </c>
      <c r="F204" s="76" t="s">
        <v>3584</v>
      </c>
      <c r="G204" s="76" t="s">
        <v>3582</v>
      </c>
      <c r="H204" s="76" t="s">
        <v>3585</v>
      </c>
      <c r="I204" s="76" t="str">
        <f t="shared" si="3"/>
        <v>MUANGPETCH (CHA-AM)</v>
      </c>
    </row>
    <row r="205" spans="3:9">
      <c r="C205" s="75">
        <v>12237</v>
      </c>
      <c r="D205" s="76" t="s">
        <v>3586</v>
      </c>
      <c r="E205" s="76" t="s">
        <v>3587</v>
      </c>
      <c r="F205" s="76" t="s">
        <v>3247</v>
      </c>
      <c r="G205" s="76" t="s">
        <v>3588</v>
      </c>
      <c r="H205" s="76" t="s">
        <v>3218</v>
      </c>
      <c r="I205" s="76" t="str">
        <f t="shared" si="3"/>
        <v>NARAIGRAND (HEAD OFFICE)</v>
      </c>
    </row>
    <row r="206" spans="3:9">
      <c r="C206" s="75">
        <v>12252</v>
      </c>
      <c r="D206" s="76" t="s">
        <v>3589</v>
      </c>
      <c r="E206" s="76" t="s">
        <v>3590</v>
      </c>
      <c r="F206" s="76" t="s">
        <v>3247</v>
      </c>
      <c r="G206" s="76" t="s">
        <v>3591</v>
      </c>
      <c r="H206" s="76" t="s">
        <v>3218</v>
      </c>
      <c r="I206" s="76" t="str">
        <f t="shared" si="3"/>
        <v>DAIMOND AUTO (HEAD OFFICE)</v>
      </c>
    </row>
    <row r="207" spans="3:9">
      <c r="C207" s="75">
        <v>12260</v>
      </c>
      <c r="D207" s="76" t="s">
        <v>3592</v>
      </c>
      <c r="E207" s="76" t="s">
        <v>3593</v>
      </c>
      <c r="F207" s="76" t="s">
        <v>3247</v>
      </c>
      <c r="G207" s="76" t="s">
        <v>3594</v>
      </c>
      <c r="H207" s="76" t="s">
        <v>3218</v>
      </c>
      <c r="I207" s="76" t="str">
        <f t="shared" si="3"/>
        <v>DISCOVERY (HEAD OFFICE)</v>
      </c>
    </row>
    <row r="208" spans="3:9">
      <c r="C208" s="75">
        <v>12278</v>
      </c>
      <c r="D208" s="76" t="s">
        <v>3595</v>
      </c>
      <c r="E208" s="76" t="s">
        <v>3596</v>
      </c>
      <c r="F208" s="76" t="s">
        <v>3247</v>
      </c>
      <c r="G208" s="76" t="s">
        <v>3597</v>
      </c>
      <c r="H208" s="76" t="s">
        <v>3218</v>
      </c>
      <c r="I208" s="76" t="str">
        <f t="shared" si="3"/>
        <v>MUANGSUPAN (HEAD OFFICE)</v>
      </c>
    </row>
    <row r="209" spans="3:9">
      <c r="C209" s="75">
        <v>12286</v>
      </c>
      <c r="D209" s="76" t="s">
        <v>3598</v>
      </c>
      <c r="E209" s="76" t="s">
        <v>3599</v>
      </c>
      <c r="F209" s="76" t="s">
        <v>3247</v>
      </c>
      <c r="G209" s="76" t="s">
        <v>3600</v>
      </c>
      <c r="H209" s="76" t="s">
        <v>3218</v>
      </c>
      <c r="I209" s="76" t="str">
        <f t="shared" si="3"/>
        <v>CHAINART 2015 (HEAD OFFICE)</v>
      </c>
    </row>
    <row r="210" spans="3:9">
      <c r="C210" s="75">
        <v>13011</v>
      </c>
      <c r="D210" s="76" t="s">
        <v>3601</v>
      </c>
      <c r="E210" s="76" t="s">
        <v>3602</v>
      </c>
      <c r="F210" s="76" t="s">
        <v>3247</v>
      </c>
      <c r="G210" s="76" t="s">
        <v>3603</v>
      </c>
      <c r="H210" s="76" t="s">
        <v>3218</v>
      </c>
      <c r="I210" s="76" t="str">
        <f t="shared" si="3"/>
        <v>NAKORNSAWAN (HEAD OFFICE)</v>
      </c>
    </row>
    <row r="211" spans="3:9">
      <c r="C211" s="75">
        <v>13011</v>
      </c>
      <c r="D211" s="76" t="s">
        <v>3604</v>
      </c>
      <c r="E211" s="76" t="s">
        <v>3602</v>
      </c>
      <c r="F211" s="76" t="s">
        <v>3605</v>
      </c>
      <c r="G211" s="76" t="s">
        <v>3603</v>
      </c>
      <c r="H211" s="76" t="s">
        <v>3606</v>
      </c>
      <c r="I211" s="76" t="str">
        <f t="shared" si="3"/>
        <v>NAKORNSAWAN (NONGBUA)</v>
      </c>
    </row>
    <row r="212" spans="3:9">
      <c r="C212" s="75">
        <v>13011</v>
      </c>
      <c r="D212" s="76" t="s">
        <v>3607</v>
      </c>
      <c r="E212" s="76" t="s">
        <v>3602</v>
      </c>
      <c r="F212" s="76" t="s">
        <v>3608</v>
      </c>
      <c r="G212" s="76" t="s">
        <v>3603</v>
      </c>
      <c r="H212" s="76" t="s">
        <v>3609</v>
      </c>
      <c r="I212" s="76" t="str">
        <f t="shared" si="3"/>
        <v>NAKORNSAWAN (RIMPING (MUANG))</v>
      </c>
    </row>
    <row r="213" spans="3:9">
      <c r="C213" s="75">
        <v>13011</v>
      </c>
      <c r="D213" s="76" t="s">
        <v>3610</v>
      </c>
      <c r="E213" s="76" t="s">
        <v>3602</v>
      </c>
      <c r="F213" s="76" t="s">
        <v>3611</v>
      </c>
      <c r="G213" s="76" t="s">
        <v>3603</v>
      </c>
      <c r="H213" s="76" t="s">
        <v>3612</v>
      </c>
      <c r="I213" s="76" t="str">
        <f t="shared" si="3"/>
        <v>NAKORNSAWAN (LADYAO)</v>
      </c>
    </row>
    <row r="214" spans="3:9">
      <c r="C214" s="75">
        <v>13029</v>
      </c>
      <c r="D214" s="76" t="s">
        <v>3613</v>
      </c>
      <c r="E214" s="76" t="s">
        <v>3614</v>
      </c>
      <c r="F214" s="76" t="s">
        <v>3388</v>
      </c>
      <c r="G214" s="76" t="s">
        <v>3615</v>
      </c>
      <c r="H214" s="76" t="s">
        <v>3390</v>
      </c>
      <c r="I214" s="76" t="str">
        <f t="shared" si="3"/>
        <v>PETCHABOON (MUANG)</v>
      </c>
    </row>
    <row r="215" spans="3:9">
      <c r="C215" s="75">
        <v>13029</v>
      </c>
      <c r="D215" s="76" t="s">
        <v>3616</v>
      </c>
      <c r="E215" s="76" t="s">
        <v>3614</v>
      </c>
      <c r="F215" s="76" t="s">
        <v>3617</v>
      </c>
      <c r="G215" s="76" t="s">
        <v>3615</v>
      </c>
      <c r="H215" s="76" t="s">
        <v>3618</v>
      </c>
      <c r="I215" s="76" t="str">
        <f t="shared" si="3"/>
        <v>PETCHABOON (LOMSAK)</v>
      </c>
    </row>
    <row r="216" spans="3:9">
      <c r="C216" s="75">
        <v>13029</v>
      </c>
      <c r="D216" s="76" t="s">
        <v>3619</v>
      </c>
      <c r="E216" s="76" t="s">
        <v>3614</v>
      </c>
      <c r="F216" s="76" t="s">
        <v>3620</v>
      </c>
      <c r="G216" s="76" t="s">
        <v>3615</v>
      </c>
      <c r="H216" s="76" t="s">
        <v>3621</v>
      </c>
      <c r="I216" s="76" t="str">
        <f t="shared" si="3"/>
        <v>PETCHABOON (BUNGSAMPHAN)</v>
      </c>
    </row>
    <row r="217" spans="3:9">
      <c r="C217" s="75">
        <v>13037</v>
      </c>
      <c r="D217" s="76" t="s">
        <v>3622</v>
      </c>
      <c r="E217" s="76" t="s">
        <v>3623</v>
      </c>
      <c r="F217" s="76" t="s">
        <v>3624</v>
      </c>
      <c r="G217" s="76" t="s">
        <v>3625</v>
      </c>
      <c r="H217" s="76" t="s">
        <v>3626</v>
      </c>
      <c r="I217" s="76" t="str">
        <f t="shared" si="3"/>
        <v>PRAE (PRAELORTRAKUL)</v>
      </c>
    </row>
    <row r="218" spans="3:9">
      <c r="C218" s="75">
        <v>13045</v>
      </c>
      <c r="D218" s="76" t="s">
        <v>3627</v>
      </c>
      <c r="E218" s="76" t="s">
        <v>3628</v>
      </c>
      <c r="F218" s="76" t="s">
        <v>3388</v>
      </c>
      <c r="G218" s="76" t="s">
        <v>3629</v>
      </c>
      <c r="H218" s="76" t="s">
        <v>3390</v>
      </c>
      <c r="I218" s="76" t="str">
        <f t="shared" si="3"/>
        <v>LAMPANG (MUANG)</v>
      </c>
    </row>
    <row r="219" spans="3:9">
      <c r="C219" s="75">
        <v>13045</v>
      </c>
      <c r="D219" s="76" t="s">
        <v>3630</v>
      </c>
      <c r="E219" s="76" t="s">
        <v>3628</v>
      </c>
      <c r="F219" s="76" t="s">
        <v>3631</v>
      </c>
      <c r="G219" s="76" t="s">
        <v>3629</v>
      </c>
      <c r="H219" s="76" t="s">
        <v>3632</v>
      </c>
      <c r="I219" s="76" t="str">
        <f t="shared" si="3"/>
        <v>LAMPANG (HANGCHAT)</v>
      </c>
    </row>
    <row r="220" spans="3:9">
      <c r="C220" s="75">
        <v>13052</v>
      </c>
      <c r="D220" s="76" t="s">
        <v>3633</v>
      </c>
      <c r="E220" s="76" t="s">
        <v>3634</v>
      </c>
      <c r="F220" s="76" t="s">
        <v>3635</v>
      </c>
      <c r="G220" s="76" t="s">
        <v>3636</v>
      </c>
      <c r="H220" s="76" t="s">
        <v>3637</v>
      </c>
      <c r="I220" s="76" t="str">
        <f t="shared" si="3"/>
        <v>ALINKIJSIAM (MUANG(HO.))</v>
      </c>
    </row>
    <row r="221" spans="3:9">
      <c r="C221" s="75">
        <v>13052</v>
      </c>
      <c r="D221" s="76" t="s">
        <v>3638</v>
      </c>
      <c r="E221" s="76" t="s">
        <v>3634</v>
      </c>
      <c r="F221" s="76" t="s">
        <v>3639</v>
      </c>
      <c r="G221" s="76" t="s">
        <v>3640</v>
      </c>
      <c r="H221" s="76" t="s">
        <v>3640</v>
      </c>
      <c r="I221" s="76" t="str">
        <f t="shared" si="3"/>
        <v>ALINKIJSIAM (BUENGNARANG)</v>
      </c>
    </row>
    <row r="222" spans="3:9">
      <c r="C222" s="75">
        <v>13060</v>
      </c>
      <c r="D222" s="76" t="s">
        <v>3641</v>
      </c>
      <c r="E222" s="76" t="s">
        <v>3642</v>
      </c>
      <c r="F222" s="76" t="s">
        <v>3388</v>
      </c>
      <c r="G222" s="76" t="s">
        <v>3643</v>
      </c>
      <c r="H222" s="76" t="s">
        <v>3390</v>
      </c>
      <c r="I222" s="76" t="str">
        <f t="shared" si="3"/>
        <v>SUKHOTHAI (MUANG)</v>
      </c>
    </row>
    <row r="223" spans="3:9">
      <c r="C223" s="75">
        <v>13060</v>
      </c>
      <c r="D223" s="76" t="s">
        <v>3644</v>
      </c>
      <c r="E223" s="76" t="s">
        <v>3642</v>
      </c>
      <c r="F223" s="76" t="s">
        <v>3645</v>
      </c>
      <c r="G223" s="76" t="s">
        <v>3643</v>
      </c>
      <c r="H223" s="76" t="s">
        <v>3646</v>
      </c>
      <c r="I223" s="76" t="str">
        <f t="shared" si="3"/>
        <v>SUKHOTHAI (SAWANKALOK)</v>
      </c>
    </row>
    <row r="224" spans="3:9">
      <c r="C224" s="75">
        <v>13110</v>
      </c>
      <c r="D224" s="76" t="s">
        <v>3647</v>
      </c>
      <c r="E224" s="76" t="s">
        <v>3648</v>
      </c>
      <c r="F224" s="76" t="s">
        <v>3648</v>
      </c>
      <c r="G224" s="76" t="s">
        <v>3649</v>
      </c>
      <c r="H224" s="76" t="s">
        <v>3649</v>
      </c>
      <c r="I224" s="76" t="str">
        <f t="shared" si="3"/>
        <v>PAYAO (PAYAO)</v>
      </c>
    </row>
    <row r="225" spans="3:9">
      <c r="C225" s="75">
        <v>13110</v>
      </c>
      <c r="D225" s="76" t="s">
        <v>3650</v>
      </c>
      <c r="E225" s="76" t="s">
        <v>3648</v>
      </c>
      <c r="F225" s="76" t="s">
        <v>3651</v>
      </c>
      <c r="G225" s="76" t="s">
        <v>3649</v>
      </c>
      <c r="H225" s="76" t="s">
        <v>3652</v>
      </c>
      <c r="I225" s="76" t="str">
        <f t="shared" si="3"/>
        <v>PAYAO (CHIANGKHAM)</v>
      </c>
    </row>
    <row r="226" spans="3:9">
      <c r="C226" s="75">
        <v>13128</v>
      </c>
      <c r="D226" s="76" t="s">
        <v>3653</v>
      </c>
      <c r="E226" s="76" t="s">
        <v>3654</v>
      </c>
      <c r="F226" s="76" t="s">
        <v>3654</v>
      </c>
      <c r="G226" s="76" t="s">
        <v>3655</v>
      </c>
      <c r="H226" s="76" t="s">
        <v>3655</v>
      </c>
      <c r="I226" s="76" t="str">
        <f t="shared" si="3"/>
        <v>NAN (NAN)</v>
      </c>
    </row>
    <row r="227" spans="3:9">
      <c r="C227" s="75">
        <v>13144</v>
      </c>
      <c r="D227" s="76" t="s">
        <v>3656</v>
      </c>
      <c r="E227" s="76" t="s">
        <v>3657</v>
      </c>
      <c r="F227" s="76" t="s">
        <v>3658</v>
      </c>
      <c r="G227" s="76" t="s">
        <v>3659</v>
      </c>
      <c r="H227" s="76" t="s">
        <v>3660</v>
      </c>
      <c r="I227" s="76" t="str">
        <f t="shared" si="3"/>
        <v>PISANULOKE (THATHONG)</v>
      </c>
    </row>
    <row r="228" spans="3:9">
      <c r="C228" s="75">
        <v>13144</v>
      </c>
      <c r="D228" s="76" t="s">
        <v>3661</v>
      </c>
      <c r="E228" s="76" t="s">
        <v>3657</v>
      </c>
      <c r="F228" s="76" t="s">
        <v>3662</v>
      </c>
      <c r="G228" s="76" t="s">
        <v>3659</v>
      </c>
      <c r="H228" s="76" t="s">
        <v>3663</v>
      </c>
      <c r="I228" s="76" t="str">
        <f t="shared" si="3"/>
        <v>PISANULOKE (NAIMUANG)</v>
      </c>
    </row>
    <row r="229" spans="3:9">
      <c r="C229" s="75">
        <v>13144</v>
      </c>
      <c r="D229" s="76" t="s">
        <v>3664</v>
      </c>
      <c r="E229" s="76" t="s">
        <v>3657</v>
      </c>
      <c r="F229" s="76" t="s">
        <v>3247</v>
      </c>
      <c r="G229" s="76" t="s">
        <v>3659</v>
      </c>
      <c r="H229" s="76" t="s">
        <v>3218</v>
      </c>
      <c r="I229" s="76" t="str">
        <f t="shared" si="3"/>
        <v>PISANULOKE (HEAD OFFICE)</v>
      </c>
    </row>
    <row r="230" spans="3:9">
      <c r="C230" s="75">
        <v>13144</v>
      </c>
      <c r="D230" s="76" t="s">
        <v>3665</v>
      </c>
      <c r="E230" s="76" t="s">
        <v>3657</v>
      </c>
      <c r="F230" s="76" t="s">
        <v>3666</v>
      </c>
      <c r="G230" s="76" t="s">
        <v>3659</v>
      </c>
      <c r="H230" s="76" t="s">
        <v>3667</v>
      </c>
      <c r="I230" s="76" t="str">
        <f t="shared" si="3"/>
        <v>PISANULOKE (NAKORNTHAI)</v>
      </c>
    </row>
    <row r="231" spans="3:9">
      <c r="C231" s="75">
        <v>13160</v>
      </c>
      <c r="D231" s="76" t="s">
        <v>3668</v>
      </c>
      <c r="E231" s="76" t="s">
        <v>3669</v>
      </c>
      <c r="F231" s="76" t="s">
        <v>3670</v>
      </c>
      <c r="G231" s="76" t="s">
        <v>3671</v>
      </c>
      <c r="H231" s="76" t="s">
        <v>3671</v>
      </c>
      <c r="I231" s="76" t="str">
        <f t="shared" si="3"/>
        <v>MUANG TAK (MUANGTAK)</v>
      </c>
    </row>
    <row r="232" spans="3:9">
      <c r="C232" s="75">
        <v>13160</v>
      </c>
      <c r="D232" s="76" t="s">
        <v>3672</v>
      </c>
      <c r="E232" s="76" t="s">
        <v>3669</v>
      </c>
      <c r="F232" s="76" t="s">
        <v>3673</v>
      </c>
      <c r="G232" s="76" t="s">
        <v>3671</v>
      </c>
      <c r="H232" s="76" t="s">
        <v>3674</v>
      </c>
      <c r="I232" s="76" t="str">
        <f t="shared" si="3"/>
        <v>MUANG TAK (MAESOD)</v>
      </c>
    </row>
    <row r="233" spans="3:9">
      <c r="C233" s="75">
        <v>13160</v>
      </c>
      <c r="D233" s="76" t="s">
        <v>3675</v>
      </c>
      <c r="E233" s="76" t="s">
        <v>3669</v>
      </c>
      <c r="F233" s="76" t="s">
        <v>3676</v>
      </c>
      <c r="G233" s="76" t="s">
        <v>3671</v>
      </c>
      <c r="H233" s="76" t="s">
        <v>3677</v>
      </c>
      <c r="I233" s="76" t="str">
        <f t="shared" si="3"/>
        <v>MUANG TAK (SAM-NGAO)</v>
      </c>
    </row>
    <row r="234" spans="3:9">
      <c r="C234" s="75">
        <v>13178</v>
      </c>
      <c r="D234" s="76" t="s">
        <v>3678</v>
      </c>
      <c r="E234" s="76" t="s">
        <v>3679</v>
      </c>
      <c r="F234" s="76" t="s">
        <v>3388</v>
      </c>
      <c r="G234" s="76" t="s">
        <v>3680</v>
      </c>
      <c r="H234" s="76" t="s">
        <v>3390</v>
      </c>
      <c r="I234" s="76" t="str">
        <f t="shared" si="3"/>
        <v>KAMPANGPETCH (MUANG)</v>
      </c>
    </row>
    <row r="235" spans="3:9">
      <c r="C235" s="75">
        <v>13178</v>
      </c>
      <c r="D235" s="76" t="s">
        <v>3681</v>
      </c>
      <c r="E235" s="76" t="s">
        <v>3679</v>
      </c>
      <c r="F235" s="76" t="s">
        <v>3682</v>
      </c>
      <c r="G235" s="76" t="s">
        <v>3680</v>
      </c>
      <c r="H235" s="76" t="s">
        <v>3683</v>
      </c>
      <c r="I235" s="76" t="str">
        <f t="shared" si="3"/>
        <v>KAMPANGPETCH (SALOKBAHT)</v>
      </c>
    </row>
    <row r="236" spans="3:9">
      <c r="C236" s="75">
        <v>13185</v>
      </c>
      <c r="D236" s="76" t="s">
        <v>3684</v>
      </c>
      <c r="E236" s="76" t="s">
        <v>3685</v>
      </c>
      <c r="F236" s="76" t="s">
        <v>3686</v>
      </c>
      <c r="G236" s="76" t="s">
        <v>3687</v>
      </c>
      <c r="H236" s="76" t="s">
        <v>3687</v>
      </c>
      <c r="I236" s="76" t="str">
        <f t="shared" si="3"/>
        <v>UTRARADIT (UTRADIT)</v>
      </c>
    </row>
    <row r="237" spans="3:9">
      <c r="C237" s="75">
        <v>13185</v>
      </c>
      <c r="D237" s="76" t="s">
        <v>3688</v>
      </c>
      <c r="E237" s="76" t="s">
        <v>3685</v>
      </c>
      <c r="F237" s="76" t="s">
        <v>3689</v>
      </c>
      <c r="G237" s="76" t="s">
        <v>3687</v>
      </c>
      <c r="H237" s="76" t="s">
        <v>3690</v>
      </c>
      <c r="I237" s="76" t="str">
        <f t="shared" si="3"/>
        <v>UTRARADIT (PICHAI)</v>
      </c>
    </row>
    <row r="238" spans="3:9">
      <c r="C238" s="75">
        <v>13193</v>
      </c>
      <c r="D238" s="76" t="s">
        <v>3691</v>
      </c>
      <c r="E238" s="76" t="s">
        <v>3692</v>
      </c>
      <c r="F238" s="76" t="s">
        <v>3693</v>
      </c>
      <c r="G238" s="76" t="s">
        <v>3694</v>
      </c>
      <c r="H238" s="76" t="s">
        <v>3694</v>
      </c>
      <c r="I238" s="76" t="str">
        <f t="shared" si="3"/>
        <v>UTAITHANI (UTHAITHANEE)</v>
      </c>
    </row>
    <row r="239" spans="3:9">
      <c r="C239" s="75">
        <v>13193</v>
      </c>
      <c r="D239" s="76" t="s">
        <v>3695</v>
      </c>
      <c r="E239" s="76" t="s">
        <v>3692</v>
      </c>
      <c r="F239" s="76" t="s">
        <v>3696</v>
      </c>
      <c r="G239" s="76" t="s">
        <v>3694</v>
      </c>
      <c r="H239" s="76" t="s">
        <v>3697</v>
      </c>
      <c r="I239" s="76" t="str">
        <f t="shared" si="3"/>
        <v>UTAITHANI (BANRAI)</v>
      </c>
    </row>
    <row r="240" spans="3:9">
      <c r="C240" s="75">
        <v>13219</v>
      </c>
      <c r="D240" s="76" t="s">
        <v>3698</v>
      </c>
      <c r="E240" s="76" t="s">
        <v>3699</v>
      </c>
      <c r="F240" s="76" t="s">
        <v>3700</v>
      </c>
      <c r="G240" s="76" t="s">
        <v>3701</v>
      </c>
      <c r="H240" s="76" t="s">
        <v>3702</v>
      </c>
      <c r="I240" s="76" t="str">
        <f t="shared" si="3"/>
        <v>TOYOTA CHIANGMAI (CHIENGMAI)</v>
      </c>
    </row>
    <row r="241" spans="3:9">
      <c r="C241" s="75">
        <v>13219</v>
      </c>
      <c r="D241" s="76" t="s">
        <v>3703</v>
      </c>
      <c r="E241" s="76" t="s">
        <v>3699</v>
      </c>
      <c r="F241" s="76" t="s">
        <v>3704</v>
      </c>
      <c r="G241" s="76" t="s">
        <v>3701</v>
      </c>
      <c r="H241" s="76" t="s">
        <v>3705</v>
      </c>
      <c r="I241" s="76" t="str">
        <f t="shared" si="3"/>
        <v>TOYOTA CHIANGMAI (RAJDAMNERN)</v>
      </c>
    </row>
    <row r="242" spans="3:9">
      <c r="C242" s="75">
        <v>13219</v>
      </c>
      <c r="D242" s="76" t="s">
        <v>3706</v>
      </c>
      <c r="E242" s="76" t="s">
        <v>3699</v>
      </c>
      <c r="F242" s="76" t="s">
        <v>3707</v>
      </c>
      <c r="G242" s="76" t="s">
        <v>3701</v>
      </c>
      <c r="H242" s="76" t="s">
        <v>3708</v>
      </c>
      <c r="I242" s="76" t="str">
        <f t="shared" si="3"/>
        <v>TOYOTA CHIANGMAI (SANPATONG)</v>
      </c>
    </row>
    <row r="243" spans="3:9">
      <c r="C243" s="75">
        <v>13219</v>
      </c>
      <c r="D243" s="76" t="s">
        <v>3709</v>
      </c>
      <c r="E243" s="76" t="s">
        <v>3699</v>
      </c>
      <c r="F243" s="76" t="s">
        <v>3710</v>
      </c>
      <c r="G243" s="76" t="s">
        <v>3701</v>
      </c>
      <c r="H243" s="76" t="s">
        <v>3711</v>
      </c>
      <c r="I243" s="76" t="str">
        <f t="shared" si="3"/>
        <v>TOYOTA CHIANGMAI (FHANG)</v>
      </c>
    </row>
    <row r="244" spans="3:9">
      <c r="C244" s="75">
        <v>13219</v>
      </c>
      <c r="D244" s="76" t="s">
        <v>3712</v>
      </c>
      <c r="E244" s="76" t="s">
        <v>3699</v>
      </c>
      <c r="F244" s="76" t="s">
        <v>3713</v>
      </c>
      <c r="G244" s="76" t="s">
        <v>3701</v>
      </c>
      <c r="H244" s="76" t="s">
        <v>3714</v>
      </c>
      <c r="I244" s="76" t="str">
        <f t="shared" si="3"/>
        <v>TOYOTA CHIANGMAI (LAMPOON)</v>
      </c>
    </row>
    <row r="245" spans="3:9">
      <c r="C245" s="75">
        <v>13219</v>
      </c>
      <c r="D245" s="76" t="s">
        <v>3715</v>
      </c>
      <c r="E245" s="76" t="s">
        <v>3699</v>
      </c>
      <c r="F245" s="76" t="s">
        <v>3716</v>
      </c>
      <c r="G245" s="76" t="s">
        <v>3701</v>
      </c>
      <c r="H245" s="76" t="s">
        <v>3717</v>
      </c>
      <c r="I245" s="76" t="str">
        <f t="shared" si="3"/>
        <v>TOYOTA CHIANGMAI (SUPER HI-WAY)</v>
      </c>
    </row>
    <row r="246" spans="3:9">
      <c r="C246" s="75">
        <v>13219</v>
      </c>
      <c r="D246" s="76" t="s">
        <v>3718</v>
      </c>
      <c r="E246" s="76" t="s">
        <v>3699</v>
      </c>
      <c r="F246" s="76" t="s">
        <v>3719</v>
      </c>
      <c r="G246" s="76" t="s">
        <v>3701</v>
      </c>
      <c r="H246" s="76" t="s">
        <v>3720</v>
      </c>
      <c r="I246" s="76" t="str">
        <f t="shared" si="3"/>
        <v>TOYOTA CHIANGMAI (JOMTHONG)</v>
      </c>
    </row>
    <row r="247" spans="3:9">
      <c r="C247" s="75">
        <v>13227</v>
      </c>
      <c r="D247" s="76" t="s">
        <v>3721</v>
      </c>
      <c r="E247" s="76" t="s">
        <v>3722</v>
      </c>
      <c r="F247" s="76" t="s">
        <v>3247</v>
      </c>
      <c r="G247" s="76" t="s">
        <v>3723</v>
      </c>
      <c r="H247" s="76" t="s">
        <v>3218</v>
      </c>
      <c r="I247" s="76" t="str">
        <f t="shared" si="3"/>
        <v>LANNA (HEAD OFFICE)</v>
      </c>
    </row>
    <row r="248" spans="3:9">
      <c r="C248" s="75">
        <v>13227</v>
      </c>
      <c r="D248" s="76" t="s">
        <v>3724</v>
      </c>
      <c r="E248" s="76" t="s">
        <v>3722</v>
      </c>
      <c r="F248" s="76" t="s">
        <v>3725</v>
      </c>
      <c r="G248" s="76" t="s">
        <v>3723</v>
      </c>
      <c r="H248" s="76" t="s">
        <v>3726</v>
      </c>
      <c r="I248" s="76" t="str">
        <f t="shared" si="3"/>
        <v>LANNA (MAE HONG SON)</v>
      </c>
    </row>
    <row r="249" spans="3:9">
      <c r="C249" s="75">
        <v>13227</v>
      </c>
      <c r="D249" s="76" t="s">
        <v>3727</v>
      </c>
      <c r="E249" s="76" t="s">
        <v>3722</v>
      </c>
      <c r="F249" s="76" t="s">
        <v>3713</v>
      </c>
      <c r="G249" s="76" t="s">
        <v>3723</v>
      </c>
      <c r="H249" s="76" t="s">
        <v>3714</v>
      </c>
      <c r="I249" s="76" t="str">
        <f t="shared" si="3"/>
        <v>LANNA (LAMPOON)</v>
      </c>
    </row>
    <row r="250" spans="3:9">
      <c r="C250" s="75">
        <v>13227</v>
      </c>
      <c r="D250" s="76" t="s">
        <v>3728</v>
      </c>
      <c r="E250" s="76" t="s">
        <v>3722</v>
      </c>
      <c r="F250" s="76" t="s">
        <v>3729</v>
      </c>
      <c r="G250" s="76" t="s">
        <v>3723</v>
      </c>
      <c r="H250" s="76" t="s">
        <v>3730</v>
      </c>
      <c r="I250" s="76" t="str">
        <f t="shared" si="3"/>
        <v>LANNA (CHIANGDAO)</v>
      </c>
    </row>
    <row r="251" spans="3:9">
      <c r="C251" s="75">
        <v>13235</v>
      </c>
      <c r="D251" s="76" t="s">
        <v>3731</v>
      </c>
      <c r="E251" s="76" t="s">
        <v>3732</v>
      </c>
      <c r="F251" s="76" t="s">
        <v>3732</v>
      </c>
      <c r="G251" s="76" t="s">
        <v>3733</v>
      </c>
      <c r="H251" s="76" t="s">
        <v>3218</v>
      </c>
      <c r="I251" s="76" t="str">
        <f t="shared" si="3"/>
        <v>NAKORNPING CHIANGMAI (NAKORNPING CHIANGMAI)</v>
      </c>
    </row>
    <row r="252" spans="3:9">
      <c r="C252" s="75">
        <v>13235</v>
      </c>
      <c r="D252" s="76" t="s">
        <v>3734</v>
      </c>
      <c r="E252" s="76" t="s">
        <v>3732</v>
      </c>
      <c r="F252" s="76" t="s">
        <v>3735</v>
      </c>
      <c r="G252" s="76" t="s">
        <v>3733</v>
      </c>
      <c r="H252" s="76" t="s">
        <v>3736</v>
      </c>
      <c r="I252" s="76" t="str">
        <f t="shared" si="3"/>
        <v>NAKORNPING CHIANGMAI (SANSAI)</v>
      </c>
    </row>
    <row r="253" spans="3:9">
      <c r="C253" s="75">
        <v>13235</v>
      </c>
      <c r="D253" s="76" t="s">
        <v>3737</v>
      </c>
      <c r="E253" s="76" t="s">
        <v>3732</v>
      </c>
      <c r="F253" s="76" t="s">
        <v>3713</v>
      </c>
      <c r="G253" s="76" t="s">
        <v>3738</v>
      </c>
      <c r="H253" s="76" t="s">
        <v>3714</v>
      </c>
      <c r="I253" s="76" t="str">
        <f t="shared" si="3"/>
        <v>NAKORNPING CHIANGMAI (LAMPOON)</v>
      </c>
    </row>
    <row r="254" spans="3:9">
      <c r="C254" s="75">
        <v>13243</v>
      </c>
      <c r="D254" s="76" t="s">
        <v>3739</v>
      </c>
      <c r="E254" s="76" t="s">
        <v>3740</v>
      </c>
      <c r="F254" s="76" t="s">
        <v>3741</v>
      </c>
      <c r="G254" s="76" t="s">
        <v>3742</v>
      </c>
      <c r="H254" s="76" t="s">
        <v>3218</v>
      </c>
      <c r="I254" s="76" t="str">
        <f t="shared" si="3"/>
        <v>NORTHERN LAMPANG (NORTHERN  LAMPANG)</v>
      </c>
    </row>
    <row r="255" spans="3:9">
      <c r="C255" s="75">
        <v>13243</v>
      </c>
      <c r="D255" s="76" t="s">
        <v>3743</v>
      </c>
      <c r="E255" s="76" t="s">
        <v>3740</v>
      </c>
      <c r="F255" s="76" t="s">
        <v>3744</v>
      </c>
      <c r="G255" s="76" t="s">
        <v>3742</v>
      </c>
      <c r="H255" s="76" t="s">
        <v>3745</v>
      </c>
      <c r="I255" s="76" t="str">
        <f t="shared" si="3"/>
        <v>NORTHERN LAMPANG (THOEN)</v>
      </c>
    </row>
    <row r="256" spans="3:9">
      <c r="C256" s="75">
        <v>13250</v>
      </c>
      <c r="D256" s="76" t="s">
        <v>3746</v>
      </c>
      <c r="E256" s="76" t="s">
        <v>3747</v>
      </c>
      <c r="F256" s="76" t="s">
        <v>3748</v>
      </c>
      <c r="G256" s="76" t="s">
        <v>3749</v>
      </c>
      <c r="H256" s="76" t="s">
        <v>3750</v>
      </c>
      <c r="I256" s="76" t="str">
        <f t="shared" si="3"/>
        <v>CHIANGRAI (CHIANGRAI (HO))</v>
      </c>
    </row>
    <row r="257" spans="3:9">
      <c r="C257" s="75">
        <v>13250</v>
      </c>
      <c r="D257" s="76" t="s">
        <v>3751</v>
      </c>
      <c r="E257" s="76" t="s">
        <v>3747</v>
      </c>
      <c r="F257" s="76" t="s">
        <v>3752</v>
      </c>
      <c r="G257" s="76" t="s">
        <v>3749</v>
      </c>
      <c r="H257" s="76" t="s">
        <v>3753</v>
      </c>
      <c r="I257" s="76" t="str">
        <f t="shared" si="3"/>
        <v>CHIANGRAI (TERNG)</v>
      </c>
    </row>
    <row r="258" spans="3:9">
      <c r="C258" s="75">
        <v>13250</v>
      </c>
      <c r="D258" s="76" t="s">
        <v>3754</v>
      </c>
      <c r="E258" s="76" t="s">
        <v>3747</v>
      </c>
      <c r="F258" s="76" t="s">
        <v>3755</v>
      </c>
      <c r="G258" s="76" t="s">
        <v>3749</v>
      </c>
      <c r="H258" s="76" t="s">
        <v>3756</v>
      </c>
      <c r="I258" s="76" t="str">
        <f t="shared" si="3"/>
        <v>CHIANGRAI (PARN)</v>
      </c>
    </row>
    <row r="259" spans="3:9">
      <c r="C259" s="75">
        <v>13250</v>
      </c>
      <c r="D259" s="76" t="s">
        <v>3757</v>
      </c>
      <c r="E259" s="76" t="s">
        <v>3747</v>
      </c>
      <c r="F259" s="76" t="s">
        <v>3758</v>
      </c>
      <c r="G259" s="76" t="s">
        <v>3749</v>
      </c>
      <c r="H259" s="76" t="s">
        <v>3759</v>
      </c>
      <c r="I259" s="76" t="str">
        <f t="shared" si="3"/>
        <v>CHIANGRAI (MAESAI)</v>
      </c>
    </row>
    <row r="260" spans="3:9">
      <c r="C260" s="75">
        <v>13250</v>
      </c>
      <c r="D260" s="76" t="s">
        <v>3760</v>
      </c>
      <c r="E260" s="76" t="s">
        <v>3747</v>
      </c>
      <c r="F260" s="76" t="s">
        <v>3761</v>
      </c>
      <c r="G260" s="76" t="s">
        <v>3749</v>
      </c>
      <c r="H260" s="76" t="s">
        <v>3762</v>
      </c>
      <c r="I260" s="76" t="str">
        <f t="shared" si="3"/>
        <v>CHIANGRAI (MAEKHACHAN)</v>
      </c>
    </row>
    <row r="261" spans="3:9">
      <c r="C261" s="75">
        <v>13250</v>
      </c>
      <c r="D261" s="76" t="s">
        <v>3763</v>
      </c>
      <c r="E261" s="76" t="s">
        <v>3747</v>
      </c>
      <c r="F261" s="76" t="s">
        <v>3764</v>
      </c>
      <c r="G261" s="76" t="s">
        <v>3749</v>
      </c>
      <c r="H261" s="76" t="s">
        <v>3765</v>
      </c>
      <c r="I261" s="76" t="str">
        <f t="shared" ref="I261:I324" si="4">E261&amp;" ("&amp;F261&amp;$I$1</f>
        <v>CHIANGRAI (BANDOO-NANGLAE)</v>
      </c>
    </row>
    <row r="262" spans="3:9">
      <c r="C262" s="75">
        <v>13250</v>
      </c>
      <c r="D262" s="76" t="s">
        <v>3766</v>
      </c>
      <c r="E262" s="76" t="s">
        <v>3747</v>
      </c>
      <c r="F262" s="76" t="s">
        <v>3767</v>
      </c>
      <c r="G262" s="76" t="s">
        <v>3749</v>
      </c>
      <c r="H262" s="76" t="s">
        <v>3768</v>
      </c>
      <c r="I262" s="76" t="str">
        <f t="shared" si="4"/>
        <v>CHIANGRAI (CHIANGKHONG)</v>
      </c>
    </row>
    <row r="263" spans="3:9">
      <c r="C263" s="75">
        <v>13268</v>
      </c>
      <c r="D263" s="76" t="s">
        <v>3769</v>
      </c>
      <c r="E263" s="76" t="s">
        <v>3770</v>
      </c>
      <c r="F263" s="76" t="s">
        <v>3771</v>
      </c>
      <c r="G263" s="76" t="s">
        <v>3772</v>
      </c>
      <c r="H263" s="76" t="s">
        <v>3773</v>
      </c>
      <c r="I263" s="76" t="str">
        <f t="shared" si="4"/>
        <v>CHAOPRAYANAKORNSAWAN (TAKLEE)</v>
      </c>
    </row>
    <row r="264" spans="3:9">
      <c r="C264" s="75">
        <v>13268</v>
      </c>
      <c r="D264" s="76" t="s">
        <v>3774</v>
      </c>
      <c r="E264" s="76" t="s">
        <v>3770</v>
      </c>
      <c r="F264" s="76" t="s">
        <v>3247</v>
      </c>
      <c r="G264" s="76" t="s">
        <v>3772</v>
      </c>
      <c r="H264" s="76" t="s">
        <v>3218</v>
      </c>
      <c r="I264" s="76" t="str">
        <f t="shared" si="4"/>
        <v>CHAOPRAYANAKORNSAWAN (HEAD OFFICE)</v>
      </c>
    </row>
    <row r="265" spans="3:9">
      <c r="C265" s="75">
        <v>13276</v>
      </c>
      <c r="D265" s="76" t="s">
        <v>3775</v>
      </c>
      <c r="E265" s="76" t="s">
        <v>3776</v>
      </c>
      <c r="F265" s="76" t="s">
        <v>3247</v>
      </c>
      <c r="G265" s="76" t="s">
        <v>3777</v>
      </c>
      <c r="H265" s="76" t="s">
        <v>3218</v>
      </c>
      <c r="I265" s="76" t="str">
        <f t="shared" si="4"/>
        <v>RICH (HEAD OFFICE)</v>
      </c>
    </row>
    <row r="266" spans="3:9">
      <c r="C266" s="75">
        <v>13284</v>
      </c>
      <c r="D266" s="76" t="s">
        <v>3778</v>
      </c>
      <c r="E266" s="76" t="s">
        <v>3779</v>
      </c>
      <c r="F266" s="76" t="s">
        <v>3247</v>
      </c>
      <c r="G266" s="76" t="s">
        <v>3780</v>
      </c>
      <c r="H266" s="76" t="s">
        <v>3218</v>
      </c>
      <c r="I266" s="76" t="str">
        <f t="shared" si="4"/>
        <v>MUANGSONGKWARE (HEAD OFFICE)</v>
      </c>
    </row>
    <row r="267" spans="3:9">
      <c r="C267" s="75">
        <v>14019</v>
      </c>
      <c r="D267" s="76" t="s">
        <v>3781</v>
      </c>
      <c r="E267" s="76" t="s">
        <v>3782</v>
      </c>
      <c r="F267" s="76" t="s">
        <v>3388</v>
      </c>
      <c r="G267" s="76" t="s">
        <v>3783</v>
      </c>
      <c r="H267" s="76" t="s">
        <v>3390</v>
      </c>
      <c r="I267" s="76" t="str">
        <f t="shared" si="4"/>
        <v>THAIYEN (MUANG)</v>
      </c>
    </row>
    <row r="268" spans="3:9">
      <c r="C268" s="75">
        <v>14019</v>
      </c>
      <c r="D268" s="76" t="s">
        <v>3784</v>
      </c>
      <c r="E268" s="76" t="s">
        <v>3782</v>
      </c>
      <c r="F268" s="76" t="s">
        <v>3785</v>
      </c>
      <c r="G268" s="76" t="s">
        <v>3783</v>
      </c>
      <c r="H268" s="76" t="s">
        <v>3786</v>
      </c>
      <c r="I268" s="76" t="str">
        <f t="shared" si="4"/>
        <v>THAIYEN (SIKIEW)</v>
      </c>
    </row>
    <row r="269" spans="3:9">
      <c r="C269" s="75">
        <v>14027</v>
      </c>
      <c r="D269" s="76" t="s">
        <v>3787</v>
      </c>
      <c r="E269" s="76" t="s">
        <v>3788</v>
      </c>
      <c r="F269" s="76" t="s">
        <v>3388</v>
      </c>
      <c r="G269" s="76" t="s">
        <v>3789</v>
      </c>
      <c r="H269" s="76" t="s">
        <v>3390</v>
      </c>
      <c r="I269" s="76" t="str">
        <f t="shared" si="4"/>
        <v>SURINT (MUANG)</v>
      </c>
    </row>
    <row r="270" spans="3:9">
      <c r="C270" s="75">
        <v>14027</v>
      </c>
      <c r="D270" s="76" t="s">
        <v>3790</v>
      </c>
      <c r="E270" s="76" t="s">
        <v>3788</v>
      </c>
      <c r="F270" s="76" t="s">
        <v>3791</v>
      </c>
      <c r="G270" s="76" t="s">
        <v>3789</v>
      </c>
      <c r="H270" s="76" t="s">
        <v>3792</v>
      </c>
      <c r="I270" s="76" t="str">
        <f t="shared" si="4"/>
        <v>SURINT (SUNGKA)</v>
      </c>
    </row>
    <row r="271" spans="3:9">
      <c r="C271" s="75">
        <v>14027</v>
      </c>
      <c r="D271" s="76" t="s">
        <v>3793</v>
      </c>
      <c r="E271" s="76" t="s">
        <v>3788</v>
      </c>
      <c r="F271" s="76" t="s">
        <v>3794</v>
      </c>
      <c r="G271" s="76" t="s">
        <v>3789</v>
      </c>
      <c r="H271" s="76" t="s">
        <v>3795</v>
      </c>
      <c r="I271" s="76" t="str">
        <f t="shared" si="4"/>
        <v>SURINT (PRASAT)</v>
      </c>
    </row>
    <row r="272" spans="3:9">
      <c r="C272" s="75">
        <v>14027</v>
      </c>
      <c r="D272" s="76" t="s">
        <v>3796</v>
      </c>
      <c r="E272" s="76" t="s">
        <v>3788</v>
      </c>
      <c r="F272" s="76" t="s">
        <v>3797</v>
      </c>
      <c r="G272" s="76" t="s">
        <v>3789</v>
      </c>
      <c r="H272" s="76" t="s">
        <v>3798</v>
      </c>
      <c r="I272" s="76" t="str">
        <f t="shared" si="4"/>
        <v>SURINT (THATUM)</v>
      </c>
    </row>
    <row r="273" spans="3:9">
      <c r="C273" s="75">
        <v>14027</v>
      </c>
      <c r="D273" s="76" t="s">
        <v>3799</v>
      </c>
      <c r="E273" s="76" t="s">
        <v>3788</v>
      </c>
      <c r="F273" s="76" t="s">
        <v>3800</v>
      </c>
      <c r="G273" s="76" t="s">
        <v>3789</v>
      </c>
      <c r="H273" s="76" t="s">
        <v>3801</v>
      </c>
      <c r="I273" s="76" t="str">
        <f t="shared" si="4"/>
        <v>SURINT (SIKHORABHUMI)</v>
      </c>
    </row>
    <row r="274" spans="3:9">
      <c r="C274" s="75">
        <v>14035</v>
      </c>
      <c r="D274" s="76" t="s">
        <v>3802</v>
      </c>
      <c r="E274" s="76" t="s">
        <v>3803</v>
      </c>
      <c r="F274" s="76" t="s">
        <v>3804</v>
      </c>
      <c r="G274" s="76" t="s">
        <v>3805</v>
      </c>
      <c r="H274" s="76" t="s">
        <v>3806</v>
      </c>
      <c r="I274" s="76" t="str">
        <f t="shared" si="4"/>
        <v>SRISAKES (KUNTRALUK)</v>
      </c>
    </row>
    <row r="275" spans="3:9">
      <c r="C275" s="75">
        <v>14035</v>
      </c>
      <c r="D275" s="76" t="s">
        <v>3807</v>
      </c>
      <c r="E275" s="76" t="s">
        <v>3803</v>
      </c>
      <c r="F275" s="76" t="s">
        <v>3388</v>
      </c>
      <c r="G275" s="76" t="s">
        <v>3805</v>
      </c>
      <c r="H275" s="76" t="s">
        <v>3390</v>
      </c>
      <c r="I275" s="76" t="str">
        <f t="shared" si="4"/>
        <v>SRISAKES (MUANG)</v>
      </c>
    </row>
    <row r="276" spans="3:9">
      <c r="C276" s="75">
        <v>14035</v>
      </c>
      <c r="D276" s="76" t="s">
        <v>3808</v>
      </c>
      <c r="E276" s="76" t="s">
        <v>3803</v>
      </c>
      <c r="F276" s="76" t="s">
        <v>3809</v>
      </c>
      <c r="G276" s="76" t="s">
        <v>3805</v>
      </c>
      <c r="H276" s="76" t="s">
        <v>3810</v>
      </c>
      <c r="I276" s="76" t="str">
        <f t="shared" si="4"/>
        <v>SRISAKES (KHUKHUN)</v>
      </c>
    </row>
    <row r="277" spans="3:9">
      <c r="C277" s="75">
        <v>14035</v>
      </c>
      <c r="D277" s="76" t="s">
        <v>3811</v>
      </c>
      <c r="E277" s="76" t="s">
        <v>3803</v>
      </c>
      <c r="F277" s="76" t="s">
        <v>3812</v>
      </c>
      <c r="G277" s="76" t="s">
        <v>3805</v>
      </c>
      <c r="H277" s="76" t="s">
        <v>3813</v>
      </c>
      <c r="I277" s="76" t="str">
        <f t="shared" si="4"/>
        <v>SRISAKES (RASISALAI)</v>
      </c>
    </row>
    <row r="278" spans="3:9">
      <c r="C278" s="75">
        <v>14035</v>
      </c>
      <c r="D278" s="76" t="s">
        <v>3814</v>
      </c>
      <c r="E278" s="76" t="s">
        <v>3803</v>
      </c>
      <c r="F278" s="76" t="s">
        <v>3815</v>
      </c>
      <c r="G278" s="76" t="s">
        <v>3805</v>
      </c>
      <c r="H278" s="76" t="s">
        <v>3816</v>
      </c>
      <c r="I278" s="76" t="str">
        <f t="shared" si="4"/>
        <v>SRISAKES (KANTARAROM)</v>
      </c>
    </row>
    <row r="279" spans="3:9">
      <c r="C279" s="75">
        <v>14043</v>
      </c>
      <c r="D279" s="76" t="s">
        <v>3817</v>
      </c>
      <c r="E279" s="76" t="s">
        <v>3818</v>
      </c>
      <c r="F279" s="76" t="s">
        <v>3388</v>
      </c>
      <c r="G279" s="76" t="s">
        <v>3819</v>
      </c>
      <c r="H279" s="76" t="s">
        <v>3390</v>
      </c>
      <c r="I279" s="76" t="str">
        <f t="shared" si="4"/>
        <v>MAHASARAKARM (MUANG)</v>
      </c>
    </row>
    <row r="280" spans="3:9">
      <c r="C280" s="75">
        <v>14043</v>
      </c>
      <c r="D280" s="76" t="s">
        <v>3820</v>
      </c>
      <c r="E280" s="76" t="s">
        <v>3818</v>
      </c>
      <c r="F280" s="76" t="s">
        <v>3821</v>
      </c>
      <c r="G280" s="76" t="s">
        <v>3819</v>
      </c>
      <c r="H280" s="76" t="s">
        <v>3822</v>
      </c>
      <c r="I280" s="76" t="str">
        <f t="shared" si="4"/>
        <v>MAHASARAKARM (PAYAKKAPOOM)</v>
      </c>
    </row>
    <row r="281" spans="3:9">
      <c r="C281" s="75">
        <v>14043</v>
      </c>
      <c r="D281" s="76" t="s">
        <v>3823</v>
      </c>
      <c r="E281" s="76" t="s">
        <v>3818</v>
      </c>
      <c r="F281" s="76" t="s">
        <v>3824</v>
      </c>
      <c r="G281" s="76" t="s">
        <v>3819</v>
      </c>
      <c r="H281" s="76" t="s">
        <v>3825</v>
      </c>
      <c r="I281" s="76" t="str">
        <f t="shared" si="4"/>
        <v>MAHASARAKARM (KOSUMPISAI)</v>
      </c>
    </row>
    <row r="282" spans="3:9">
      <c r="C282" s="75">
        <v>14043</v>
      </c>
      <c r="D282" s="76" t="s">
        <v>3826</v>
      </c>
      <c r="E282" s="76" t="s">
        <v>3818</v>
      </c>
      <c r="F282" s="76" t="s">
        <v>3827</v>
      </c>
      <c r="G282" s="76" t="s">
        <v>3819</v>
      </c>
      <c r="H282" s="76" t="s">
        <v>3828</v>
      </c>
      <c r="I282" s="76" t="str">
        <f t="shared" si="4"/>
        <v>MAHASARAKARM (CHIENGYUEN)</v>
      </c>
    </row>
    <row r="283" spans="3:9">
      <c r="C283" s="75">
        <v>14050</v>
      </c>
      <c r="D283" s="76" t="s">
        <v>3829</v>
      </c>
      <c r="E283" s="76" t="s">
        <v>3830</v>
      </c>
      <c r="F283" s="76" t="s">
        <v>3388</v>
      </c>
      <c r="G283" s="76" t="s">
        <v>3831</v>
      </c>
      <c r="H283" s="76" t="s">
        <v>3390</v>
      </c>
      <c r="I283" s="76" t="str">
        <f t="shared" si="4"/>
        <v>SAKOLNAKORN (MUANG)</v>
      </c>
    </row>
    <row r="284" spans="3:9">
      <c r="C284" s="75">
        <v>14068</v>
      </c>
      <c r="D284" s="76" t="s">
        <v>3832</v>
      </c>
      <c r="E284" s="76" t="s">
        <v>3833</v>
      </c>
      <c r="F284" s="76" t="s">
        <v>3388</v>
      </c>
      <c r="G284" s="76" t="s">
        <v>3834</v>
      </c>
      <c r="H284" s="76" t="s">
        <v>3390</v>
      </c>
      <c r="I284" s="76" t="str">
        <f t="shared" si="4"/>
        <v>UBOLRAJTHANI (MUANG)</v>
      </c>
    </row>
    <row r="285" spans="3:9">
      <c r="C285" s="75">
        <v>14068</v>
      </c>
      <c r="D285" s="76" t="s">
        <v>3835</v>
      </c>
      <c r="E285" s="76" t="s">
        <v>3833</v>
      </c>
      <c r="F285" s="76" t="s">
        <v>3836</v>
      </c>
      <c r="G285" s="76" t="s">
        <v>3834</v>
      </c>
      <c r="H285" s="76" t="s">
        <v>3837</v>
      </c>
      <c r="I285" s="76" t="str">
        <f t="shared" si="4"/>
        <v>UBOLRAJTHANI (CHAYANGKUL)</v>
      </c>
    </row>
    <row r="286" spans="3:9">
      <c r="C286" s="75">
        <v>14068</v>
      </c>
      <c r="D286" s="76" t="s">
        <v>3838</v>
      </c>
      <c r="E286" s="76" t="s">
        <v>3833</v>
      </c>
      <c r="F286" s="76" t="s">
        <v>3839</v>
      </c>
      <c r="G286" s="76" t="s">
        <v>3834</v>
      </c>
      <c r="H286" s="76" t="s">
        <v>3840</v>
      </c>
      <c r="I286" s="76" t="str">
        <f t="shared" si="4"/>
        <v>UBOLRAJTHANI (DET-U-DOM)</v>
      </c>
    </row>
    <row r="287" spans="3:9">
      <c r="C287" s="75">
        <v>14076</v>
      </c>
      <c r="D287" s="76" t="s">
        <v>3841</v>
      </c>
      <c r="E287" s="76" t="s">
        <v>3842</v>
      </c>
      <c r="F287" s="76" t="s">
        <v>3388</v>
      </c>
      <c r="G287" s="76" t="s">
        <v>3843</v>
      </c>
      <c r="H287" s="76" t="s">
        <v>3390</v>
      </c>
      <c r="I287" s="76" t="str">
        <f t="shared" si="4"/>
        <v>KHONKAEN (MUANG)</v>
      </c>
    </row>
    <row r="288" spans="3:9">
      <c r="C288" s="75">
        <v>14076</v>
      </c>
      <c r="D288" s="76" t="s">
        <v>3844</v>
      </c>
      <c r="E288" s="76" t="s">
        <v>3842</v>
      </c>
      <c r="F288" s="76" t="s">
        <v>3845</v>
      </c>
      <c r="G288" s="76" t="s">
        <v>3843</v>
      </c>
      <c r="H288" s="76" t="s">
        <v>3846</v>
      </c>
      <c r="I288" s="76" t="str">
        <f t="shared" si="4"/>
        <v>KHONKAEN (CHUMPAE)</v>
      </c>
    </row>
    <row r="289" spans="3:9">
      <c r="C289" s="75">
        <v>14076</v>
      </c>
      <c r="D289" s="76" t="s">
        <v>3847</v>
      </c>
      <c r="E289" s="76" t="s">
        <v>3842</v>
      </c>
      <c r="F289" s="76" t="s">
        <v>3848</v>
      </c>
      <c r="G289" s="76" t="s">
        <v>3843</v>
      </c>
      <c r="H289" s="76" t="s">
        <v>3849</v>
      </c>
      <c r="I289" s="76" t="str">
        <f t="shared" si="4"/>
        <v>KHONKAEN (BANPAI)</v>
      </c>
    </row>
    <row r="290" spans="3:9">
      <c r="C290" s="75">
        <v>14076</v>
      </c>
      <c r="D290" s="76" t="s">
        <v>3850</v>
      </c>
      <c r="E290" s="76" t="s">
        <v>3842</v>
      </c>
      <c r="F290" s="76" t="s">
        <v>3851</v>
      </c>
      <c r="G290" s="76" t="s">
        <v>3843</v>
      </c>
      <c r="H290" s="76" t="s">
        <v>3852</v>
      </c>
      <c r="I290" s="76" t="str">
        <f t="shared" si="4"/>
        <v>KHONKAEN (KRANUAN)</v>
      </c>
    </row>
    <row r="291" spans="3:9">
      <c r="C291" s="75">
        <v>14076</v>
      </c>
      <c r="D291" s="76" t="s">
        <v>3853</v>
      </c>
      <c r="E291" s="76" t="s">
        <v>3842</v>
      </c>
      <c r="F291" s="76" t="s">
        <v>3854</v>
      </c>
      <c r="G291" s="76" t="s">
        <v>3843</v>
      </c>
      <c r="H291" s="76" t="s">
        <v>3855</v>
      </c>
      <c r="I291" s="76" t="str">
        <f t="shared" si="4"/>
        <v>KHONKAEN (MORE DINDANG)</v>
      </c>
    </row>
    <row r="292" spans="3:9">
      <c r="C292" s="75">
        <v>14076</v>
      </c>
      <c r="D292" s="76" t="s">
        <v>3856</v>
      </c>
      <c r="E292" s="76" t="s">
        <v>3842</v>
      </c>
      <c r="F292" s="76" t="s">
        <v>3857</v>
      </c>
      <c r="G292" s="76" t="s">
        <v>3843</v>
      </c>
      <c r="H292" s="76" t="s">
        <v>3858</v>
      </c>
      <c r="I292" s="76" t="str">
        <f t="shared" si="4"/>
        <v>KHONKAEN (POL)</v>
      </c>
    </row>
    <row r="293" spans="3:9">
      <c r="C293" s="75">
        <v>14076</v>
      </c>
      <c r="D293" s="76" t="s">
        <v>3859</v>
      </c>
      <c r="E293" s="76" t="s">
        <v>3842</v>
      </c>
      <c r="F293" s="76" t="s">
        <v>3860</v>
      </c>
      <c r="G293" s="76" t="s">
        <v>3843</v>
      </c>
      <c r="H293" s="76" t="s">
        <v>3861</v>
      </c>
      <c r="I293" s="76" t="str">
        <f t="shared" si="4"/>
        <v>KHONKAEN (MALIWAN)</v>
      </c>
    </row>
    <row r="294" spans="3:9">
      <c r="C294" s="75">
        <v>14076</v>
      </c>
      <c r="D294" s="76" t="s">
        <v>3862</v>
      </c>
      <c r="E294" s="76" t="s">
        <v>3842</v>
      </c>
      <c r="F294" s="76" t="s">
        <v>3863</v>
      </c>
      <c r="G294" s="76" t="s">
        <v>3843</v>
      </c>
      <c r="H294" s="76" t="s">
        <v>3864</v>
      </c>
      <c r="I294" s="76" t="str">
        <f t="shared" si="4"/>
        <v>KHONKAEN (SRICHAN)</v>
      </c>
    </row>
    <row r="295" spans="3:9">
      <c r="C295" s="75">
        <v>14084</v>
      </c>
      <c r="D295" s="76" t="s">
        <v>3865</v>
      </c>
      <c r="E295" s="76" t="s">
        <v>3866</v>
      </c>
      <c r="F295" s="76" t="s">
        <v>3388</v>
      </c>
      <c r="G295" s="76" t="s">
        <v>3867</v>
      </c>
      <c r="H295" s="76" t="s">
        <v>3390</v>
      </c>
      <c r="I295" s="76" t="str">
        <f t="shared" si="4"/>
        <v>UDORNTHANI (MUANG)</v>
      </c>
    </row>
    <row r="296" spans="3:9">
      <c r="C296" s="75">
        <v>14084</v>
      </c>
      <c r="D296" s="76" t="s">
        <v>3868</v>
      </c>
      <c r="E296" s="76" t="s">
        <v>3866</v>
      </c>
      <c r="F296" s="76" t="s">
        <v>3869</v>
      </c>
      <c r="G296" s="76" t="s">
        <v>3867</v>
      </c>
      <c r="H296" s="76" t="s">
        <v>3870</v>
      </c>
      <c r="I296" s="76" t="str">
        <f t="shared" si="4"/>
        <v>UDORNTHANI (KUMPAWAPEE)</v>
      </c>
    </row>
    <row r="297" spans="3:9">
      <c r="C297" s="75">
        <v>14084</v>
      </c>
      <c r="D297" s="76" t="s">
        <v>3871</v>
      </c>
      <c r="E297" s="76" t="s">
        <v>3866</v>
      </c>
      <c r="F297" s="76" t="s">
        <v>3872</v>
      </c>
      <c r="G297" s="76" t="s">
        <v>3867</v>
      </c>
      <c r="H297" s="76" t="s">
        <v>3873</v>
      </c>
      <c r="I297" s="76" t="str">
        <f t="shared" si="4"/>
        <v>UDORNTHANI (BANDUNG)</v>
      </c>
    </row>
    <row r="298" spans="3:9">
      <c r="C298" s="75">
        <v>14084</v>
      </c>
      <c r="D298" s="76" t="s">
        <v>3874</v>
      </c>
      <c r="E298" s="76" t="s">
        <v>3866</v>
      </c>
      <c r="F298" s="76" t="s">
        <v>3875</v>
      </c>
      <c r="G298" s="76" t="s">
        <v>3867</v>
      </c>
      <c r="H298" s="76" t="s">
        <v>3876</v>
      </c>
      <c r="I298" s="76" t="str">
        <f t="shared" si="4"/>
        <v>UDORNTHANI (BANPHUE)</v>
      </c>
    </row>
    <row r="299" spans="3:9">
      <c r="C299" s="75">
        <v>14092</v>
      </c>
      <c r="D299" s="76" t="s">
        <v>3877</v>
      </c>
      <c r="E299" s="76" t="s">
        <v>3878</v>
      </c>
      <c r="F299" s="76" t="s">
        <v>3388</v>
      </c>
      <c r="G299" s="76" t="s">
        <v>3879</v>
      </c>
      <c r="H299" s="76" t="s">
        <v>3390</v>
      </c>
      <c r="I299" s="76" t="str">
        <f t="shared" si="4"/>
        <v>CHAIYAPOOM (MUANG)</v>
      </c>
    </row>
    <row r="300" spans="3:9">
      <c r="C300" s="75">
        <v>14092</v>
      </c>
      <c r="D300" s="76" t="s">
        <v>3880</v>
      </c>
      <c r="E300" s="76" t="s">
        <v>3878</v>
      </c>
      <c r="F300" s="76" t="s">
        <v>3881</v>
      </c>
      <c r="G300" s="76" t="s">
        <v>3879</v>
      </c>
      <c r="H300" s="76" t="s">
        <v>3882</v>
      </c>
      <c r="I300" s="76" t="str">
        <f t="shared" si="4"/>
        <v>CHAIYAPOOM (BYPASS)</v>
      </c>
    </row>
    <row r="301" spans="3:9">
      <c r="C301" s="75">
        <v>14100</v>
      </c>
      <c r="D301" s="76" t="s">
        <v>3883</v>
      </c>
      <c r="E301" s="76" t="s">
        <v>3884</v>
      </c>
      <c r="F301" s="76" t="s">
        <v>3884</v>
      </c>
      <c r="G301" s="76" t="s">
        <v>3885</v>
      </c>
      <c r="H301" s="76" t="s">
        <v>3390</v>
      </c>
      <c r="I301" s="76" t="str">
        <f t="shared" si="4"/>
        <v>NAKORNPANOM (NAKORNPANOM)</v>
      </c>
    </row>
    <row r="302" spans="3:9">
      <c r="C302" s="75">
        <v>14118</v>
      </c>
      <c r="D302" s="76" t="s">
        <v>3886</v>
      </c>
      <c r="E302" s="76" t="s">
        <v>3887</v>
      </c>
      <c r="F302" s="76" t="s">
        <v>3388</v>
      </c>
      <c r="G302" s="76" t="s">
        <v>3888</v>
      </c>
      <c r="H302" s="76" t="s">
        <v>3390</v>
      </c>
      <c r="I302" s="76" t="str">
        <f t="shared" si="4"/>
        <v>ROI-ED (MUANG)</v>
      </c>
    </row>
    <row r="303" spans="3:9">
      <c r="C303" s="75">
        <v>14118</v>
      </c>
      <c r="D303" s="76" t="s">
        <v>3889</v>
      </c>
      <c r="E303" s="76" t="s">
        <v>3887</v>
      </c>
      <c r="F303" s="76" t="s">
        <v>3890</v>
      </c>
      <c r="G303" s="76" t="s">
        <v>3888</v>
      </c>
      <c r="H303" s="76" t="s">
        <v>3891</v>
      </c>
      <c r="I303" s="76" t="str">
        <f t="shared" si="4"/>
        <v>ROI-ED (SELAPOOM)</v>
      </c>
    </row>
    <row r="304" spans="3:9">
      <c r="C304" s="75">
        <v>14118</v>
      </c>
      <c r="D304" s="76" t="s">
        <v>3892</v>
      </c>
      <c r="E304" s="76" t="s">
        <v>3887</v>
      </c>
      <c r="F304" s="76" t="s">
        <v>3360</v>
      </c>
      <c r="G304" s="76" t="s">
        <v>3888</v>
      </c>
      <c r="H304" s="76" t="s">
        <v>3361</v>
      </c>
      <c r="I304" s="76" t="str">
        <f t="shared" si="4"/>
        <v>ROI-ED (SUVARNABHUMI)</v>
      </c>
    </row>
    <row r="305" spans="3:9">
      <c r="C305" s="75">
        <v>14118</v>
      </c>
      <c r="D305" s="76" t="s">
        <v>3893</v>
      </c>
      <c r="E305" s="76" t="s">
        <v>3887</v>
      </c>
      <c r="F305" s="76" t="s">
        <v>3894</v>
      </c>
      <c r="G305" s="76" t="s">
        <v>3888</v>
      </c>
      <c r="H305" s="76" t="s">
        <v>3895</v>
      </c>
      <c r="I305" s="76" t="str">
        <f t="shared" si="4"/>
        <v>ROI-ED (PONETHONG)</v>
      </c>
    </row>
    <row r="306" spans="3:9">
      <c r="C306" s="75">
        <v>14126</v>
      </c>
      <c r="D306" s="76" t="s">
        <v>3896</v>
      </c>
      <c r="E306" s="76" t="s">
        <v>3897</v>
      </c>
      <c r="F306" s="76" t="s">
        <v>3897</v>
      </c>
      <c r="G306" s="76" t="s">
        <v>3898</v>
      </c>
      <c r="H306" s="76" t="s">
        <v>3390</v>
      </c>
      <c r="I306" s="76" t="str">
        <f t="shared" si="4"/>
        <v>BURIRUM (BURIRUM)</v>
      </c>
    </row>
    <row r="307" spans="3:9">
      <c r="C307" s="75">
        <v>14134</v>
      </c>
      <c r="D307" s="76" t="s">
        <v>3899</v>
      </c>
      <c r="E307" s="76" t="s">
        <v>3900</v>
      </c>
      <c r="F307" s="76" t="s">
        <v>3247</v>
      </c>
      <c r="G307" s="76" t="s">
        <v>3901</v>
      </c>
      <c r="H307" s="76" t="s">
        <v>3218</v>
      </c>
      <c r="I307" s="76" t="str">
        <f t="shared" si="4"/>
        <v>LOEY (HEAD OFFICE)</v>
      </c>
    </row>
    <row r="308" spans="3:9">
      <c r="C308" s="75">
        <v>14134</v>
      </c>
      <c r="D308" s="76" t="s">
        <v>3902</v>
      </c>
      <c r="E308" s="76" t="s">
        <v>3900</v>
      </c>
      <c r="F308" s="76" t="s">
        <v>3903</v>
      </c>
      <c r="G308" s="76" t="s">
        <v>3901</v>
      </c>
      <c r="H308" s="76" t="s">
        <v>3904</v>
      </c>
      <c r="I308" s="76" t="str">
        <f t="shared" si="4"/>
        <v>LOEY (WANGSAPHUNG)</v>
      </c>
    </row>
    <row r="309" spans="3:9">
      <c r="C309" s="75">
        <v>14134</v>
      </c>
      <c r="D309" s="76" t="s">
        <v>3905</v>
      </c>
      <c r="E309" s="76" t="s">
        <v>3900</v>
      </c>
      <c r="F309" s="76" t="s">
        <v>3906</v>
      </c>
      <c r="G309" s="76" t="s">
        <v>3901</v>
      </c>
      <c r="H309" s="76" t="s">
        <v>3907</v>
      </c>
      <c r="I309" s="76" t="str">
        <f t="shared" si="4"/>
        <v>LOEY (DANSAI)</v>
      </c>
    </row>
    <row r="310" spans="3:9">
      <c r="C310" s="75">
        <v>14142</v>
      </c>
      <c r="D310" s="76" t="s">
        <v>3908</v>
      </c>
      <c r="E310" s="76" t="s">
        <v>3909</v>
      </c>
      <c r="F310" s="76" t="s">
        <v>3909</v>
      </c>
      <c r="G310" s="76" t="s">
        <v>3910</v>
      </c>
      <c r="H310" s="76" t="s">
        <v>3390</v>
      </c>
      <c r="I310" s="76" t="str">
        <f t="shared" si="4"/>
        <v>MUKDAHARN (MUKDAHARN)</v>
      </c>
    </row>
    <row r="311" spans="3:9">
      <c r="C311" s="75">
        <v>14142</v>
      </c>
      <c r="D311" s="76" t="s">
        <v>3911</v>
      </c>
      <c r="E311" s="76" t="s">
        <v>3909</v>
      </c>
      <c r="F311" s="76" t="s">
        <v>3912</v>
      </c>
      <c r="G311" s="76" t="s">
        <v>3910</v>
      </c>
      <c r="H311" s="76" t="s">
        <v>3913</v>
      </c>
      <c r="I311" s="76" t="str">
        <f t="shared" si="4"/>
        <v>MUKDAHARN (KAMCHA-E)</v>
      </c>
    </row>
    <row r="312" spans="3:9">
      <c r="C312" s="75">
        <v>14150</v>
      </c>
      <c r="D312" s="76" t="s">
        <v>3914</v>
      </c>
      <c r="E312" s="76" t="s">
        <v>3915</v>
      </c>
      <c r="F312" s="76" t="s">
        <v>3388</v>
      </c>
      <c r="G312" s="76" t="s">
        <v>3916</v>
      </c>
      <c r="H312" s="76" t="s">
        <v>3390</v>
      </c>
      <c r="I312" s="76" t="str">
        <f t="shared" si="4"/>
        <v>KORAT 1988 (MUANG)</v>
      </c>
    </row>
    <row r="313" spans="3:9">
      <c r="C313" s="75">
        <v>14150</v>
      </c>
      <c r="D313" s="76" t="s">
        <v>3917</v>
      </c>
      <c r="E313" s="76" t="s">
        <v>3915</v>
      </c>
      <c r="F313" s="76" t="s">
        <v>3918</v>
      </c>
      <c r="G313" s="76" t="s">
        <v>3916</v>
      </c>
      <c r="H313" s="76" t="s">
        <v>3919</v>
      </c>
      <c r="I313" s="76" t="str">
        <f t="shared" si="4"/>
        <v>KORAT 1988 (KOK-KYUD)</v>
      </c>
    </row>
    <row r="314" spans="3:9">
      <c r="C314" s="75">
        <v>14150</v>
      </c>
      <c r="D314" s="76" t="s">
        <v>3920</v>
      </c>
      <c r="E314" s="76" t="s">
        <v>3915</v>
      </c>
      <c r="F314" s="76" t="s">
        <v>3921</v>
      </c>
      <c r="G314" s="76" t="s">
        <v>3916</v>
      </c>
      <c r="H314" s="76" t="s">
        <v>3922</v>
      </c>
      <c r="I314" s="76" t="str">
        <f t="shared" si="4"/>
        <v>KORAT 1988 (PIMAI)</v>
      </c>
    </row>
    <row r="315" spans="3:9">
      <c r="C315" s="75">
        <v>14150</v>
      </c>
      <c r="D315" s="76" t="s">
        <v>3923</v>
      </c>
      <c r="E315" s="76" t="s">
        <v>3915</v>
      </c>
      <c r="F315" s="76" t="s">
        <v>3924</v>
      </c>
      <c r="G315" s="76" t="s">
        <v>3916</v>
      </c>
      <c r="H315" s="76" t="s">
        <v>3925</v>
      </c>
      <c r="I315" s="76" t="str">
        <f t="shared" si="4"/>
        <v>KORAT 1988 (DANKHUNTOD)</v>
      </c>
    </row>
    <row r="316" spans="3:9">
      <c r="C316" s="75">
        <v>14150</v>
      </c>
      <c r="D316" s="76" t="s">
        <v>3926</v>
      </c>
      <c r="E316" s="76" t="s">
        <v>3915</v>
      </c>
      <c r="F316" s="76" t="s">
        <v>3927</v>
      </c>
      <c r="G316" s="76" t="s">
        <v>3916</v>
      </c>
      <c r="H316" s="76" t="s">
        <v>3928</v>
      </c>
      <c r="I316" s="76" t="str">
        <f t="shared" si="4"/>
        <v>KORAT 1988 (CHOKCHAI)</v>
      </c>
    </row>
    <row r="317" spans="3:9">
      <c r="C317" s="75">
        <v>14150</v>
      </c>
      <c r="D317" s="76" t="s">
        <v>3929</v>
      </c>
      <c r="E317" s="76" t="s">
        <v>3915</v>
      </c>
      <c r="F317" s="76" t="s">
        <v>3930</v>
      </c>
      <c r="G317" s="76" t="s">
        <v>3916</v>
      </c>
      <c r="H317" s="76" t="s">
        <v>3931</v>
      </c>
      <c r="I317" s="76" t="str">
        <f t="shared" si="4"/>
        <v>KORAT 1988 (LIANGMUANG (HO))</v>
      </c>
    </row>
    <row r="318" spans="3:9">
      <c r="C318" s="75">
        <v>14150</v>
      </c>
      <c r="D318" s="76" t="s">
        <v>3932</v>
      </c>
      <c r="E318" s="76" t="s">
        <v>3915</v>
      </c>
      <c r="F318" s="76" t="s">
        <v>3933</v>
      </c>
      <c r="G318" s="76" t="s">
        <v>3916</v>
      </c>
      <c r="H318" s="76" t="s">
        <v>3934</v>
      </c>
      <c r="I318" s="76" t="str">
        <f t="shared" si="4"/>
        <v>KORAT 1988 (KORNBURI)</v>
      </c>
    </row>
    <row r="319" spans="3:9">
      <c r="C319" s="75">
        <v>14168</v>
      </c>
      <c r="D319" s="76" t="s">
        <v>3935</v>
      </c>
      <c r="E319" s="76" t="s">
        <v>3936</v>
      </c>
      <c r="F319" s="76" t="s">
        <v>3388</v>
      </c>
      <c r="G319" s="76" t="s">
        <v>3937</v>
      </c>
      <c r="H319" s="76" t="s">
        <v>3390</v>
      </c>
      <c r="I319" s="76" t="str">
        <f t="shared" si="4"/>
        <v>KALASIN (MUANG)</v>
      </c>
    </row>
    <row r="320" spans="3:9">
      <c r="C320" s="75">
        <v>14168</v>
      </c>
      <c r="D320" s="76" t="s">
        <v>3938</v>
      </c>
      <c r="E320" s="76" t="s">
        <v>3936</v>
      </c>
      <c r="F320" s="76" t="s">
        <v>3939</v>
      </c>
      <c r="G320" s="76" t="s">
        <v>3937</v>
      </c>
      <c r="H320" s="76" t="s">
        <v>3940</v>
      </c>
      <c r="I320" s="76" t="str">
        <f t="shared" si="4"/>
        <v>KALASIN (KHUSHINARAI)</v>
      </c>
    </row>
    <row r="321" spans="3:9">
      <c r="C321" s="75">
        <v>14168</v>
      </c>
      <c r="D321" s="76" t="s">
        <v>3941</v>
      </c>
      <c r="E321" s="76" t="s">
        <v>3936</v>
      </c>
      <c r="F321" s="76" t="s">
        <v>3942</v>
      </c>
      <c r="G321" s="76" t="s">
        <v>3937</v>
      </c>
      <c r="H321" s="76" t="s">
        <v>3943</v>
      </c>
      <c r="I321" s="76" t="str">
        <f t="shared" si="4"/>
        <v>KALASIN (HUYMEX)</v>
      </c>
    </row>
    <row r="322" spans="3:9">
      <c r="C322" s="75">
        <v>14168</v>
      </c>
      <c r="D322" s="76" t="s">
        <v>3944</v>
      </c>
      <c r="E322" s="76" t="s">
        <v>3936</v>
      </c>
      <c r="F322" s="76" t="s">
        <v>3945</v>
      </c>
      <c r="G322" s="76" t="s">
        <v>3937</v>
      </c>
      <c r="H322" s="76" t="s">
        <v>3946</v>
      </c>
      <c r="I322" s="76" t="str">
        <f t="shared" si="4"/>
        <v>KALASIN (YANGTALAD)</v>
      </c>
    </row>
    <row r="323" spans="3:9">
      <c r="C323" s="75">
        <v>14175</v>
      </c>
      <c r="D323" s="76" t="s">
        <v>3947</v>
      </c>
      <c r="E323" s="76" t="s">
        <v>3948</v>
      </c>
      <c r="F323" s="76" t="s">
        <v>3948</v>
      </c>
      <c r="G323" s="76" t="s">
        <v>3949</v>
      </c>
      <c r="H323" s="76" t="s">
        <v>3949</v>
      </c>
      <c r="I323" s="76" t="str">
        <f t="shared" si="4"/>
        <v>YASOTHON (YASOTHON)</v>
      </c>
    </row>
    <row r="324" spans="3:9">
      <c r="C324" s="75">
        <v>14175</v>
      </c>
      <c r="D324" s="76" t="s">
        <v>3950</v>
      </c>
      <c r="E324" s="76" t="s">
        <v>3948</v>
      </c>
      <c r="F324" s="76" t="s">
        <v>3951</v>
      </c>
      <c r="G324" s="76" t="s">
        <v>3949</v>
      </c>
      <c r="H324" s="76" t="s">
        <v>3952</v>
      </c>
      <c r="I324" s="76" t="str">
        <f t="shared" si="4"/>
        <v>YASOTHON (LOENGNOKTHA)</v>
      </c>
    </row>
    <row r="325" spans="3:9">
      <c r="C325" s="75">
        <v>14183</v>
      </c>
      <c r="D325" s="76" t="s">
        <v>3953</v>
      </c>
      <c r="E325" s="76" t="s">
        <v>3954</v>
      </c>
      <c r="F325" s="76" t="s">
        <v>3955</v>
      </c>
      <c r="G325" s="76" t="s">
        <v>3956</v>
      </c>
      <c r="H325" s="76" t="s">
        <v>3956</v>
      </c>
      <c r="I325" s="76" t="str">
        <f t="shared" ref="I325:I388" si="5">E325&amp;" ("&amp;F325&amp;$I$1</f>
        <v>NONGKAI (NONGKI)</v>
      </c>
    </row>
    <row r="326" spans="3:9">
      <c r="C326" s="75">
        <v>14191</v>
      </c>
      <c r="D326" s="76" t="s">
        <v>3957</v>
      </c>
      <c r="E326" s="76" t="s">
        <v>3958</v>
      </c>
      <c r="F326" s="76" t="s">
        <v>3388</v>
      </c>
      <c r="G326" s="76" t="s">
        <v>3959</v>
      </c>
      <c r="H326" s="76" t="s">
        <v>3390</v>
      </c>
      <c r="I326" s="76" t="str">
        <f t="shared" si="5"/>
        <v>NANGRONG (MUANG)</v>
      </c>
    </row>
    <row r="327" spans="3:9">
      <c r="C327" s="75">
        <v>14191</v>
      </c>
      <c r="D327" s="76" t="s">
        <v>3960</v>
      </c>
      <c r="E327" s="76" t="s">
        <v>3958</v>
      </c>
      <c r="F327" s="76" t="s">
        <v>3961</v>
      </c>
      <c r="G327" s="76" t="s">
        <v>3959</v>
      </c>
      <c r="H327" s="76" t="s">
        <v>3962</v>
      </c>
      <c r="I327" s="76" t="str">
        <f t="shared" si="5"/>
        <v>NANGRONG (LAMPAIMAS)</v>
      </c>
    </row>
    <row r="328" spans="3:9">
      <c r="C328" s="75">
        <v>14191</v>
      </c>
      <c r="D328" s="76" t="s">
        <v>3963</v>
      </c>
      <c r="E328" s="76" t="s">
        <v>3958</v>
      </c>
      <c r="F328" s="76" t="s">
        <v>3964</v>
      </c>
      <c r="G328" s="76" t="s">
        <v>3959</v>
      </c>
      <c r="H328" s="76" t="s">
        <v>3965</v>
      </c>
      <c r="I328" s="76" t="str">
        <f t="shared" si="5"/>
        <v>NANGRONG (PUTTHAISONG)</v>
      </c>
    </row>
    <row r="329" spans="3:9">
      <c r="C329" s="75">
        <v>14191</v>
      </c>
      <c r="D329" s="76" t="s">
        <v>3966</v>
      </c>
      <c r="E329" s="76" t="s">
        <v>3958</v>
      </c>
      <c r="F329" s="76" t="s">
        <v>3967</v>
      </c>
      <c r="G329" s="76" t="s">
        <v>3959</v>
      </c>
      <c r="H329" s="76" t="s">
        <v>3968</v>
      </c>
      <c r="I329" s="76" t="str">
        <f t="shared" si="5"/>
        <v>NANGRONG (MUANGBURIRAM)</v>
      </c>
    </row>
    <row r="330" spans="3:9">
      <c r="C330" s="75">
        <v>14191</v>
      </c>
      <c r="D330" s="76" t="s">
        <v>3969</v>
      </c>
      <c r="E330" s="76" t="s">
        <v>3958</v>
      </c>
      <c r="F330" s="76" t="s">
        <v>3970</v>
      </c>
      <c r="G330" s="76" t="s">
        <v>3959</v>
      </c>
      <c r="H330" s="76" t="s">
        <v>3971</v>
      </c>
      <c r="I330" s="76" t="str">
        <f t="shared" si="5"/>
        <v>NANGRONG (BANKRUAD)</v>
      </c>
    </row>
    <row r="331" spans="3:9">
      <c r="C331" s="75">
        <v>14209</v>
      </c>
      <c r="D331" s="76" t="s">
        <v>3972</v>
      </c>
      <c r="E331" s="76" t="s">
        <v>3973</v>
      </c>
      <c r="F331" s="76" t="s">
        <v>3974</v>
      </c>
      <c r="G331" s="76" t="s">
        <v>3975</v>
      </c>
      <c r="H331" s="76" t="s">
        <v>3976</v>
      </c>
      <c r="I331" s="76" t="str">
        <f t="shared" si="5"/>
        <v>TOYOTA AMNAJCAROEN (AMNAJCHAROEN)</v>
      </c>
    </row>
    <row r="332" spans="3:9">
      <c r="C332" s="75">
        <v>14217</v>
      </c>
      <c r="D332" s="76" t="s">
        <v>3977</v>
      </c>
      <c r="E332" s="76" t="s">
        <v>3978</v>
      </c>
      <c r="F332" s="76" t="s">
        <v>3978</v>
      </c>
      <c r="G332" s="76" t="s">
        <v>3979</v>
      </c>
      <c r="H332" s="76" t="s">
        <v>3218</v>
      </c>
      <c r="I332" s="76" t="str">
        <f t="shared" si="5"/>
        <v>DEEYIAM (DEEYIAM)</v>
      </c>
    </row>
    <row r="333" spans="3:9">
      <c r="C333" s="75">
        <v>14217</v>
      </c>
      <c r="D333" s="76" t="s">
        <v>3980</v>
      </c>
      <c r="E333" s="76" t="s">
        <v>3978</v>
      </c>
      <c r="F333" s="76" t="s">
        <v>3981</v>
      </c>
      <c r="G333" s="76" t="s">
        <v>3979</v>
      </c>
      <c r="H333" s="76" t="s">
        <v>3982</v>
      </c>
      <c r="I333" s="76" t="str">
        <f t="shared" si="5"/>
        <v>DEEYIAM (TRAKARNPHEUTPOL)</v>
      </c>
    </row>
    <row r="334" spans="3:9">
      <c r="C334" s="75">
        <v>14217</v>
      </c>
      <c r="D334" s="76" t="s">
        <v>3983</v>
      </c>
      <c r="E334" s="76" t="s">
        <v>3978</v>
      </c>
      <c r="F334" s="76" t="s">
        <v>3984</v>
      </c>
      <c r="G334" s="76" t="s">
        <v>3979</v>
      </c>
      <c r="H334" s="76" t="s">
        <v>3985</v>
      </c>
      <c r="I334" s="76" t="str">
        <f t="shared" si="5"/>
        <v>DEEYIAM (NUMYUEN)</v>
      </c>
    </row>
    <row r="335" spans="3:9">
      <c r="C335" s="75">
        <v>14217</v>
      </c>
      <c r="D335" s="76" t="s">
        <v>3986</v>
      </c>
      <c r="E335" s="76" t="s">
        <v>3978</v>
      </c>
      <c r="F335" s="76" t="s">
        <v>3987</v>
      </c>
      <c r="G335" s="76" t="s">
        <v>3979</v>
      </c>
      <c r="H335" s="76" t="s">
        <v>3988</v>
      </c>
      <c r="I335" s="76" t="str">
        <f t="shared" si="5"/>
        <v>DEEYIAM (PHIBOONMUNGSAHARN)</v>
      </c>
    </row>
    <row r="336" spans="3:9">
      <c r="C336" s="75">
        <v>14225</v>
      </c>
      <c r="D336" s="76" t="s">
        <v>3989</v>
      </c>
      <c r="E336" s="76" t="s">
        <v>3990</v>
      </c>
      <c r="F336" s="76" t="s">
        <v>3990</v>
      </c>
      <c r="G336" s="76" t="s">
        <v>3991</v>
      </c>
      <c r="H336" s="76" t="s">
        <v>3218</v>
      </c>
      <c r="I336" s="76" t="str">
        <f t="shared" si="5"/>
        <v>KAENNAKORN (KAENNAKORN)</v>
      </c>
    </row>
    <row r="337" spans="3:9">
      <c r="C337" s="75">
        <v>14225</v>
      </c>
      <c r="D337" s="76" t="s">
        <v>3992</v>
      </c>
      <c r="E337" s="76" t="s">
        <v>3990</v>
      </c>
      <c r="F337" s="76" t="s">
        <v>3993</v>
      </c>
      <c r="G337" s="76" t="s">
        <v>3991</v>
      </c>
      <c r="H337" s="76" t="s">
        <v>3994</v>
      </c>
      <c r="I337" s="76" t="str">
        <f t="shared" si="5"/>
        <v>KAENNAKORN (NONGRUE)</v>
      </c>
    </row>
    <row r="338" spans="3:9">
      <c r="C338" s="75">
        <v>14225</v>
      </c>
      <c r="D338" s="76" t="s">
        <v>3995</v>
      </c>
      <c r="E338" s="76" t="s">
        <v>3990</v>
      </c>
      <c r="F338" s="76" t="s">
        <v>3996</v>
      </c>
      <c r="G338" s="76" t="s">
        <v>3991</v>
      </c>
      <c r="H338" s="76" t="s">
        <v>3997</v>
      </c>
      <c r="I338" s="76" t="str">
        <f t="shared" si="5"/>
        <v>KAENNAKORN (MANCHAKHIRI)</v>
      </c>
    </row>
    <row r="339" spans="3:9">
      <c r="C339" s="75">
        <v>14225</v>
      </c>
      <c r="D339" s="76" t="s">
        <v>3998</v>
      </c>
      <c r="E339" s="76" t="s">
        <v>3990</v>
      </c>
      <c r="F339" s="76" t="s">
        <v>3999</v>
      </c>
      <c r="G339" s="76" t="s">
        <v>3991</v>
      </c>
      <c r="H339" s="76" t="s">
        <v>4000</v>
      </c>
      <c r="I339" s="76" t="str">
        <f t="shared" si="5"/>
        <v>KAENNAKORN (BANDON)</v>
      </c>
    </row>
    <row r="340" spans="3:9">
      <c r="C340" s="75">
        <v>14233</v>
      </c>
      <c r="D340" s="76" t="s">
        <v>4001</v>
      </c>
      <c r="E340" s="76" t="s">
        <v>4002</v>
      </c>
      <c r="F340" s="76" t="s">
        <v>4003</v>
      </c>
      <c r="G340" s="76" t="s">
        <v>4004</v>
      </c>
      <c r="H340" s="76" t="s">
        <v>3218</v>
      </c>
      <c r="I340" s="76" t="str">
        <f t="shared" si="5"/>
        <v>AMATA (HO.)</v>
      </c>
    </row>
    <row r="341" spans="3:9">
      <c r="C341" s="75">
        <v>14233</v>
      </c>
      <c r="D341" s="76" t="s">
        <v>4005</v>
      </c>
      <c r="E341" s="76" t="s">
        <v>4002</v>
      </c>
      <c r="F341" s="76" t="s">
        <v>4006</v>
      </c>
      <c r="G341" s="76" t="s">
        <v>4004</v>
      </c>
      <c r="H341" s="76" t="s">
        <v>4007</v>
      </c>
      <c r="I341" s="76" t="str">
        <f t="shared" si="5"/>
        <v>AMATA (NUMPONG)</v>
      </c>
    </row>
    <row r="342" spans="3:9">
      <c r="C342" s="75">
        <v>14241</v>
      </c>
      <c r="D342" s="76" t="s">
        <v>4008</v>
      </c>
      <c r="E342" s="76" t="s">
        <v>4009</v>
      </c>
      <c r="F342" s="76" t="s">
        <v>4009</v>
      </c>
      <c r="G342" s="76" t="s">
        <v>4010</v>
      </c>
      <c r="H342" s="76" t="s">
        <v>3218</v>
      </c>
      <c r="I342" s="76" t="str">
        <f t="shared" si="5"/>
        <v>NONGBUALAMPHU (NONGBUALAMPHU)</v>
      </c>
    </row>
    <row r="343" spans="3:9">
      <c r="C343" s="75">
        <v>14241</v>
      </c>
      <c r="D343" s="76" t="s">
        <v>4011</v>
      </c>
      <c r="E343" s="76" t="s">
        <v>4009</v>
      </c>
      <c r="F343" s="76" t="s">
        <v>4012</v>
      </c>
      <c r="G343" s="76" t="s">
        <v>4010</v>
      </c>
      <c r="H343" s="76" t="s">
        <v>4013</v>
      </c>
      <c r="I343" s="76" t="str">
        <f t="shared" si="5"/>
        <v>NONGBUALAMPHU (SRIBOONRUENG)</v>
      </c>
    </row>
    <row r="344" spans="3:9">
      <c r="C344" s="75">
        <v>14258</v>
      </c>
      <c r="D344" s="76" t="s">
        <v>4014</v>
      </c>
      <c r="E344" s="76" t="s">
        <v>4015</v>
      </c>
      <c r="F344" s="76" t="s">
        <v>4016</v>
      </c>
      <c r="G344" s="76" t="s">
        <v>4017</v>
      </c>
      <c r="H344" s="76" t="s">
        <v>4018</v>
      </c>
      <c r="I344" s="76" t="str">
        <f t="shared" si="5"/>
        <v>THONGRUAYSIMA (JOHO)</v>
      </c>
    </row>
    <row r="345" spans="3:9">
      <c r="C345" s="75">
        <v>14258</v>
      </c>
      <c r="D345" s="76" t="s">
        <v>4019</v>
      </c>
      <c r="E345" s="76" t="s">
        <v>4015</v>
      </c>
      <c r="F345" s="76" t="s">
        <v>4020</v>
      </c>
      <c r="G345" s="76" t="s">
        <v>4017</v>
      </c>
      <c r="H345" s="76" t="s">
        <v>4021</v>
      </c>
      <c r="I345" s="76" t="str">
        <f t="shared" si="5"/>
        <v>THONGRUAYSIMA (BUAYAI)</v>
      </c>
    </row>
    <row r="346" spans="3:9">
      <c r="C346" s="75">
        <v>14258</v>
      </c>
      <c r="D346" s="76" t="s">
        <v>4022</v>
      </c>
      <c r="E346" s="76" t="s">
        <v>4015</v>
      </c>
      <c r="F346" s="76" t="s">
        <v>4023</v>
      </c>
      <c r="G346" s="76" t="s">
        <v>4017</v>
      </c>
      <c r="H346" s="76" t="s">
        <v>4024</v>
      </c>
      <c r="I346" s="76" t="str">
        <f t="shared" si="5"/>
        <v>THONGRUAYSIMA (PRUYAI)</v>
      </c>
    </row>
    <row r="347" spans="3:9">
      <c r="C347" s="75">
        <v>14266</v>
      </c>
      <c r="D347" s="76" t="s">
        <v>4025</v>
      </c>
      <c r="E347" s="76" t="s">
        <v>4026</v>
      </c>
      <c r="F347" s="76" t="s">
        <v>3247</v>
      </c>
      <c r="G347" s="76" t="s">
        <v>4027</v>
      </c>
      <c r="H347" s="76" t="s">
        <v>3218</v>
      </c>
      <c r="I347" s="76" t="str">
        <f t="shared" si="5"/>
        <v>DELUXE (HEAD OFFICE)</v>
      </c>
    </row>
    <row r="348" spans="3:9">
      <c r="C348" s="75">
        <v>14274</v>
      </c>
      <c r="D348" s="76" t="s">
        <v>4028</v>
      </c>
      <c r="E348" s="76" t="s">
        <v>4029</v>
      </c>
      <c r="F348" s="76" t="s">
        <v>3247</v>
      </c>
      <c r="G348" s="76" t="s">
        <v>4030</v>
      </c>
      <c r="H348" s="76" t="s">
        <v>3218</v>
      </c>
      <c r="I348" s="76" t="str">
        <f t="shared" si="5"/>
        <v>SHIN NONT (HEAD OFFICE)</v>
      </c>
    </row>
    <row r="349" spans="3:9">
      <c r="C349" s="75">
        <v>14282</v>
      </c>
      <c r="D349" s="76" t="s">
        <v>4031</v>
      </c>
      <c r="E349" s="76" t="s">
        <v>4032</v>
      </c>
      <c r="F349" s="76" t="s">
        <v>3247</v>
      </c>
      <c r="G349" s="76" t="s">
        <v>4033</v>
      </c>
      <c r="H349" s="76" t="s">
        <v>3218</v>
      </c>
      <c r="I349" s="76" t="str">
        <f t="shared" si="5"/>
        <v>BUENGKAN (HEAD OFFICE)</v>
      </c>
    </row>
    <row r="350" spans="3:9">
      <c r="C350" s="75">
        <v>14290</v>
      </c>
      <c r="D350" s="76" t="s">
        <v>4034</v>
      </c>
      <c r="E350" s="76" t="s">
        <v>4035</v>
      </c>
      <c r="F350" s="76" t="s">
        <v>3247</v>
      </c>
      <c r="G350" s="76" t="s">
        <v>4036</v>
      </c>
      <c r="H350" s="76" t="s">
        <v>3218</v>
      </c>
      <c r="I350" s="76" t="str">
        <f t="shared" si="5"/>
        <v>THAITHANI (HEAD OFFICE)</v>
      </c>
    </row>
    <row r="351" spans="3:9">
      <c r="C351" s="75">
        <v>14308</v>
      </c>
      <c r="D351" s="76" t="s">
        <v>4037</v>
      </c>
      <c r="E351" s="76" t="s">
        <v>4038</v>
      </c>
      <c r="F351" s="76" t="s">
        <v>4039</v>
      </c>
      <c r="G351" s="76" t="s">
        <v>4040</v>
      </c>
      <c r="H351" s="76" t="s">
        <v>3218</v>
      </c>
      <c r="I351" s="76" t="str">
        <f t="shared" si="5"/>
        <v>KHAOYAI (HEAD OFFICE(PAKCHONG))</v>
      </c>
    </row>
    <row r="352" spans="3:9">
      <c r="C352" s="75">
        <v>14308</v>
      </c>
      <c r="D352" s="76" t="s">
        <v>4041</v>
      </c>
      <c r="E352" s="76" t="s">
        <v>4038</v>
      </c>
      <c r="F352" s="76" t="s">
        <v>4042</v>
      </c>
      <c r="G352" s="76" t="s">
        <v>4040</v>
      </c>
      <c r="H352" s="76" t="s">
        <v>4043</v>
      </c>
      <c r="I352" s="76" t="str">
        <f t="shared" si="5"/>
        <v>KHAOYAI (PAKTONGCHAI)</v>
      </c>
    </row>
    <row r="353" spans="3:9">
      <c r="C353" s="75">
        <v>14316</v>
      </c>
      <c r="D353" s="76" t="s">
        <v>4044</v>
      </c>
      <c r="E353" s="76" t="s">
        <v>4045</v>
      </c>
      <c r="F353" s="76" t="s">
        <v>3247</v>
      </c>
      <c r="G353" s="76" t="s">
        <v>4046</v>
      </c>
      <c r="H353" s="76" t="s">
        <v>3218</v>
      </c>
      <c r="I353" s="76" t="str">
        <f t="shared" si="5"/>
        <v>BEST (HEAD OFFICE)</v>
      </c>
    </row>
    <row r="354" spans="3:9">
      <c r="C354" s="75">
        <v>14316</v>
      </c>
      <c r="D354" s="76" t="s">
        <v>4047</v>
      </c>
      <c r="E354" s="76" t="s">
        <v>4045</v>
      </c>
      <c r="F354" s="76" t="s">
        <v>4048</v>
      </c>
      <c r="G354" s="76" t="s">
        <v>4046</v>
      </c>
      <c r="H354" s="76" t="s">
        <v>4049</v>
      </c>
      <c r="I354" s="76" t="str">
        <f t="shared" si="5"/>
        <v>BEST (PANGKONE)</v>
      </c>
    </row>
    <row r="355" spans="3:9">
      <c r="C355" s="75">
        <v>14324</v>
      </c>
      <c r="D355" s="76" t="s">
        <v>4050</v>
      </c>
      <c r="E355" s="76" t="s">
        <v>4051</v>
      </c>
      <c r="F355" s="76" t="s">
        <v>3247</v>
      </c>
      <c r="G355" s="76" t="s">
        <v>4052</v>
      </c>
      <c r="H355" s="76" t="s">
        <v>3218</v>
      </c>
      <c r="I355" s="76" t="str">
        <f t="shared" si="5"/>
        <v>PEN NONG (HEAD OFFICE)</v>
      </c>
    </row>
    <row r="356" spans="3:9">
      <c r="C356" s="75">
        <v>14332</v>
      </c>
      <c r="D356" s="76" t="s">
        <v>4053</v>
      </c>
      <c r="E356" s="76" t="s">
        <v>4054</v>
      </c>
      <c r="F356" s="76" t="s">
        <v>3247</v>
      </c>
      <c r="G356" s="76" t="s">
        <v>4055</v>
      </c>
      <c r="H356" s="76" t="s">
        <v>3218</v>
      </c>
      <c r="I356" s="76" t="str">
        <f t="shared" si="5"/>
        <v>PHUMJAIKUNVASI (HEAD OFFICE)</v>
      </c>
    </row>
    <row r="357" spans="3:9">
      <c r="C357" s="75">
        <v>14340</v>
      </c>
      <c r="D357" s="76" t="s">
        <v>4056</v>
      </c>
      <c r="E357" s="76" t="s">
        <v>4057</v>
      </c>
      <c r="F357" s="76" t="s">
        <v>3247</v>
      </c>
      <c r="G357" s="76" t="s">
        <v>4058</v>
      </c>
      <c r="H357" s="76" t="s">
        <v>3218</v>
      </c>
      <c r="I357" s="76" t="str">
        <f t="shared" si="5"/>
        <v>PANOMROUNG (HEAD OFFICE)</v>
      </c>
    </row>
    <row r="358" spans="3:9">
      <c r="C358" s="75">
        <v>14357</v>
      </c>
      <c r="D358" s="76" t="s">
        <v>4059</v>
      </c>
      <c r="E358" s="76" t="s">
        <v>4060</v>
      </c>
      <c r="F358" s="76" t="s">
        <v>3247</v>
      </c>
      <c r="G358" s="76" t="s">
        <v>4061</v>
      </c>
      <c r="H358" s="76" t="s">
        <v>3218</v>
      </c>
      <c r="I358" s="76" t="str">
        <f t="shared" si="5"/>
        <v>SAKATENAKORN (HEAD OFFICE)</v>
      </c>
    </row>
    <row r="359" spans="3:9">
      <c r="C359" s="75">
        <v>15016</v>
      </c>
      <c r="D359" s="76" t="s">
        <v>4062</v>
      </c>
      <c r="E359" s="76" t="s">
        <v>4063</v>
      </c>
      <c r="F359" s="76" t="s">
        <v>3388</v>
      </c>
      <c r="G359" s="76" t="s">
        <v>4064</v>
      </c>
      <c r="H359" s="76" t="s">
        <v>3390</v>
      </c>
      <c r="I359" s="76" t="str">
        <f t="shared" si="5"/>
        <v>THAIYONT (MUANG)</v>
      </c>
    </row>
    <row r="360" spans="3:9">
      <c r="C360" s="75">
        <v>15016</v>
      </c>
      <c r="D360" s="76" t="s">
        <v>4065</v>
      </c>
      <c r="E360" s="76" t="s">
        <v>4063</v>
      </c>
      <c r="F360" s="76" t="s">
        <v>4066</v>
      </c>
      <c r="G360" s="76" t="s">
        <v>4064</v>
      </c>
      <c r="H360" s="76" t="s">
        <v>4067</v>
      </c>
      <c r="I360" s="76" t="str">
        <f t="shared" si="5"/>
        <v>THAIYONT (PATAYA)</v>
      </c>
    </row>
    <row r="361" spans="3:9">
      <c r="C361" s="75">
        <v>15016</v>
      </c>
      <c r="D361" s="76" t="s">
        <v>4068</v>
      </c>
      <c r="E361" s="76" t="s">
        <v>4063</v>
      </c>
      <c r="F361" s="76" t="s">
        <v>3247</v>
      </c>
      <c r="G361" s="76" t="s">
        <v>4064</v>
      </c>
      <c r="H361" s="76" t="s">
        <v>3218</v>
      </c>
      <c r="I361" s="76" t="str">
        <f t="shared" si="5"/>
        <v>THAIYONT (HEAD OFFICE)</v>
      </c>
    </row>
    <row r="362" spans="3:9">
      <c r="C362" s="75">
        <v>15040</v>
      </c>
      <c r="D362" s="76" t="s">
        <v>4069</v>
      </c>
      <c r="E362" s="76" t="s">
        <v>4070</v>
      </c>
      <c r="F362" s="76" t="s">
        <v>3388</v>
      </c>
      <c r="G362" s="76" t="s">
        <v>4071</v>
      </c>
      <c r="H362" s="76" t="s">
        <v>3390</v>
      </c>
      <c r="I362" s="76" t="str">
        <f t="shared" si="5"/>
        <v>RAYONG (MUANG)</v>
      </c>
    </row>
    <row r="363" spans="3:9">
      <c r="C363" s="75">
        <v>15040</v>
      </c>
      <c r="D363" s="76" t="s">
        <v>4072</v>
      </c>
      <c r="E363" s="76" t="s">
        <v>4070</v>
      </c>
      <c r="F363" s="76" t="s">
        <v>4073</v>
      </c>
      <c r="G363" s="76" t="s">
        <v>4071</v>
      </c>
      <c r="H363" s="76" t="s">
        <v>4074</v>
      </c>
      <c r="I363" s="76" t="str">
        <f t="shared" si="5"/>
        <v>RAYONG (KLANG)</v>
      </c>
    </row>
    <row r="364" spans="3:9">
      <c r="C364" s="75">
        <v>15040</v>
      </c>
      <c r="D364" s="76" t="s">
        <v>4075</v>
      </c>
      <c r="E364" s="76" t="s">
        <v>4070</v>
      </c>
      <c r="F364" s="76" t="s">
        <v>4076</v>
      </c>
      <c r="G364" s="76" t="s">
        <v>4071</v>
      </c>
      <c r="H364" s="76" t="s">
        <v>4077</v>
      </c>
      <c r="I364" s="76" t="str">
        <f t="shared" si="5"/>
        <v>RAYONG (MABTAPUD (HO.))</v>
      </c>
    </row>
    <row r="365" spans="3:9">
      <c r="C365" s="75">
        <v>15057</v>
      </c>
      <c r="D365" s="76" t="s">
        <v>4078</v>
      </c>
      <c r="E365" s="76" t="s">
        <v>4079</v>
      </c>
      <c r="F365" s="76" t="s">
        <v>3247</v>
      </c>
      <c r="G365" s="76" t="s">
        <v>4080</v>
      </c>
      <c r="H365" s="76" t="s">
        <v>3218</v>
      </c>
      <c r="I365" s="76" t="str">
        <f t="shared" si="5"/>
        <v>CHACHERNGSAO (HEAD OFFICE)</v>
      </c>
    </row>
    <row r="366" spans="3:9">
      <c r="C366" s="75">
        <v>15057</v>
      </c>
      <c r="D366" s="76" t="s">
        <v>4081</v>
      </c>
      <c r="E366" s="76" t="s">
        <v>4079</v>
      </c>
      <c r="F366" s="76" t="s">
        <v>4082</v>
      </c>
      <c r="G366" s="76" t="s">
        <v>4080</v>
      </c>
      <c r="H366" s="76" t="s">
        <v>4083</v>
      </c>
      <c r="I366" s="76" t="str">
        <f t="shared" si="5"/>
        <v>CHACHERNGSAO (SANAMCHAIKHET)</v>
      </c>
    </row>
    <row r="367" spans="3:9">
      <c r="C367" s="75">
        <v>15057</v>
      </c>
      <c r="D367" s="76" t="s">
        <v>4084</v>
      </c>
      <c r="E367" s="76" t="s">
        <v>4079</v>
      </c>
      <c r="F367" s="76" t="s">
        <v>4085</v>
      </c>
      <c r="G367" s="76" t="s">
        <v>4080</v>
      </c>
      <c r="H367" s="76" t="s">
        <v>4086</v>
      </c>
      <c r="I367" s="76" t="str">
        <f t="shared" si="5"/>
        <v>CHACHERNGSAO (SUWINTHAWONG)</v>
      </c>
    </row>
    <row r="368" spans="3:9">
      <c r="C368" s="75">
        <v>15065</v>
      </c>
      <c r="D368" s="76" t="s">
        <v>4087</v>
      </c>
      <c r="E368" s="76" t="s">
        <v>4088</v>
      </c>
      <c r="F368" s="76" t="s">
        <v>4088</v>
      </c>
      <c r="G368" s="76" t="s">
        <v>4089</v>
      </c>
      <c r="H368" s="76" t="s">
        <v>4090</v>
      </c>
      <c r="I368" s="76" t="str">
        <f t="shared" si="5"/>
        <v>PRACHINBURI (PRACHINBURI)</v>
      </c>
    </row>
    <row r="369" spans="3:9">
      <c r="C369" s="75">
        <v>15065</v>
      </c>
      <c r="D369" s="76" t="s">
        <v>4091</v>
      </c>
      <c r="E369" s="76" t="s">
        <v>4088</v>
      </c>
      <c r="F369" s="76" t="s">
        <v>4092</v>
      </c>
      <c r="G369" s="76" t="s">
        <v>4089</v>
      </c>
      <c r="H369" s="76" t="s">
        <v>4093</v>
      </c>
      <c r="I369" s="76" t="str">
        <f t="shared" si="5"/>
        <v>PRACHINBURI (SRIMAHAPHO)</v>
      </c>
    </row>
    <row r="370" spans="3:9">
      <c r="C370" s="75">
        <v>15073</v>
      </c>
      <c r="D370" s="76" t="s">
        <v>4094</v>
      </c>
      <c r="E370" s="76" t="s">
        <v>4095</v>
      </c>
      <c r="F370" s="76" t="s">
        <v>4095</v>
      </c>
      <c r="G370" s="76" t="s">
        <v>4096</v>
      </c>
      <c r="H370" s="76" t="s">
        <v>4097</v>
      </c>
      <c r="I370" s="76" t="str">
        <f t="shared" si="5"/>
        <v>TRAD (TRAD)</v>
      </c>
    </row>
    <row r="371" spans="3:9">
      <c r="C371" s="75">
        <v>15081</v>
      </c>
      <c r="D371" s="76" t="s">
        <v>4098</v>
      </c>
      <c r="E371" s="76" t="s">
        <v>4099</v>
      </c>
      <c r="F371" s="76" t="s">
        <v>3388</v>
      </c>
      <c r="G371" s="76" t="s">
        <v>4100</v>
      </c>
      <c r="H371" s="76" t="s">
        <v>3390</v>
      </c>
      <c r="I371" s="76" t="str">
        <f t="shared" si="5"/>
        <v>SRAKAEW (MUANG)</v>
      </c>
    </row>
    <row r="372" spans="3:9">
      <c r="C372" s="75">
        <v>15081</v>
      </c>
      <c r="D372" s="76" t="s">
        <v>4101</v>
      </c>
      <c r="E372" s="76" t="s">
        <v>4099</v>
      </c>
      <c r="F372" s="76" t="s">
        <v>4102</v>
      </c>
      <c r="G372" s="76" t="s">
        <v>4100</v>
      </c>
      <c r="H372" s="76" t="s">
        <v>4103</v>
      </c>
      <c r="I372" s="76" t="str">
        <f t="shared" si="5"/>
        <v>SRAKAEW (W'NAMYEN)</v>
      </c>
    </row>
    <row r="373" spans="3:9">
      <c r="C373" s="75">
        <v>15081</v>
      </c>
      <c r="D373" s="76" t="s">
        <v>4104</v>
      </c>
      <c r="E373" s="76" t="s">
        <v>4099</v>
      </c>
      <c r="F373" s="76" t="s">
        <v>4105</v>
      </c>
      <c r="G373" s="76" t="s">
        <v>4100</v>
      </c>
      <c r="H373" s="76" t="s">
        <v>4106</v>
      </c>
      <c r="I373" s="76" t="str">
        <f t="shared" si="5"/>
        <v>SRAKAEW (ARANYAPRATHET)</v>
      </c>
    </row>
    <row r="374" spans="3:9">
      <c r="C374" s="75">
        <v>15099</v>
      </c>
      <c r="D374" s="76" t="s">
        <v>4107</v>
      </c>
      <c r="E374" s="76" t="s">
        <v>4108</v>
      </c>
      <c r="F374" s="76" t="s">
        <v>4109</v>
      </c>
      <c r="G374" s="76" t="s">
        <v>4110</v>
      </c>
      <c r="H374" s="76" t="s">
        <v>4111</v>
      </c>
      <c r="I374" s="76" t="str">
        <f t="shared" si="5"/>
        <v>INTERYONT (INTERYONT CHONBURI)</v>
      </c>
    </row>
    <row r="375" spans="3:9">
      <c r="C375" s="75">
        <v>15099</v>
      </c>
      <c r="D375" s="76" t="s">
        <v>4112</v>
      </c>
      <c r="E375" s="76" t="s">
        <v>4108</v>
      </c>
      <c r="F375" s="76" t="s">
        <v>4113</v>
      </c>
      <c r="G375" s="76" t="s">
        <v>4110</v>
      </c>
      <c r="H375" s="76" t="s">
        <v>4114</v>
      </c>
      <c r="I375" s="76" t="str">
        <f t="shared" si="5"/>
        <v>INTERYONT (OAW - U - DOM)</v>
      </c>
    </row>
    <row r="376" spans="3:9">
      <c r="C376" s="75">
        <v>15107</v>
      </c>
      <c r="D376" s="76" t="s">
        <v>4115</v>
      </c>
      <c r="E376" s="76" t="s">
        <v>4116</v>
      </c>
      <c r="F376" s="76" t="s">
        <v>4117</v>
      </c>
      <c r="G376" s="76" t="s">
        <v>4118</v>
      </c>
      <c r="H376" s="76" t="s">
        <v>4067</v>
      </c>
      <c r="I376" s="76" t="str">
        <f t="shared" si="5"/>
        <v>PATTAYA1998 (PATTAYA)</v>
      </c>
    </row>
    <row r="377" spans="3:9">
      <c r="C377" s="75">
        <v>15107</v>
      </c>
      <c r="D377" s="76" t="s">
        <v>4119</v>
      </c>
      <c r="E377" s="76" t="s">
        <v>4116</v>
      </c>
      <c r="F377" s="76" t="s">
        <v>4120</v>
      </c>
      <c r="G377" s="76" t="s">
        <v>4067</v>
      </c>
      <c r="H377" s="76" t="s">
        <v>4121</v>
      </c>
      <c r="I377" s="76" t="str">
        <f t="shared" si="5"/>
        <v>PATTAYA1998 (BORWIN)</v>
      </c>
    </row>
    <row r="378" spans="3:9">
      <c r="C378" s="75">
        <v>15115</v>
      </c>
      <c r="D378" s="76" t="s">
        <v>4122</v>
      </c>
      <c r="E378" s="76" t="s">
        <v>4123</v>
      </c>
      <c r="F378" s="76" t="s">
        <v>4123</v>
      </c>
      <c r="G378" s="76" t="s">
        <v>4124</v>
      </c>
      <c r="H378" s="76" t="s">
        <v>3218</v>
      </c>
      <c r="I378" s="76" t="str">
        <f t="shared" si="5"/>
        <v>VISION (VISION)</v>
      </c>
    </row>
    <row r="379" spans="3:9">
      <c r="C379" s="75">
        <v>15123</v>
      </c>
      <c r="D379" s="76" t="s">
        <v>4125</v>
      </c>
      <c r="E379" s="76" t="s">
        <v>4126</v>
      </c>
      <c r="F379" s="76" t="s">
        <v>4127</v>
      </c>
      <c r="G379" s="76" t="s">
        <v>4128</v>
      </c>
      <c r="H379" s="76" t="s">
        <v>3218</v>
      </c>
      <c r="I379" s="76" t="str">
        <f t="shared" si="5"/>
        <v>PAVILLIAN RAYONG (PAVILION RAYONG)</v>
      </c>
    </row>
    <row r="380" spans="3:9">
      <c r="C380" s="75">
        <v>15123</v>
      </c>
      <c r="D380" s="76" t="s">
        <v>4129</v>
      </c>
      <c r="E380" s="76" t="s">
        <v>4126</v>
      </c>
      <c r="F380" s="76" t="s">
        <v>4130</v>
      </c>
      <c r="G380" s="76" t="s">
        <v>4128</v>
      </c>
      <c r="H380" s="76" t="s">
        <v>4131</v>
      </c>
      <c r="I380" s="76" t="str">
        <f t="shared" si="5"/>
        <v>PAVILLIAN RAYONG (SAPARN 4)</v>
      </c>
    </row>
    <row r="381" spans="3:9">
      <c r="C381" s="75">
        <v>15131</v>
      </c>
      <c r="D381" s="76" t="s">
        <v>4132</v>
      </c>
      <c r="E381" s="76" t="s">
        <v>4133</v>
      </c>
      <c r="F381" s="76" t="s">
        <v>4134</v>
      </c>
      <c r="G381" s="76" t="s">
        <v>4135</v>
      </c>
      <c r="H381" s="76" t="s">
        <v>3218</v>
      </c>
      <c r="I381" s="76" t="str">
        <f t="shared" si="5"/>
        <v>CHANTHABURI (CHANTABURI)</v>
      </c>
    </row>
    <row r="382" spans="3:9">
      <c r="C382" s="75">
        <v>15131</v>
      </c>
      <c r="D382" s="76" t="s">
        <v>4136</v>
      </c>
      <c r="E382" s="76" t="s">
        <v>4133</v>
      </c>
      <c r="F382" s="76" t="s">
        <v>4137</v>
      </c>
      <c r="G382" s="76" t="s">
        <v>4135</v>
      </c>
      <c r="H382" s="76" t="s">
        <v>4138</v>
      </c>
      <c r="I382" s="76" t="str">
        <f t="shared" si="5"/>
        <v>CHANTHABURI (NAYAIARM)</v>
      </c>
    </row>
    <row r="383" spans="3:9">
      <c r="C383" s="75">
        <v>15149</v>
      </c>
      <c r="D383" s="76" t="s">
        <v>4139</v>
      </c>
      <c r="E383" s="76" t="s">
        <v>4140</v>
      </c>
      <c r="F383" s="76" t="s">
        <v>4141</v>
      </c>
      <c r="G383" s="76" t="s">
        <v>4142</v>
      </c>
      <c r="H383" s="76" t="s">
        <v>4143</v>
      </c>
      <c r="I383" s="76" t="str">
        <f t="shared" si="5"/>
        <v>CHAROENYONT (HEAD OFFICE (BANGSAN))</v>
      </c>
    </row>
    <row r="384" spans="3:9">
      <c r="C384" s="75">
        <v>15149</v>
      </c>
      <c r="D384" s="76" t="s">
        <v>4144</v>
      </c>
      <c r="E384" s="76" t="s">
        <v>4140</v>
      </c>
      <c r="F384" s="76" t="s">
        <v>4145</v>
      </c>
      <c r="G384" s="76" t="s">
        <v>4142</v>
      </c>
      <c r="H384" s="76" t="s">
        <v>4146</v>
      </c>
      <c r="I384" s="76" t="str">
        <f t="shared" si="5"/>
        <v>CHAROENYONT (SRIRACHA)</v>
      </c>
    </row>
    <row r="385" spans="3:9">
      <c r="C385" s="75">
        <v>15149</v>
      </c>
      <c r="D385" s="76" t="s">
        <v>4147</v>
      </c>
      <c r="E385" s="76" t="s">
        <v>4140</v>
      </c>
      <c r="F385" s="76" t="s">
        <v>4148</v>
      </c>
      <c r="G385" s="76" t="s">
        <v>4142</v>
      </c>
      <c r="H385" s="76" t="s">
        <v>4149</v>
      </c>
      <c r="I385" s="76" t="str">
        <f t="shared" si="5"/>
        <v>CHAROENYONT (NAJOMTIEN)</v>
      </c>
    </row>
    <row r="386" spans="3:9">
      <c r="C386" s="75">
        <v>15156</v>
      </c>
      <c r="D386" s="76" t="s">
        <v>4150</v>
      </c>
      <c r="E386" s="76" t="s">
        <v>3247</v>
      </c>
      <c r="F386" s="76" t="s">
        <v>3247</v>
      </c>
      <c r="G386" s="76" t="s">
        <v>4151</v>
      </c>
      <c r="H386" s="76" t="s">
        <v>3218</v>
      </c>
      <c r="I386" s="76" t="str">
        <f t="shared" si="5"/>
        <v>HEAD OFFICE (HEAD OFFICE)</v>
      </c>
    </row>
    <row r="387" spans="3:9">
      <c r="C387" s="75">
        <v>15164</v>
      </c>
      <c r="D387" s="76" t="s">
        <v>4152</v>
      </c>
      <c r="E387" s="76" t="s">
        <v>4153</v>
      </c>
      <c r="F387" s="76" t="s">
        <v>3247</v>
      </c>
      <c r="G387" s="76" t="s">
        <v>4154</v>
      </c>
      <c r="H387" s="76" t="s">
        <v>3218</v>
      </c>
      <c r="I387" s="76" t="str">
        <f t="shared" si="5"/>
        <v>MUANGCHON (HEAD OFFICE)</v>
      </c>
    </row>
    <row r="388" spans="3:9">
      <c r="C388" s="75">
        <v>15172</v>
      </c>
      <c r="D388" s="76" t="s">
        <v>4155</v>
      </c>
      <c r="E388" s="76" t="s">
        <v>4156</v>
      </c>
      <c r="F388" s="76" t="s">
        <v>3247</v>
      </c>
      <c r="G388" s="76" t="s">
        <v>4157</v>
      </c>
      <c r="H388" s="76" t="s">
        <v>3218</v>
      </c>
      <c r="I388" s="76" t="str">
        <f t="shared" si="5"/>
        <v>ONE (HEAD OFFICE)</v>
      </c>
    </row>
    <row r="389" spans="3:9">
      <c r="C389" s="75">
        <v>15172</v>
      </c>
      <c r="D389" s="76" t="s">
        <v>4158</v>
      </c>
      <c r="E389" s="76" t="s">
        <v>4156</v>
      </c>
      <c r="F389" s="76" t="s">
        <v>4159</v>
      </c>
      <c r="G389" s="76" t="s">
        <v>4157</v>
      </c>
      <c r="H389" s="76" t="s">
        <v>4160</v>
      </c>
      <c r="I389" s="76" t="str">
        <f t="shared" ref="I389:I452" si="6">E389&amp;" ("&amp;F389&amp;$I$1</f>
        <v>ONE (PANOMSARAKAM)</v>
      </c>
    </row>
    <row r="390" spans="3:9">
      <c r="C390" s="75">
        <v>15180</v>
      </c>
      <c r="D390" s="76" t="s">
        <v>4161</v>
      </c>
      <c r="E390" s="76" t="s">
        <v>4162</v>
      </c>
      <c r="F390" s="76" t="s">
        <v>3247</v>
      </c>
      <c r="G390" s="76" t="s">
        <v>4163</v>
      </c>
      <c r="H390" s="76" t="s">
        <v>3218</v>
      </c>
      <c r="I390" s="76" t="str">
        <f t="shared" si="6"/>
        <v>NAKORNCHONBURI (HEAD OFFICE)</v>
      </c>
    </row>
    <row r="391" spans="3:9">
      <c r="C391" s="75">
        <v>15198</v>
      </c>
      <c r="D391" s="76" t="s">
        <v>4164</v>
      </c>
      <c r="E391" s="76" t="s">
        <v>4165</v>
      </c>
      <c r="F391" s="76" t="s">
        <v>4165</v>
      </c>
      <c r="G391" s="76" t="s">
        <v>4166</v>
      </c>
      <c r="H391" s="76" t="s">
        <v>3218</v>
      </c>
      <c r="I391" s="76" t="str">
        <f t="shared" si="6"/>
        <v>GND (GND)</v>
      </c>
    </row>
    <row r="392" spans="3:9">
      <c r="C392" s="75">
        <v>15206</v>
      </c>
      <c r="D392" s="76" t="s">
        <v>4167</v>
      </c>
      <c r="E392" s="76" t="s">
        <v>4168</v>
      </c>
      <c r="F392" s="76" t="s">
        <v>3247</v>
      </c>
      <c r="G392" s="76" t="s">
        <v>4169</v>
      </c>
      <c r="H392" s="76" t="s">
        <v>3218</v>
      </c>
      <c r="I392" s="76" t="str">
        <f t="shared" si="6"/>
        <v>SMILE (HEAD OFFICE)</v>
      </c>
    </row>
    <row r="393" spans="3:9">
      <c r="C393" s="75">
        <v>16014</v>
      </c>
      <c r="D393" s="76" t="s">
        <v>4170</v>
      </c>
      <c r="E393" s="76" t="s">
        <v>4171</v>
      </c>
      <c r="F393" s="76" t="s">
        <v>3388</v>
      </c>
      <c r="G393" s="76" t="s">
        <v>4172</v>
      </c>
      <c r="H393" s="76" t="s">
        <v>3390</v>
      </c>
      <c r="I393" s="76" t="str">
        <f t="shared" si="6"/>
        <v>CHOOMPORN (MUANG)</v>
      </c>
    </row>
    <row r="394" spans="3:9">
      <c r="C394" s="75">
        <v>16014</v>
      </c>
      <c r="D394" s="76" t="s">
        <v>4173</v>
      </c>
      <c r="E394" s="76" t="s">
        <v>4171</v>
      </c>
      <c r="F394" s="76" t="s">
        <v>4174</v>
      </c>
      <c r="G394" s="76" t="s">
        <v>4172</v>
      </c>
      <c r="H394" s="76" t="s">
        <v>4175</v>
      </c>
      <c r="I394" s="76" t="str">
        <f t="shared" si="6"/>
        <v>CHOOMPORN (THASEA)</v>
      </c>
    </row>
    <row r="395" spans="3:9">
      <c r="C395" s="75">
        <v>16014</v>
      </c>
      <c r="D395" s="76" t="s">
        <v>4176</v>
      </c>
      <c r="E395" s="76" t="s">
        <v>4171</v>
      </c>
      <c r="F395" s="76" t="s">
        <v>4177</v>
      </c>
      <c r="G395" s="76" t="s">
        <v>4172</v>
      </c>
      <c r="H395" s="76" t="s">
        <v>4178</v>
      </c>
      <c r="I395" s="76" t="str">
        <f t="shared" si="6"/>
        <v>CHOOMPORN (LUNGSUAN)</v>
      </c>
    </row>
    <row r="396" spans="3:9">
      <c r="C396" s="75">
        <v>16014</v>
      </c>
      <c r="D396" s="76" t="s">
        <v>4179</v>
      </c>
      <c r="E396" s="76" t="s">
        <v>4171</v>
      </c>
      <c r="F396" s="76" t="s">
        <v>4180</v>
      </c>
      <c r="G396" s="76" t="s">
        <v>4172</v>
      </c>
      <c r="H396" s="76" t="s">
        <v>4181</v>
      </c>
      <c r="I396" s="76" t="str">
        <f t="shared" si="6"/>
        <v>CHOOMPORN (YAEKPATHOMPORN)</v>
      </c>
    </row>
    <row r="397" spans="3:9">
      <c r="C397" s="75">
        <v>16014</v>
      </c>
      <c r="D397" s="76" t="s">
        <v>4182</v>
      </c>
      <c r="E397" s="76" t="s">
        <v>4171</v>
      </c>
      <c r="F397" s="76" t="s">
        <v>4183</v>
      </c>
      <c r="G397" s="76" t="s">
        <v>4172</v>
      </c>
      <c r="H397" s="76" t="s">
        <v>4184</v>
      </c>
      <c r="I397" s="76" t="str">
        <f t="shared" si="6"/>
        <v>CHOOMPORN (SAWI)</v>
      </c>
    </row>
    <row r="398" spans="3:9">
      <c r="C398" s="75">
        <v>16030</v>
      </c>
      <c r="D398" s="76" t="s">
        <v>4185</v>
      </c>
      <c r="E398" s="76" t="s">
        <v>4186</v>
      </c>
      <c r="F398" s="76" t="s">
        <v>4187</v>
      </c>
      <c r="G398" s="76" t="s">
        <v>4188</v>
      </c>
      <c r="H398" s="76" t="s">
        <v>4189</v>
      </c>
      <c r="I398" s="76" t="str">
        <f t="shared" si="6"/>
        <v>PITHAN HADYAI (HAD YAI)</v>
      </c>
    </row>
    <row r="399" spans="3:9">
      <c r="C399" s="75">
        <v>16030</v>
      </c>
      <c r="D399" s="76" t="s">
        <v>4190</v>
      </c>
      <c r="E399" s="76" t="s">
        <v>4186</v>
      </c>
      <c r="F399" s="76" t="s">
        <v>4191</v>
      </c>
      <c r="G399" s="76" t="s">
        <v>4188</v>
      </c>
      <c r="H399" s="76" t="s">
        <v>4192</v>
      </c>
      <c r="I399" s="76" t="str">
        <f t="shared" si="6"/>
        <v>PITHAN HADYAI (SATOON)</v>
      </c>
    </row>
    <row r="400" spans="3:9">
      <c r="C400" s="75">
        <v>16030</v>
      </c>
      <c r="D400" s="76" t="s">
        <v>4193</v>
      </c>
      <c r="E400" s="76" t="s">
        <v>4186</v>
      </c>
      <c r="F400" s="76" t="s">
        <v>4194</v>
      </c>
      <c r="G400" s="76" t="s">
        <v>4188</v>
      </c>
      <c r="H400" s="76" t="s">
        <v>4195</v>
      </c>
      <c r="I400" s="76" t="str">
        <f t="shared" si="6"/>
        <v>PITHAN HADYAI (SONGKLA BR.)</v>
      </c>
    </row>
    <row r="401" spans="3:9">
      <c r="C401" s="75">
        <v>16030</v>
      </c>
      <c r="D401" s="76" t="s">
        <v>4196</v>
      </c>
      <c r="E401" s="76" t="s">
        <v>4186</v>
      </c>
      <c r="F401" s="76" t="s">
        <v>4197</v>
      </c>
      <c r="G401" s="76" t="s">
        <v>4188</v>
      </c>
      <c r="H401" s="76" t="s">
        <v>4198</v>
      </c>
      <c r="I401" s="76" t="str">
        <f t="shared" si="6"/>
        <v>PITHAN HADYAI (NATAWEE)</v>
      </c>
    </row>
    <row r="402" spans="3:9">
      <c r="C402" s="75">
        <v>16030</v>
      </c>
      <c r="D402" s="76" t="s">
        <v>4199</v>
      </c>
      <c r="E402" s="76" t="s">
        <v>4186</v>
      </c>
      <c r="F402" s="76" t="s">
        <v>4200</v>
      </c>
      <c r="G402" s="76" t="s">
        <v>4188</v>
      </c>
      <c r="H402" s="76" t="s">
        <v>4201</v>
      </c>
      <c r="I402" s="76" t="str">
        <f t="shared" si="6"/>
        <v>PITHAN HADYAI (LOPBURI RAMES)</v>
      </c>
    </row>
    <row r="403" spans="3:9">
      <c r="C403" s="75">
        <v>16030</v>
      </c>
      <c r="D403" s="76" t="s">
        <v>4202</v>
      </c>
      <c r="E403" s="76" t="s">
        <v>4186</v>
      </c>
      <c r="F403" s="76" t="s">
        <v>4203</v>
      </c>
      <c r="G403" s="76" t="s">
        <v>4188</v>
      </c>
      <c r="H403" s="76" t="s">
        <v>4204</v>
      </c>
      <c r="I403" s="76" t="str">
        <f t="shared" si="6"/>
        <v>PITHAN HADYAI (SADAO)</v>
      </c>
    </row>
    <row r="404" spans="3:9">
      <c r="C404" s="75">
        <v>16030</v>
      </c>
      <c r="D404" s="97" t="s">
        <v>4205</v>
      </c>
      <c r="E404" s="76" t="s">
        <v>4186</v>
      </c>
      <c r="F404" s="76" t="s">
        <v>4206</v>
      </c>
      <c r="G404" s="76" t="s">
        <v>4188</v>
      </c>
      <c r="H404" s="76" t="s">
        <v>4207</v>
      </c>
      <c r="I404" s="76" t="str">
        <f t="shared" si="6"/>
        <v>PITHAN HADYAI (USECAR)</v>
      </c>
    </row>
    <row r="405" spans="3:9">
      <c r="C405" s="75">
        <v>16048</v>
      </c>
      <c r="D405" s="76" t="s">
        <v>4208</v>
      </c>
      <c r="E405" s="76" t="s">
        <v>4209</v>
      </c>
      <c r="F405" s="76" t="s">
        <v>4210</v>
      </c>
      <c r="G405" s="76" t="s">
        <v>4211</v>
      </c>
      <c r="H405" s="76" t="s">
        <v>4212</v>
      </c>
      <c r="I405" s="76" t="str">
        <f t="shared" si="6"/>
        <v>PITHAN PATTANI (PATTANI)</v>
      </c>
    </row>
    <row r="406" spans="3:9">
      <c r="C406" s="75">
        <v>16055</v>
      </c>
      <c r="D406" s="76" t="s">
        <v>4213</v>
      </c>
      <c r="E406" s="76" t="s">
        <v>4214</v>
      </c>
      <c r="F406" s="76" t="s">
        <v>3247</v>
      </c>
      <c r="G406" s="76" t="s">
        <v>4215</v>
      </c>
      <c r="H406" s="76" t="s">
        <v>3218</v>
      </c>
      <c r="I406" s="76" t="str">
        <f t="shared" si="6"/>
        <v>RANONG (HEAD OFFICE)</v>
      </c>
    </row>
    <row r="407" spans="3:9">
      <c r="C407" s="75">
        <v>16055</v>
      </c>
      <c r="D407" s="76" t="s">
        <v>4216</v>
      </c>
      <c r="E407" s="76" t="s">
        <v>4214</v>
      </c>
      <c r="F407" s="76" t="s">
        <v>4217</v>
      </c>
      <c r="G407" s="76" t="s">
        <v>4215</v>
      </c>
      <c r="H407" s="76" t="s">
        <v>4218</v>
      </c>
      <c r="I407" s="76" t="str">
        <f t="shared" si="6"/>
        <v>RANONG (KRABURI)</v>
      </c>
    </row>
    <row r="408" spans="3:9">
      <c r="C408" s="75">
        <v>16071</v>
      </c>
      <c r="D408" s="76" t="s">
        <v>4219</v>
      </c>
      <c r="E408" s="76" t="s">
        <v>4220</v>
      </c>
      <c r="F408" s="76" t="s">
        <v>4220</v>
      </c>
      <c r="G408" s="76" t="s">
        <v>4221</v>
      </c>
      <c r="H408" s="76" t="s">
        <v>4221</v>
      </c>
      <c r="I408" s="76" t="str">
        <f t="shared" si="6"/>
        <v>PANG-NGA (PANG-NGA)</v>
      </c>
    </row>
    <row r="409" spans="3:9">
      <c r="C409" s="75">
        <v>16071</v>
      </c>
      <c r="D409" s="76" t="s">
        <v>4222</v>
      </c>
      <c r="E409" s="76" t="s">
        <v>4220</v>
      </c>
      <c r="F409" s="76" t="s">
        <v>4223</v>
      </c>
      <c r="G409" s="76" t="s">
        <v>4221</v>
      </c>
      <c r="H409" s="76" t="s">
        <v>4224</v>
      </c>
      <c r="I409" s="76" t="str">
        <f t="shared" si="6"/>
        <v>PANG-NGA (TAKUAPA)</v>
      </c>
    </row>
    <row r="410" spans="3:9">
      <c r="C410" s="75">
        <v>16089</v>
      </c>
      <c r="D410" s="76" t="s">
        <v>4225</v>
      </c>
      <c r="E410" s="76" t="s">
        <v>4226</v>
      </c>
      <c r="F410" s="76" t="s">
        <v>4227</v>
      </c>
      <c r="G410" s="76" t="s">
        <v>4228</v>
      </c>
      <c r="H410" s="76" t="s">
        <v>4229</v>
      </c>
      <c r="I410" s="76" t="str">
        <f t="shared" si="6"/>
        <v>SURAJTHANI (DORNSAK)</v>
      </c>
    </row>
    <row r="411" spans="3:9">
      <c r="C411" s="75">
        <v>16089</v>
      </c>
      <c r="D411" s="76" t="s">
        <v>4230</v>
      </c>
      <c r="E411" s="76" t="s">
        <v>4226</v>
      </c>
      <c r="F411" s="76" t="s">
        <v>3388</v>
      </c>
      <c r="G411" s="76" t="s">
        <v>4228</v>
      </c>
      <c r="H411" s="76" t="s">
        <v>3390</v>
      </c>
      <c r="I411" s="76" t="str">
        <f t="shared" si="6"/>
        <v>SURAJTHANI (MUANG)</v>
      </c>
    </row>
    <row r="412" spans="3:9">
      <c r="C412" s="75">
        <v>16089</v>
      </c>
      <c r="D412" s="76" t="s">
        <v>4231</v>
      </c>
      <c r="E412" s="76" t="s">
        <v>4226</v>
      </c>
      <c r="F412" s="76" t="s">
        <v>4232</v>
      </c>
      <c r="G412" s="76" t="s">
        <v>4228</v>
      </c>
      <c r="H412" s="76" t="s">
        <v>4233</v>
      </c>
      <c r="I412" s="76" t="str">
        <f t="shared" si="6"/>
        <v>SURAJTHANI (KHO SAMUI)</v>
      </c>
    </row>
    <row r="413" spans="3:9">
      <c r="C413" s="75">
        <v>16089</v>
      </c>
      <c r="D413" s="76" t="s">
        <v>4234</v>
      </c>
      <c r="E413" s="76" t="s">
        <v>4226</v>
      </c>
      <c r="F413" s="76" t="s">
        <v>4235</v>
      </c>
      <c r="G413" s="76" t="s">
        <v>4228</v>
      </c>
      <c r="H413" s="76" t="s">
        <v>4236</v>
      </c>
      <c r="I413" s="76" t="str">
        <f t="shared" si="6"/>
        <v>SURAJTHANI (VIENGSRA)</v>
      </c>
    </row>
    <row r="414" spans="3:9">
      <c r="C414" s="75">
        <v>16089</v>
      </c>
      <c r="D414" s="76" t="s">
        <v>4237</v>
      </c>
      <c r="E414" s="76" t="s">
        <v>4226</v>
      </c>
      <c r="F414" s="76" t="s">
        <v>3658</v>
      </c>
      <c r="G414" s="76" t="s">
        <v>4228</v>
      </c>
      <c r="H414" s="76" t="s">
        <v>3660</v>
      </c>
      <c r="I414" s="76" t="str">
        <f t="shared" si="6"/>
        <v>SURAJTHANI (THATHONG)</v>
      </c>
    </row>
    <row r="415" spans="3:9">
      <c r="C415" s="75">
        <v>16089</v>
      </c>
      <c r="D415" s="76" t="s">
        <v>4238</v>
      </c>
      <c r="E415" s="76" t="s">
        <v>4226</v>
      </c>
      <c r="F415" s="76" t="s">
        <v>4239</v>
      </c>
      <c r="G415" s="76" t="s">
        <v>4228</v>
      </c>
      <c r="H415" s="76" t="s">
        <v>4240</v>
      </c>
      <c r="I415" s="76" t="str">
        <f t="shared" si="6"/>
        <v>SURAJTHANI (CHAIYA)</v>
      </c>
    </row>
    <row r="416" spans="3:9">
      <c r="C416" s="75">
        <v>16105</v>
      </c>
      <c r="D416" s="76" t="s">
        <v>4241</v>
      </c>
      <c r="E416" s="76" t="s">
        <v>4242</v>
      </c>
      <c r="F416" s="76" t="s">
        <v>4243</v>
      </c>
      <c r="G416" s="76" t="s">
        <v>4244</v>
      </c>
      <c r="H416" s="76" t="s">
        <v>4245</v>
      </c>
      <c r="I416" s="76" t="str">
        <f t="shared" si="6"/>
        <v>PEARL (RASADA)</v>
      </c>
    </row>
    <row r="417" spans="3:9">
      <c r="C417" s="75">
        <v>16105</v>
      </c>
      <c r="D417" s="76" t="s">
        <v>4246</v>
      </c>
      <c r="E417" s="76" t="s">
        <v>4242</v>
      </c>
      <c r="F417" s="76" t="s">
        <v>4003</v>
      </c>
      <c r="G417" s="76" t="s">
        <v>4244</v>
      </c>
      <c r="H417" s="76" t="s">
        <v>3218</v>
      </c>
      <c r="I417" s="76" t="str">
        <f t="shared" si="6"/>
        <v>PEARL (HO.)</v>
      </c>
    </row>
    <row r="418" spans="3:9">
      <c r="C418" s="75">
        <v>16105</v>
      </c>
      <c r="D418" s="76" t="s">
        <v>4247</v>
      </c>
      <c r="E418" s="76" t="s">
        <v>4242</v>
      </c>
      <c r="F418" s="76" t="s">
        <v>4248</v>
      </c>
      <c r="G418" s="76" t="s">
        <v>4244</v>
      </c>
      <c r="H418" s="76" t="s">
        <v>4249</v>
      </c>
      <c r="I418" s="76" t="str">
        <f t="shared" si="6"/>
        <v>PEARL (CHAOFA)</v>
      </c>
    </row>
    <row r="419" spans="3:9">
      <c r="C419" s="75">
        <v>16113</v>
      </c>
      <c r="D419" s="76" t="s">
        <v>4250</v>
      </c>
      <c r="E419" s="76" t="s">
        <v>4251</v>
      </c>
      <c r="F419" s="76" t="s">
        <v>4251</v>
      </c>
      <c r="G419" s="76" t="s">
        <v>4252</v>
      </c>
      <c r="H419" s="76" t="s">
        <v>4253</v>
      </c>
      <c r="I419" s="76" t="str">
        <f t="shared" si="6"/>
        <v>YALA (YALA)</v>
      </c>
    </row>
    <row r="420" spans="3:9">
      <c r="C420" s="75">
        <v>16121</v>
      </c>
      <c r="D420" s="76" t="s">
        <v>4254</v>
      </c>
      <c r="E420" s="76" t="s">
        <v>4255</v>
      </c>
      <c r="F420" s="76" t="s">
        <v>4255</v>
      </c>
      <c r="G420" s="76" t="s">
        <v>4256</v>
      </c>
      <c r="H420" s="76" t="s">
        <v>4257</v>
      </c>
      <c r="I420" s="76" t="str">
        <f t="shared" si="6"/>
        <v>NARATHIVAS (NARATHIVAS)</v>
      </c>
    </row>
    <row r="421" spans="3:9">
      <c r="C421" s="75">
        <v>16121</v>
      </c>
      <c r="D421" s="76" t="s">
        <v>4258</v>
      </c>
      <c r="E421" s="76" t="s">
        <v>4255</v>
      </c>
      <c r="F421" s="76" t="s">
        <v>4259</v>
      </c>
      <c r="G421" s="76" t="s">
        <v>4256</v>
      </c>
      <c r="H421" s="76" t="s">
        <v>4260</v>
      </c>
      <c r="I421" s="76" t="str">
        <f t="shared" si="6"/>
        <v>NARATHIVAS (SUNGAIKOLOK)</v>
      </c>
    </row>
    <row r="422" spans="3:9">
      <c r="C422" s="75">
        <v>16139</v>
      </c>
      <c r="D422" s="76" t="s">
        <v>4261</v>
      </c>
      <c r="E422" s="76" t="s">
        <v>4262</v>
      </c>
      <c r="F422" s="76" t="s">
        <v>4262</v>
      </c>
      <c r="G422" s="76" t="s">
        <v>4263</v>
      </c>
      <c r="H422" s="76" t="s">
        <v>4263</v>
      </c>
      <c r="I422" s="76" t="str">
        <f t="shared" si="6"/>
        <v>PATTALUNG (PATTALUNG)</v>
      </c>
    </row>
    <row r="423" spans="3:9">
      <c r="C423" s="75">
        <v>16148</v>
      </c>
      <c r="D423" s="76" t="s">
        <v>4264</v>
      </c>
      <c r="E423" s="76" t="s">
        <v>4265</v>
      </c>
      <c r="F423" s="76" t="s">
        <v>3388</v>
      </c>
      <c r="G423" s="76" t="s">
        <v>4266</v>
      </c>
      <c r="H423" s="76" t="s">
        <v>4267</v>
      </c>
      <c r="I423" s="76" t="str">
        <f t="shared" si="6"/>
        <v>N'SRITHAMMARAJ (MUANG)</v>
      </c>
    </row>
    <row r="424" spans="3:9">
      <c r="C424" s="75">
        <v>16148</v>
      </c>
      <c r="D424" s="76" t="s">
        <v>4268</v>
      </c>
      <c r="E424" s="76" t="s">
        <v>4265</v>
      </c>
      <c r="F424" s="76" t="s">
        <v>4269</v>
      </c>
      <c r="G424" s="76" t="s">
        <v>4266</v>
      </c>
      <c r="H424" s="76" t="s">
        <v>4270</v>
      </c>
      <c r="I424" s="76" t="str">
        <f t="shared" si="6"/>
        <v>N'SRITHAMMARAJ (TOONGSONG)</v>
      </c>
    </row>
    <row r="425" spans="3:9">
      <c r="C425" s="75">
        <v>16148</v>
      </c>
      <c r="D425" s="76" t="s">
        <v>4271</v>
      </c>
      <c r="E425" s="76" t="s">
        <v>4265</v>
      </c>
      <c r="F425" s="76" t="s">
        <v>4272</v>
      </c>
      <c r="G425" s="76" t="s">
        <v>4266</v>
      </c>
      <c r="H425" s="76" t="s">
        <v>4273</v>
      </c>
      <c r="I425" s="76" t="str">
        <f t="shared" si="6"/>
        <v>N'SRITHAMMARAJ (SICHON)</v>
      </c>
    </row>
    <row r="426" spans="3:9">
      <c r="C426" s="75">
        <v>16148</v>
      </c>
      <c r="D426" s="76" t="s">
        <v>4274</v>
      </c>
      <c r="E426" s="76" t="s">
        <v>4265</v>
      </c>
      <c r="F426" s="76" t="s">
        <v>4275</v>
      </c>
      <c r="G426" s="76" t="s">
        <v>4266</v>
      </c>
      <c r="H426" s="76" t="s">
        <v>4276</v>
      </c>
      <c r="I426" s="76" t="str">
        <f t="shared" si="6"/>
        <v>N'SRITHAMMARAJ (CHANDEE)</v>
      </c>
    </row>
    <row r="427" spans="3:9">
      <c r="C427" s="75">
        <v>16164</v>
      </c>
      <c r="D427" s="76" t="s">
        <v>4277</v>
      </c>
      <c r="E427" s="76" t="s">
        <v>4278</v>
      </c>
      <c r="F427" s="76" t="s">
        <v>4191</v>
      </c>
      <c r="G427" s="76" t="s">
        <v>4195</v>
      </c>
      <c r="H427" s="76" t="s">
        <v>4192</v>
      </c>
      <c r="I427" s="76" t="str">
        <f t="shared" si="6"/>
        <v>SONGKLA (SATOON)</v>
      </c>
    </row>
    <row r="428" spans="3:9">
      <c r="C428" s="75">
        <v>16164</v>
      </c>
      <c r="D428" s="76" t="s">
        <v>4279</v>
      </c>
      <c r="E428" s="76" t="s">
        <v>4278</v>
      </c>
      <c r="F428" s="76" t="s">
        <v>4280</v>
      </c>
      <c r="G428" s="76" t="s">
        <v>4195</v>
      </c>
      <c r="H428" s="76" t="s">
        <v>4281</v>
      </c>
      <c r="I428" s="76" t="str">
        <f t="shared" si="6"/>
        <v>SONGKLA (HADYAI)</v>
      </c>
    </row>
    <row r="429" spans="3:9">
      <c r="C429" s="75">
        <v>16164</v>
      </c>
      <c r="D429" s="76" t="s">
        <v>4282</v>
      </c>
      <c r="E429" s="76" t="s">
        <v>4278</v>
      </c>
      <c r="F429" s="76" t="s">
        <v>4283</v>
      </c>
      <c r="G429" s="76" t="s">
        <v>4195</v>
      </c>
      <c r="H429" s="76" t="s">
        <v>4284</v>
      </c>
      <c r="I429" s="76" t="str">
        <f t="shared" si="6"/>
        <v>SONGKLA (30 M.)</v>
      </c>
    </row>
    <row r="430" spans="3:9">
      <c r="C430" s="75">
        <v>16164</v>
      </c>
      <c r="D430" s="76" t="s">
        <v>4285</v>
      </c>
      <c r="E430" s="76" t="s">
        <v>4278</v>
      </c>
      <c r="F430" s="76" t="s">
        <v>4286</v>
      </c>
      <c r="G430" s="76" t="s">
        <v>4195</v>
      </c>
      <c r="H430" s="76" t="s">
        <v>4287</v>
      </c>
      <c r="I430" s="76" t="str">
        <f t="shared" si="6"/>
        <v>SONGKLA (RANOD)</v>
      </c>
    </row>
    <row r="431" spans="3:9">
      <c r="C431" s="75">
        <v>16164</v>
      </c>
      <c r="D431" s="76" t="s">
        <v>4288</v>
      </c>
      <c r="E431" s="76" t="s">
        <v>4278</v>
      </c>
      <c r="F431" s="76" t="s">
        <v>4289</v>
      </c>
      <c r="G431" s="76" t="s">
        <v>4195</v>
      </c>
      <c r="H431" s="76" t="s">
        <v>4290</v>
      </c>
      <c r="I431" s="76" t="str">
        <f t="shared" si="6"/>
        <v>SONGKLA (JANA)</v>
      </c>
    </row>
    <row r="432" spans="3:9">
      <c r="C432" s="75">
        <v>16164</v>
      </c>
      <c r="D432" s="76" t="s">
        <v>4291</v>
      </c>
      <c r="E432" s="76" t="s">
        <v>4278</v>
      </c>
      <c r="F432" s="76" t="s">
        <v>4292</v>
      </c>
      <c r="G432" s="76" t="s">
        <v>4195</v>
      </c>
      <c r="H432" s="76" t="s">
        <v>4293</v>
      </c>
      <c r="I432" s="76" t="str">
        <f t="shared" si="6"/>
        <v>SONGKLA (HA YAK KHO YOR)</v>
      </c>
    </row>
    <row r="433" spans="3:9">
      <c r="C433" s="75">
        <v>16172</v>
      </c>
      <c r="D433" s="76" t="s">
        <v>4294</v>
      </c>
      <c r="E433" s="76" t="s">
        <v>4295</v>
      </c>
      <c r="F433" s="76" t="s">
        <v>4296</v>
      </c>
      <c r="G433" s="76" t="s">
        <v>4297</v>
      </c>
      <c r="H433" s="76" t="s">
        <v>3390</v>
      </c>
      <c r="I433" s="76" t="str">
        <f t="shared" si="6"/>
        <v>TRANG (MUNAG)</v>
      </c>
    </row>
    <row r="434" spans="3:9">
      <c r="C434" s="75">
        <v>16172</v>
      </c>
      <c r="D434" s="76" t="s">
        <v>4298</v>
      </c>
      <c r="E434" s="76" t="s">
        <v>4295</v>
      </c>
      <c r="F434" s="76" t="s">
        <v>4299</v>
      </c>
      <c r="G434" s="76" t="s">
        <v>4297</v>
      </c>
      <c r="H434" s="76" t="s">
        <v>4300</v>
      </c>
      <c r="I434" s="76" t="str">
        <f t="shared" si="6"/>
        <v>TRANG (YANTAKHAO)</v>
      </c>
    </row>
    <row r="435" spans="3:9">
      <c r="C435" s="75">
        <v>16172</v>
      </c>
      <c r="D435" s="76" t="s">
        <v>4301</v>
      </c>
      <c r="E435" s="76" t="s">
        <v>4295</v>
      </c>
      <c r="F435" s="76" t="s">
        <v>4243</v>
      </c>
      <c r="G435" s="76" t="s">
        <v>4297</v>
      </c>
      <c r="H435" s="76" t="s">
        <v>4245</v>
      </c>
      <c r="I435" s="76" t="str">
        <f t="shared" si="6"/>
        <v>TRANG (RASADA)</v>
      </c>
    </row>
    <row r="436" spans="3:9">
      <c r="C436" s="75">
        <v>16172</v>
      </c>
      <c r="D436" s="76" t="s">
        <v>4302</v>
      </c>
      <c r="E436" s="76" t="s">
        <v>4295</v>
      </c>
      <c r="F436" s="76" t="s">
        <v>4303</v>
      </c>
      <c r="G436" s="76" t="s">
        <v>4297</v>
      </c>
      <c r="H436" s="76" t="s">
        <v>4304</v>
      </c>
      <c r="I436" s="76" t="str">
        <f t="shared" si="6"/>
        <v>TRANG (HUAYYOD)</v>
      </c>
    </row>
    <row r="437" spans="3:9">
      <c r="C437" s="75">
        <v>16172</v>
      </c>
      <c r="D437" s="76" t="s">
        <v>4305</v>
      </c>
      <c r="E437" s="76" t="s">
        <v>4295</v>
      </c>
      <c r="F437" s="76" t="s">
        <v>4306</v>
      </c>
      <c r="G437" s="76" t="s">
        <v>4297</v>
      </c>
      <c r="H437" s="76" t="s">
        <v>4307</v>
      </c>
      <c r="I437" s="76" t="str">
        <f t="shared" si="6"/>
        <v>TRANG (SRITRANG)</v>
      </c>
    </row>
    <row r="438" spans="3:9">
      <c r="C438" s="75">
        <v>16188</v>
      </c>
      <c r="D438" s="76" t="s">
        <v>4308</v>
      </c>
      <c r="E438" s="76" t="s">
        <v>4309</v>
      </c>
      <c r="F438" s="76" t="s">
        <v>4310</v>
      </c>
      <c r="G438" s="76" t="s">
        <v>4311</v>
      </c>
      <c r="H438" s="76" t="s">
        <v>3218</v>
      </c>
      <c r="I438" s="76" t="str">
        <f t="shared" si="6"/>
        <v>ANDAMAN KRABI (UNDAMARN KRABI)</v>
      </c>
    </row>
    <row r="439" spans="3:9">
      <c r="C439" s="75">
        <v>16188</v>
      </c>
      <c r="D439" s="76" t="s">
        <v>4312</v>
      </c>
      <c r="E439" s="76" t="s">
        <v>4309</v>
      </c>
      <c r="F439" s="76" t="s">
        <v>4313</v>
      </c>
      <c r="G439" s="76" t="s">
        <v>4311</v>
      </c>
      <c r="H439" s="76" t="s">
        <v>4314</v>
      </c>
      <c r="I439" s="76" t="str">
        <f t="shared" si="6"/>
        <v>ANDAMAN KRABI (OAWLUEK)</v>
      </c>
    </row>
    <row r="440" spans="3:9">
      <c r="C440" s="75">
        <v>16188</v>
      </c>
      <c r="D440" s="76" t="s">
        <v>4315</v>
      </c>
      <c r="E440" s="76" t="s">
        <v>4309</v>
      </c>
      <c r="F440" s="76" t="s">
        <v>4316</v>
      </c>
      <c r="G440" s="76" t="s">
        <v>4311</v>
      </c>
      <c r="H440" s="76" t="s">
        <v>4317</v>
      </c>
      <c r="I440" s="76" t="str">
        <f t="shared" si="6"/>
        <v>ANDAMAN KRABI (KHLONG THOM)</v>
      </c>
    </row>
    <row r="441" spans="3:9">
      <c r="C441" s="75">
        <v>16188</v>
      </c>
      <c r="D441" s="76" t="s">
        <v>4318</v>
      </c>
      <c r="E441" s="76" t="s">
        <v>4309</v>
      </c>
      <c r="F441" s="76" t="s">
        <v>4319</v>
      </c>
      <c r="G441" s="76" t="s">
        <v>4311</v>
      </c>
      <c r="H441" s="76" t="s">
        <v>4320</v>
      </c>
      <c r="I441" s="76" t="str">
        <f t="shared" si="6"/>
        <v>ANDAMAN KRABI (KHAOPANOM)</v>
      </c>
    </row>
    <row r="442" spans="3:9">
      <c r="C442" s="75">
        <v>16188</v>
      </c>
      <c r="D442" s="76" t="s">
        <v>4321</v>
      </c>
      <c r="E442" s="76" t="s">
        <v>4309</v>
      </c>
      <c r="F442" s="76" t="s">
        <v>4322</v>
      </c>
      <c r="G442" s="76" t="s">
        <v>4311</v>
      </c>
      <c r="H442" s="76" t="s">
        <v>4323</v>
      </c>
      <c r="I442" s="76" t="str">
        <f t="shared" si="6"/>
        <v>ANDAMAN KRABI (NUEAKHLONG)</v>
      </c>
    </row>
    <row r="443" spans="3:9">
      <c r="C443" s="75">
        <v>16196</v>
      </c>
      <c r="D443" s="76" t="s">
        <v>4324</v>
      </c>
      <c r="E443" s="76" t="s">
        <v>4325</v>
      </c>
      <c r="F443" s="76" t="s">
        <v>4325</v>
      </c>
      <c r="G443" s="76" t="s">
        <v>4326</v>
      </c>
      <c r="H443" s="76" t="s">
        <v>4326</v>
      </c>
      <c r="I443" s="76" t="str">
        <f t="shared" si="6"/>
        <v>MUANGKORN (MUANGKORN)</v>
      </c>
    </row>
    <row r="444" spans="3:9">
      <c r="C444" s="75">
        <v>16196</v>
      </c>
      <c r="D444" s="76" t="s">
        <v>4327</v>
      </c>
      <c r="E444" s="76" t="s">
        <v>4325</v>
      </c>
      <c r="F444" s="76" t="s">
        <v>4328</v>
      </c>
      <c r="G444" s="76" t="s">
        <v>4326</v>
      </c>
      <c r="H444" s="76" t="s">
        <v>4329</v>
      </c>
      <c r="I444" s="76" t="str">
        <f t="shared" si="6"/>
        <v>MUANGKORN (TUNGYAI)</v>
      </c>
    </row>
    <row r="445" spans="3:9">
      <c r="C445" s="75">
        <v>16196</v>
      </c>
      <c r="D445" s="76" t="s">
        <v>4330</v>
      </c>
      <c r="E445" s="76" t="s">
        <v>4325</v>
      </c>
      <c r="F445" s="76" t="s">
        <v>4331</v>
      </c>
      <c r="G445" s="76" t="s">
        <v>4326</v>
      </c>
      <c r="H445" s="76" t="s">
        <v>4332</v>
      </c>
      <c r="I445" s="76" t="str">
        <f t="shared" si="6"/>
        <v>MUANGKORN (THASALA)</v>
      </c>
    </row>
    <row r="446" spans="3:9">
      <c r="C446" s="75">
        <v>16196</v>
      </c>
      <c r="D446" s="76" t="s">
        <v>4333</v>
      </c>
      <c r="E446" s="76" t="s">
        <v>4325</v>
      </c>
      <c r="F446" s="76" t="s">
        <v>4334</v>
      </c>
      <c r="G446" s="76" t="s">
        <v>4326</v>
      </c>
      <c r="H446" s="76" t="s">
        <v>4335</v>
      </c>
      <c r="I446" s="76" t="str">
        <f t="shared" si="6"/>
        <v>MUANGKORN (CHA-UAT)</v>
      </c>
    </row>
    <row r="447" spans="3:9">
      <c r="C447" s="75">
        <v>16204</v>
      </c>
      <c r="D447" s="76" t="s">
        <v>4336</v>
      </c>
      <c r="E447" s="76" t="s">
        <v>4337</v>
      </c>
      <c r="F447" s="76" t="s">
        <v>3247</v>
      </c>
      <c r="G447" s="76" t="s">
        <v>4338</v>
      </c>
      <c r="H447" s="76" t="s">
        <v>3218</v>
      </c>
      <c r="I447" s="76" t="str">
        <f t="shared" si="6"/>
        <v>TAPEE (HEAD OFFICE)</v>
      </c>
    </row>
    <row r="448" spans="3:9">
      <c r="C448" s="75">
        <v>16212</v>
      </c>
      <c r="D448" s="76" t="s">
        <v>4339</v>
      </c>
      <c r="E448" s="76" t="s">
        <v>4340</v>
      </c>
      <c r="F448" s="76" t="s">
        <v>4340</v>
      </c>
      <c r="G448" s="76" t="s">
        <v>4341</v>
      </c>
      <c r="H448" s="76" t="s">
        <v>3218</v>
      </c>
      <c r="I448" s="76" t="str">
        <f t="shared" si="6"/>
        <v>NEXT (NEXT)</v>
      </c>
    </row>
    <row r="449" spans="3:9">
      <c r="C449" s="75">
        <v>16220</v>
      </c>
      <c r="D449" s="76" t="s">
        <v>4342</v>
      </c>
      <c r="E449" s="76" t="s">
        <v>4343</v>
      </c>
      <c r="F449" s="76" t="s">
        <v>3247</v>
      </c>
      <c r="G449" s="76" t="s">
        <v>4344</v>
      </c>
      <c r="H449" s="76" t="s">
        <v>3218</v>
      </c>
      <c r="I449" s="76" t="str">
        <f t="shared" si="6"/>
        <v>PHUKET MOTOR (HEAD OFFICE)</v>
      </c>
    </row>
    <row r="450" spans="3:9">
      <c r="C450" s="75">
        <v>16238</v>
      </c>
      <c r="D450" s="76" t="s">
        <v>4345</v>
      </c>
      <c r="E450" s="76" t="s">
        <v>4346</v>
      </c>
      <c r="F450" s="76" t="s">
        <v>3247</v>
      </c>
      <c r="G450" s="76" t="s">
        <v>4347</v>
      </c>
      <c r="H450" s="76" t="s">
        <v>3218</v>
      </c>
      <c r="I450" s="76" t="str">
        <f t="shared" si="6"/>
        <v>CHAMP (HEAD OFFICE)</v>
      </c>
    </row>
    <row r="451" spans="3:9">
      <c r="C451" s="75">
        <v>51011</v>
      </c>
      <c r="D451" s="76" t="s">
        <v>4348</v>
      </c>
      <c r="E451" s="76" t="s">
        <v>4349</v>
      </c>
      <c r="F451" s="76" t="s">
        <v>3006</v>
      </c>
      <c r="G451" s="76" t="s">
        <v>4350</v>
      </c>
      <c r="H451" s="76" t="s">
        <v>3218</v>
      </c>
      <c r="I451" s="76" t="str">
        <f t="shared" si="6"/>
        <v>TBS (SRINAKARIN)</v>
      </c>
    </row>
    <row r="452" spans="3:9">
      <c r="C452" s="75">
        <v>51011</v>
      </c>
      <c r="D452" s="76" t="s">
        <v>4351</v>
      </c>
      <c r="E452" s="76" t="s">
        <v>4349</v>
      </c>
      <c r="F452" s="76" t="s">
        <v>4352</v>
      </c>
      <c r="G452" s="76" t="s">
        <v>4350</v>
      </c>
      <c r="H452" s="76" t="s">
        <v>4353</v>
      </c>
      <c r="I452" s="76" t="str">
        <f t="shared" si="6"/>
        <v>TBS (SAMRONG)</v>
      </c>
    </row>
    <row r="453" spans="3:9">
      <c r="C453" s="75">
        <v>60004</v>
      </c>
      <c r="D453" s="76" t="s">
        <v>4354</v>
      </c>
      <c r="E453" s="76" t="s">
        <v>4355</v>
      </c>
      <c r="F453" s="76" t="s">
        <v>4356</v>
      </c>
      <c r="G453" s="76" t="s">
        <v>4357</v>
      </c>
      <c r="H453" s="76" t="s">
        <v>4353</v>
      </c>
      <c r="I453" s="76" t="str">
        <f>E453&amp;" ("&amp;F453&amp;$I$1</f>
        <v>SUMRONG SERVICE (SAMRONG CCCC)</v>
      </c>
    </row>
  </sheetData>
  <mergeCells count="1">
    <mergeCell ref="A1:B1"/>
  </mergeCells>
  <printOptions horizontalCentered="1"/>
  <pageMargins left="0.15748031496062992" right="0.15748031496062992" top="0.19685039370078741" bottom="0.19685039370078741" header="0.51181102362204722" footer="0.51181102362204722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5CF18077AF742B5C092B58800C2FE" ma:contentTypeVersion="16" ma:contentTypeDescription="Create a new document." ma:contentTypeScope="" ma:versionID="ff61f3c1f49cb34af634211a33097dfe">
  <xsd:schema xmlns:xsd="http://www.w3.org/2001/XMLSchema" xmlns:xs="http://www.w3.org/2001/XMLSchema" xmlns:p="http://schemas.microsoft.com/office/2006/metadata/properties" xmlns:ns2="d47e03b8-8149-4907-8f9e-278972404738" xmlns:ns3="18c8d681-ddec-4951-8f41-117e63400e45" targetNamespace="http://schemas.microsoft.com/office/2006/metadata/properties" ma:root="true" ma:fieldsID="66bf70de01eca7d8ca7c2800dd85a53b" ns2:_="" ns3:_="">
    <xsd:import namespace="d47e03b8-8149-4907-8f9e-278972404738"/>
    <xsd:import namespace="18c8d681-ddec-4951-8f41-117e63400e4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e03b8-8149-4907-8f9e-27897240473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e43a3974-e09d-4065-87b4-28ecf956477d}" ma:internalName="TaxCatchAll" ma:showField="CatchAllData" ma:web="d47e03b8-8149-4907-8f9e-2789724047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8d681-ddec-4951-8f41-117e63400e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25a1e3b-8f94-4404-9dbf-efddb875b7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e03b8-8149-4907-8f9e-278972404738"/>
    <lcf76f155ced4ddcb4097134ff3c332f xmlns="18c8d681-ddec-4951-8f41-117e63400e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19262D-032C-4E46-BCF8-380AA0D44B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e03b8-8149-4907-8f9e-278972404738"/>
    <ds:schemaRef ds:uri="18c8d681-ddec-4951-8f41-117e63400e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A56698-9EA3-4087-841C-0B89B52FF2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8FFDE5-2DBE-46B3-9496-6B60A72B7C68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ED576F1-82C2-4A55-98EF-E59E2D0913FC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DAEC9B89-2FD7-4569-BB3D-07314A0DECAC}">
  <ds:schemaRefs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18c8d681-ddec-4951-8f41-117e63400e45"/>
    <ds:schemaRef ds:uri="http://schemas.microsoft.com/office/2006/metadata/properties"/>
    <ds:schemaRef ds:uri="d47e03b8-8149-4907-8f9e-27897240473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From Bing</vt:lpstr>
      <vt:lpstr>Distributor</vt:lpstr>
      <vt:lpstr>Line Code</vt:lpstr>
      <vt:lpstr>T1 &amp; T2 Code</vt:lpstr>
      <vt:lpstr>T1 &amp; T2 Code (Old)</vt:lpstr>
      <vt:lpstr>Data base</vt:lpstr>
      <vt:lpstr>Notification</vt:lpstr>
      <vt:lpstr>Dealer code Up 18 May'16</vt:lpstr>
    </vt:vector>
  </TitlesOfParts>
  <Company>Hino Motors (Thailand)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Hino Motors (Thailand) Ltd.</dc:creator>
  <cp:lastModifiedBy>Prachaya Chotchoung</cp:lastModifiedBy>
  <cp:lastPrinted>2009-10-02T07:40:00Z</cp:lastPrinted>
  <dcterms:created xsi:type="dcterms:W3CDTF">2004-06-15T09:16:29Z</dcterms:created>
  <dcterms:modified xsi:type="dcterms:W3CDTF">2023-02-22T04:16:12Z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NP6Q33EQZT46-189710164-6030</vt:lpwstr>
  </property>
  <property fmtid="{D5CDD505-2E9C-101B-9397-08002B2CF9AE}" pid="3" name="_dlc_DocIdItemGuid">
    <vt:lpwstr>07d800bf-03c4-4f73-97aa-e9f451e7aab4</vt:lpwstr>
  </property>
  <property fmtid="{D5CDD505-2E9C-101B-9397-08002B2CF9AE}" pid="4" name="_dlc_DocIdUrl">
    <vt:lpwstr>https://hinoth365.sharepoint.com/sites/HMMT-WarrantyClaim/_layouts/15/DocIdRedir.aspx?ID=NP6Q33EQZT46-189710164-6030, NP6Q33EQZT46-189710164-6030</vt:lpwstr>
  </property>
</Properties>
</file>