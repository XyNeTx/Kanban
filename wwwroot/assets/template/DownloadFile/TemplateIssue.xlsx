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@lab\VS2022\WarrantyClaimSystem\WarrantyClaimSystem\wwwroot\assets\template\DownloadFile\"/>
    </mc:Choice>
  </mc:AlternateContent>
  <bookViews>
    <workbookView xWindow="255" yWindow="2715" windowWidth="20205" windowHeight="1770" tabRatio="685"/>
  </bookViews>
  <sheets>
    <sheet name="T1 &amp; T2 Code" sheetId="31" r:id="rId1"/>
  </sheets>
  <externalReferences>
    <externalReference r:id="rId2"/>
  </externalReferences>
  <definedNames>
    <definedName name="_xlnm._FilterDatabase" localSheetId="0" hidden="1">'T1 &amp; T2 Code'!$D$2:$D$98</definedName>
    <definedName name="Query1">#REF!</definedName>
  </definedNames>
  <calcPr calcId="162913"/>
</workbook>
</file>

<file path=xl/calcChain.xml><?xml version="1.0" encoding="utf-8"?>
<calcChain xmlns="http://schemas.openxmlformats.org/spreadsheetml/2006/main">
  <c r="D58" i="31" l="1"/>
  <c r="D57" i="31"/>
  <c r="D56" i="31"/>
  <c r="D55" i="31"/>
  <c r="D54" i="31"/>
  <c r="D53" i="31"/>
  <c r="D52" i="31"/>
  <c r="D59" i="31"/>
  <c r="D50" i="31"/>
  <c r="D49" i="31"/>
  <c r="D48" i="31"/>
  <c r="D47" i="31"/>
  <c r="D46" i="31"/>
  <c r="D22" i="31"/>
  <c r="D16" i="31"/>
  <c r="D23" i="31"/>
  <c r="A2" i="31"/>
  <c r="D2" i="31"/>
  <c r="A3" i="31"/>
  <c r="D3" i="31"/>
  <c r="A4" i="31"/>
  <c r="D4" i="31"/>
  <c r="A5" i="31"/>
  <c r="D5" i="31"/>
  <c r="A6" i="31"/>
  <c r="D6" i="31"/>
  <c r="A7" i="31"/>
  <c r="D7" i="31"/>
  <c r="A8" i="31"/>
  <c r="D8" i="31"/>
  <c r="A9" i="31"/>
  <c r="D9" i="31"/>
  <c r="A10" i="31"/>
  <c r="D10" i="31"/>
  <c r="A11" i="31"/>
  <c r="D11" i="31"/>
  <c r="A12" i="31"/>
  <c r="D12" i="31"/>
  <c r="A13" i="31"/>
  <c r="D13" i="31"/>
  <c r="A14" i="31"/>
  <c r="D14" i="31"/>
  <c r="A15" i="31"/>
  <c r="D15" i="31"/>
  <c r="A16" i="31"/>
  <c r="A17" i="31"/>
  <c r="D17" i="31"/>
  <c r="A18" i="31"/>
  <c r="D18" i="31"/>
  <c r="A19" i="31"/>
  <c r="D19" i="31"/>
  <c r="A20" i="31"/>
  <c r="D20" i="31"/>
  <c r="A21" i="31"/>
  <c r="D21" i="31"/>
  <c r="A22" i="31"/>
  <c r="A23" i="31"/>
  <c r="D24" i="31"/>
  <c r="A24" i="31"/>
  <c r="D25" i="31"/>
  <c r="A25" i="31"/>
  <c r="D26" i="31"/>
  <c r="A26" i="31"/>
  <c r="D27" i="31"/>
  <c r="A27" i="31"/>
  <c r="D28" i="31"/>
  <c r="A28" i="31"/>
  <c r="D29" i="31"/>
  <c r="A29" i="31"/>
  <c r="D30" i="31"/>
  <c r="A30" i="31"/>
  <c r="D31" i="31"/>
  <c r="A31" i="31"/>
  <c r="D32" i="31"/>
  <c r="A32" i="31"/>
  <c r="D33" i="31"/>
  <c r="A33" i="31"/>
  <c r="D34" i="31"/>
  <c r="A34" i="31"/>
  <c r="D35" i="31"/>
  <c r="A35" i="31"/>
  <c r="D36" i="31"/>
  <c r="A36" i="31"/>
  <c r="D37" i="31"/>
  <c r="A37" i="31"/>
  <c r="D38" i="31"/>
  <c r="A38" i="31"/>
  <c r="D39" i="31"/>
  <c r="A39" i="31"/>
  <c r="D40" i="31"/>
  <c r="A40" i="31"/>
  <c r="D41" i="31"/>
  <c r="A41" i="31"/>
  <c r="D42" i="31"/>
  <c r="A42" i="31"/>
  <c r="D43" i="31"/>
  <c r="A43" i="31"/>
  <c r="D44" i="31"/>
  <c r="A44" i="31"/>
  <c r="D45" i="31"/>
  <c r="A45" i="31"/>
  <c r="D51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64" i="31"/>
  <c r="A65" i="31"/>
  <c r="A66" i="31"/>
  <c r="A67" i="31"/>
  <c r="A68" i="31"/>
  <c r="A69" i="31"/>
  <c r="A70" i="31"/>
  <c r="A71" i="31"/>
  <c r="A72" i="31"/>
  <c r="A73" i="31"/>
  <c r="A74" i="31"/>
  <c r="A75" i="31"/>
  <c r="A76" i="31"/>
  <c r="A77" i="31"/>
  <c r="A78" i="31"/>
  <c r="A79" i="31"/>
  <c r="A80" i="31"/>
  <c r="A81" i="31"/>
  <c r="A82" i="31"/>
  <c r="A83" i="31"/>
  <c r="A84" i="31"/>
  <c r="A85" i="31"/>
  <c r="A86" i="31"/>
  <c r="A87" i="31"/>
</calcChain>
</file>

<file path=xl/sharedStrings.xml><?xml version="1.0" encoding="utf-8"?>
<sst xmlns="http://schemas.openxmlformats.org/spreadsheetml/2006/main" count="148" uniqueCount="147">
  <si>
    <t>ENGINE CRANKS-NO START</t>
  </si>
  <si>
    <t>ROUGH IDLE</t>
  </si>
  <si>
    <t>SURGE</t>
  </si>
  <si>
    <t>STUMBLE,HESITATION,POOR ACCELERATION</t>
  </si>
  <si>
    <t>LACK/LOSS OF POWER</t>
  </si>
  <si>
    <t>EXCESSIVE KNOCKING</t>
  </si>
  <si>
    <t>ENGINE CRANKS-HARD START</t>
  </si>
  <si>
    <t>ENGINE STALLS-RESTARTS</t>
  </si>
  <si>
    <t>EXCESSIVE FUEL CONSUMPTION</t>
  </si>
  <si>
    <t>EXCESSIVE OIL CONSUMPTION (EXCLUDE OIL LEAK=65)</t>
  </si>
  <si>
    <t>OVERHEATING</t>
  </si>
  <si>
    <t>ENGINE RUN-ON</t>
  </si>
  <si>
    <t>FAILS TO REACH NORMAL OPERATING TEMPERATURE</t>
  </si>
  <si>
    <t>ENGINE NO RESTARTS (INCLUDES PERCOLATION STALL)</t>
  </si>
  <si>
    <t>OVERFLOWING,FLOODING</t>
  </si>
  <si>
    <t>ABNORMAL EXHAUST GAS  (WHITE,BLUE,OR BLACK)</t>
  </si>
  <si>
    <t>FAILED EMISSION TEST</t>
  </si>
  <si>
    <t>BACK FIRE</t>
  </si>
  <si>
    <t>AFTER FIRE</t>
  </si>
  <si>
    <t>CLUTCH SLIPPING,A/T SLIPPING</t>
  </si>
  <si>
    <t>FAILS TO DISENGAGE</t>
  </si>
  <si>
    <t>M/T JUMPS OUT OF GEAR</t>
  </si>
  <si>
    <t>M/T GEAR GRIND/CLASH/IMPROPER ENGAGEMENT</t>
  </si>
  <si>
    <t>A/T ABNORMAL SHIFT POINT  (INCLUDES IMPROPER K/D)</t>
  </si>
  <si>
    <t>A/T WILL NOT SHIFT UP/DOWN</t>
  </si>
  <si>
    <t>SHIFT LEVER STICKS (M/T OR A/T)</t>
  </si>
  <si>
    <t>NO FORWARD OR REVERSE MOVEMENT (A/T ONLY)</t>
  </si>
  <si>
    <t>CLUTCH JUDDER  (EXCLUDES NOISE=91,VIBRATION=9B)</t>
  </si>
  <si>
    <t>A/T ABNORMAL TIME LAG</t>
  </si>
  <si>
    <t>UNSTABLE STEERING (VEHICLE WANDERS)</t>
  </si>
  <si>
    <t>EXCESSIVE SHOCK (INCLUDES A/T AND CHASSIS)</t>
  </si>
  <si>
    <t>SQUEAK NOISE</t>
  </si>
  <si>
    <t>PULL TO THE RIGHT OR LEFT WHILE BRAKING</t>
  </si>
  <si>
    <t>POOR BRAKE PERFORMANCE (EXCLUDES PARKING BRAKE)</t>
  </si>
  <si>
    <t>VEHICLE PULLS OR DRIFTS TO THE RIGHT</t>
  </si>
  <si>
    <t>VEHICLE PULLS OR DRIFTS TO THE LEFT</t>
  </si>
  <si>
    <t>STEERING WHEEL OFF-CENTER</t>
  </si>
  <si>
    <t>IMPROPER STROKE  (INCLUDES PEDAL,EXCLUDE PKB)</t>
  </si>
  <si>
    <t>UNEVEN VEHICLE HEIGHT</t>
  </si>
  <si>
    <t>BRAKES DRAG (EXCLUDES PARKING BRAKE)</t>
  </si>
  <si>
    <t>BRAKES LOCK WHEEL(S)  PREMATURELY</t>
  </si>
  <si>
    <t>NO A/T LOCKUP</t>
  </si>
  <si>
    <t>IMPROPER A/T LOCKUP POINT</t>
  </si>
  <si>
    <t>PARKING BRAKE DOES NOT HOLD VEHICLE</t>
  </si>
  <si>
    <t>IMPROPER PARKING BRAKE LEVER OR PEDAL STROKE</t>
  </si>
  <si>
    <t>PARKING BRAKEE DOES NOT RELEASE PROPERLY</t>
  </si>
  <si>
    <t>WIND NOISE / WHISTLE</t>
  </si>
  <si>
    <t>WINDOW GLASS FOGGING</t>
  </si>
  <si>
    <t>ABNORMAL SMELL</t>
  </si>
  <si>
    <t>LOOSENING,FALLING OFF</t>
  </si>
  <si>
    <t>LEAKS-OTHER(AIR,FUEL,EXHAUST GAS,REFRIGERANT)</t>
  </si>
  <si>
    <t>OIL OR GREASE LEAK,OIL ENTERING</t>
  </si>
  <si>
    <t>WATER LEAK,WATER ENTERING</t>
  </si>
  <si>
    <t>POOR APPEARANCE (EXCLUDES DODES 68,69)</t>
  </si>
  <si>
    <t>POOR PLATING OF PARTS</t>
  </si>
  <si>
    <t>POOR PAINT APPEARANCE</t>
  </si>
  <si>
    <t>RUST PERFORATION OF BODY</t>
  </si>
  <si>
    <t>BATTERY DOES NOT HOLD CHARGE</t>
  </si>
  <si>
    <t>INOPERATIVE WHEN SWITCHED ON</t>
  </si>
  <si>
    <t>INACCURATE (METER,GAUGE,CLOCK ETC)</t>
  </si>
  <si>
    <t>BATTRY OVERCHARGE</t>
  </si>
  <si>
    <t>INEFFECTIVE WIPING OR WASHING</t>
  </si>
  <si>
    <t>POOR SOUND (HORN,RADIO,BUZZER,ETC)</t>
  </si>
  <si>
    <t>DISTORTED AUDIO</t>
  </si>
  <si>
    <t>COOLER OR HEATER NOT COLD OR HOT ENOUGH(EXC.LEAK)</t>
  </si>
  <si>
    <t>MALFUNCTION OF DISPLAY PANEL</t>
  </si>
  <si>
    <t>STARTER-LATE TO / WILL NOT DISENGAGE</t>
  </si>
  <si>
    <t>WILL NOT MAINTAIN ON OR OFF</t>
  </si>
  <si>
    <t>CONTINUES TO OPERATE  WHEN SWITCHED  OFF</t>
  </si>
  <si>
    <t>ODOMETER DISPLAY INCORRECT</t>
  </si>
  <si>
    <t>IMPROPER COMING-OUT OF LIGHTER,ANTENNA,AUDIO</t>
  </si>
  <si>
    <t>POOR RADIO RECEPTION</t>
  </si>
  <si>
    <t>ERRONEOUS BEHAVIOR</t>
  </si>
  <si>
    <t>ENGINE CHECKLAMP ON / MIL ON</t>
  </si>
  <si>
    <t>TIRE PRESSURE WARNING LAMP ON</t>
  </si>
  <si>
    <t>WARNING OR INDICATOR LAMP  ON (OTHER THAN CODES</t>
  </si>
  <si>
    <t>LIGHT DIM OR INOPERATIVE (INCLUDES HEADLAMP,ETC)</t>
  </si>
  <si>
    <t>ABNORMAL OR EXCESSIVE NOISE</t>
  </si>
  <si>
    <t>GRABS</t>
  </si>
  <si>
    <t>INTERFERENCE (RESULTING IN DAMAGE)</t>
  </si>
  <si>
    <t>HIGH OPERATING EFFORT</t>
  </si>
  <si>
    <t>POOR FEELING OF SWITCHES OR CONTROLS</t>
  </si>
  <si>
    <t>OTHERS</t>
  </si>
  <si>
    <t>IMPROPER CLOSING AND/OR OPENING,INEFFECTIVE LOCK</t>
  </si>
  <si>
    <t>SHUDDER,EXCESSIVE VIBRATION OR PULSATION</t>
  </si>
  <si>
    <t>POOR RETURN(BELT,SEATBACK,TURN SIGNAL SWITCH,ETC.)</t>
  </si>
  <si>
    <t>BURNT</t>
  </si>
  <si>
    <t>FROZEN(ICING)</t>
  </si>
  <si>
    <t>BUMP</t>
  </si>
  <si>
    <t>SCARRED(E.G.BRUISE,SCRATCH,CUT,SCORED)/SCRATCHED</t>
  </si>
  <si>
    <t>BROKEN,SPLIT,TORN/DENT</t>
  </si>
  <si>
    <t>BENT,WARPED,SHRUNK,WRINKLED,SWELL/PANEL WAVE</t>
  </si>
  <si>
    <t>WEAKENED,LOSS OF TENSION/ROUGH,CRACKING SEAM FILLE</t>
  </si>
  <si>
    <t>PEELING,COME-OFF</t>
  </si>
  <si>
    <t>CRACKED</t>
  </si>
  <si>
    <t>RUSTY,CORRODED</t>
  </si>
  <si>
    <t>HARDENING OR SOFTENING</t>
  </si>
  <si>
    <t>WEAR</t>
  </si>
  <si>
    <t>METALLIC BLEMISH,MOTTLING OF PAINT</t>
  </si>
  <si>
    <t>THIN OF PAINTED PARTS</t>
  </si>
  <si>
    <t>RUNS AND SAGS OF PAINTED PARTS</t>
  </si>
  <si>
    <t>POLISH MARK OF PAINTED PARTS</t>
  </si>
  <si>
    <t>CISSING(FISH EYES) OF PAINTED PARTS</t>
  </si>
  <si>
    <t>POOR REPAIR OF PAINTED PARTS</t>
  </si>
  <si>
    <t>SEEDS OF PAINTED PARTS</t>
  </si>
  <si>
    <t>POOR BODY SEALER APPLICATION</t>
  </si>
  <si>
    <t>POOR MASTIC SEALER APPLICATION</t>
  </si>
  <si>
    <t>IMPROPER FREE PLAY</t>
  </si>
  <si>
    <t>POOR CONTACT</t>
  </si>
  <si>
    <t>OUT OF BALANCE</t>
  </si>
  <si>
    <t>EXCESSIVE CLEARANCE OR BACKLASH</t>
  </si>
  <si>
    <t>LACK OF CLEARANCE OR BACKLASH</t>
  </si>
  <si>
    <t>POROUS,PINHOLE</t>
  </si>
  <si>
    <t>POOR CALKING</t>
  </si>
  <si>
    <t>FAULTY MACHINING,POOR FORMING</t>
  </si>
  <si>
    <t>INCORRECT PART/OFF-COLOR</t>
  </si>
  <si>
    <t>MISSING PART/PARTING LINE DEFECT FOR TWO TONE</t>
  </si>
  <si>
    <t>EXISTENCE OF FOREIGN MATTER/STRIPE DEFECT</t>
  </si>
  <si>
    <t>LACK OF LUBRICANT,SEALER POOR ADHESION/OVERSPRAY</t>
  </si>
  <si>
    <t>POOR FIT,POOR ASSEMBLING</t>
  </si>
  <si>
    <t>A SEAM COMES APART</t>
  </si>
  <si>
    <t>EXTRA PARTS</t>
  </si>
  <si>
    <t>LOOSE THREADS/RUST DUE TO PARTS INSTALLED DAMAGE</t>
  </si>
  <si>
    <t>DIRT</t>
  </si>
  <si>
    <t>BUBBLE/SCRATCH BY INTERFERENCE</t>
  </si>
  <si>
    <t>DISCOLORATION,STAIN,SCORCH OR BURN/GLUE ADHERED</t>
  </si>
  <si>
    <t>POOR WELDING</t>
  </si>
  <si>
    <t>OPEN CIRCUIT,FAULTY SEMICONDUCTOR</t>
  </si>
  <si>
    <t>SHORT CIRCUIT,POOR INSULATION,POOR CONTACT</t>
  </si>
  <si>
    <t>POOR PROGRAMMING</t>
  </si>
  <si>
    <t>SPOT DISCOLORATION,STAIN</t>
  </si>
  <si>
    <t>ORANGE PEEL,POOR GLOSS</t>
  </si>
  <si>
    <t>CRACKING</t>
  </si>
  <si>
    <t>BLISTERING</t>
  </si>
  <si>
    <t>FADING</t>
  </si>
  <si>
    <t>POOR TIGHTENING(LOOSING,BROKEN-BOLT,NAT)/CHALKING</t>
  </si>
  <si>
    <t>PEELING</t>
  </si>
  <si>
    <t>STICKING,SEIZED,UNSMOOTH SLIDING/RUSTING THROUGH</t>
  </si>
  <si>
    <t>UNSMOOTH SLIDING</t>
  </si>
  <si>
    <t>RUST ON HEM,JOINT</t>
  </si>
  <si>
    <t>RUST SPOTS</t>
  </si>
  <si>
    <t>ANTI-RUST WAX ATTACH</t>
  </si>
  <si>
    <t>CLOGGED AND/OR EXISTENCE OF FOREGIN MATTER</t>
  </si>
  <si>
    <t>Symptom</t>
  </si>
  <si>
    <t>T1 Code</t>
  </si>
  <si>
    <t>T2 Code</t>
  </si>
  <si>
    <t>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</si>
</sst>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-* #,##0_-;\-* #,##0_-;_-* &quot;-&quot;_-;_-@_-"/>
    <numFmt numFmtId="171" formatCode="_-* #,##0.00_-;\-* #,##0.00_-;_-* &quot;-&quot;??_-;_-@_-"/>
    <numFmt numFmtId="176" formatCode="_-&quot;฿&quot;* #,##0_-;\-&quot;฿&quot;* #,##0_-;_-&quot;฿&quot;* &quot;-&quot;_-;_-@_-"/>
    <numFmt numFmtId="177" formatCode="_-&quot;฿&quot;* #,##0.00_-;\-&quot;฿&quot;* #,##0.00_-;_-&quot;฿&quot;* &quot;-&quot;??_-;_-@_-"/>
    <numFmt numFmtId="188" formatCode="#,##0.00\ &quot;F&quot;;\-#,##0.00\ &quot;F&quot;"/>
    <numFmt numFmtId="189" formatCode="dd\-mmm\-yy_)"/>
    <numFmt numFmtId="190" formatCode="0.0%"/>
    <numFmt numFmtId="191" formatCode="0.00_)"/>
    <numFmt numFmtId="192" formatCode="&quot;\&quot;#,##0.00;[Red]&quot;\&quot;\-#,##0.00"/>
    <numFmt numFmtId="193" formatCode="&quot;\&quot;#,##0;[Red]&quot;\&quot;\-#,##0"/>
    <numFmt numFmtId="194" formatCode="_ * #,##0_ ;_ * \-#,##0_ ;_ * &quot;-&quot;_ ;_ @_ "/>
    <numFmt numFmtId="195" formatCode="_ * #,##0.00_ ;_ * \-#,##0.00_ ;_ * &quot;-&quot;??_ ;_ @_ "/>
    <numFmt numFmtId="196" formatCode="[Red][&gt;20.7]0.00;[Green][&lt;20.8]0.00;General"/>
    <numFmt numFmtId="197" formatCode="&quot;¥&quot;#,##0.00;[Red]&quot;¥&quot;\-#,##0.00"/>
    <numFmt numFmtId="198" formatCode="&quot;¥&quot;#,##0;[Red]&quot;¥&quot;\-#,##0"/>
    <numFmt numFmtId="199" formatCode="_-&quot;ﾟ&quot;* #,##0_-;\-&quot;ﾟ&quot;* #,##0_-;_-&quot;ﾟ&quot;* &quot;-&quot;_-;_-@_-"/>
    <numFmt numFmtId="200" formatCode="_-&quot;ﾟ&quot;* #,##0.00_-;\-&quot;ﾟ&quot;* #,##0.00_-;_-&quot;ﾟ&quot;* &quot;-&quot;??_-;_-@_-"/>
    <numFmt numFmtId="201" formatCode="#&quot; Day&quot;"/>
    <numFmt numFmtId="202" formatCode="&quot;Today&quot;\ \:\ dd\-mmm\-yyyy"/>
  </numFmts>
  <fonts count="96">
    <font>
      <sz val="14"/>
      <name val="Cordia New"/>
      <family val="2"/>
      <charset val="22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Cordia New"/>
      <family val="2"/>
    </font>
    <font>
      <b/>
      <sz val="8"/>
      <name val="Comic Sans MS"/>
      <family val="4"/>
    </font>
    <font>
      <sz val="8"/>
      <name val="Comic Sans MS"/>
      <family val="4"/>
    </font>
    <font>
      <sz val="10"/>
      <name val="MS Sans Serif"/>
      <family val="2"/>
    </font>
    <font>
      <sz val="14"/>
      <name val="Cordia New"/>
      <family val="2"/>
      <charset val="222"/>
    </font>
    <font>
      <b/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?? ????"/>
      <family val="3"/>
      <charset val="128"/>
    </font>
    <font>
      <sz val="11"/>
      <name val="??"/>
      <family val="1"/>
      <charset val="128"/>
    </font>
    <font>
      <sz val="11"/>
      <name val="?? ?????"/>
      <family val="3"/>
      <charset val="128"/>
    </font>
    <font>
      <sz val="11"/>
      <name val="?l?r ?o?S?V?b?N"/>
      <family val="3"/>
    </font>
    <font>
      <sz val="11"/>
      <name val="‚l‚r ‚oƒSƒVƒbƒN"/>
      <family val="1"/>
    </font>
    <font>
      <u/>
      <sz val="8.25"/>
      <color indexed="36"/>
      <name val="lr oSVbN"/>
      <family val="3"/>
      <charset val="128"/>
    </font>
    <font>
      <sz val="11"/>
      <name val="®l®r ®o™S™V™b™N"/>
      <family val="3"/>
      <charset val="128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0"/>
      <color indexed="20"/>
      <name val="Arial"/>
      <family val="2"/>
    </font>
    <font>
      <sz val="11"/>
      <name val="明朝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0"/>
      <name val="Tms Rmn"/>
      <family val="1"/>
    </font>
    <font>
      <sz val="11"/>
      <name val="ＭＳ Ｐゴシック"/>
      <family val="3"/>
      <charset val="128"/>
    </font>
    <font>
      <sz val="11"/>
      <name val="ＭＳ Ｐゴシック"/>
      <charset val="128"/>
    </font>
    <font>
      <sz val="14"/>
      <name val="Cordia New"/>
      <family val="2"/>
    </font>
    <font>
      <sz val="10"/>
      <name val="Tahoma"/>
      <family val="2"/>
    </font>
    <font>
      <sz val="14"/>
      <name val="AngsanaUPC"/>
      <family val="1"/>
    </font>
    <font>
      <i/>
      <sz val="10"/>
      <color indexed="23"/>
      <name val="Arial"/>
      <family val="2"/>
    </font>
    <font>
      <sz val="11"/>
      <name val="lr oSVbN"/>
      <family val="3"/>
      <charset val="128"/>
    </font>
    <font>
      <sz val="10"/>
      <color indexed="17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4"/>
      <color indexed="12"/>
      <name val="Cordia New"/>
      <family val="2"/>
    </font>
    <font>
      <sz val="10"/>
      <color indexed="62"/>
      <name val="Arial"/>
      <family val="2"/>
    </font>
    <font>
      <sz val="10"/>
      <name val="ＭＳ ゴシック"/>
      <family val="3"/>
      <charset val="128"/>
    </font>
    <font>
      <sz val="10"/>
      <color indexed="52"/>
      <name val="Arial"/>
      <family val="2"/>
    </font>
    <font>
      <u/>
      <sz val="8.25"/>
      <color indexed="12"/>
      <name val="lr oSVbN"/>
      <family val="3"/>
      <charset val="128"/>
    </font>
    <font>
      <sz val="10"/>
      <color indexed="60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name val="lr oSVbN"/>
      <family val="3"/>
      <charset val="222"/>
    </font>
    <font>
      <sz val="14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7.7"/>
      <color indexed="12"/>
      <name val="MS P????"/>
      <family val="3"/>
    </font>
    <font>
      <u/>
      <sz val="8.25"/>
      <color indexed="12"/>
      <name val="MS P????"/>
      <family val="3"/>
    </font>
    <font>
      <sz val="11"/>
      <color indexed="52"/>
      <name val="ＭＳ Ｐゴシック"/>
      <family val="3"/>
      <charset val="128"/>
    </font>
    <font>
      <sz val="11"/>
      <name val="ＭＳ Ｐゴシック"/>
      <family val="3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7.7"/>
      <color indexed="36"/>
      <name val="MS P????"/>
      <family val="3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?? ?????"/>
      <family val="3"/>
    </font>
    <font>
      <b/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10">
    <xf numFmtId="0" fontId="0" fillId="0" borderId="0"/>
    <xf numFmtId="0" fontId="1" fillId="0" borderId="0"/>
    <xf numFmtId="0" fontId="28" fillId="0" borderId="0"/>
    <xf numFmtId="44" fontId="29" fillId="0" borderId="0" applyFont="0" applyFill="0" applyBorder="0" applyAlignment="0" applyProtection="0"/>
    <xf numFmtId="171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0" fontId="30" fillId="0" borderId="0"/>
    <xf numFmtId="0" fontId="31" fillId="0" borderId="0"/>
    <xf numFmtId="0" fontId="1" fillId="0" borderId="0"/>
    <xf numFmtId="193" fontId="32" fillId="0" borderId="0" applyFont="0" applyFill="0" applyBorder="0" applyAlignment="0" applyProtection="0"/>
    <xf numFmtId="192" fontId="32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32" fillId="0" borderId="0"/>
    <xf numFmtId="195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2" fontId="50" fillId="0" borderId="0" applyFont="0" applyFill="0" applyBorder="0" applyAlignment="0" applyProtection="0"/>
    <xf numFmtId="193" fontId="5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50" fillId="0" borderId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0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0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0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0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0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0" fillId="7" borderId="0" applyNumberFormat="0" applyBorder="0" applyAlignment="0" applyProtection="0"/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0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0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0" fillId="10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0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0" fillId="8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0" fillId="11" borderId="0" applyNumberFormat="0" applyBorder="0" applyAlignment="0" applyProtection="0"/>
    <xf numFmtId="0" fontId="36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11" fillId="12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11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11" fillId="10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1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11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11" fillId="15" borderId="0" applyNumberFormat="0" applyBorder="0" applyAlignment="0" applyProtection="0"/>
    <xf numFmtId="0" fontId="38" fillId="12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11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1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11" fillId="18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1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11" fillId="14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11" fillId="19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12" fillId="3" borderId="0" applyNumberFormat="0" applyBorder="0" applyAlignment="0" applyProtection="0"/>
    <xf numFmtId="41" fontId="40" fillId="0" borderId="0" applyFill="0" applyBorder="0" applyAlignment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13" fillId="20" borderId="1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14" fillId="21" borderId="2" applyNumberFormat="0" applyAlignment="0" applyProtection="0"/>
    <xf numFmtId="0" fontId="43" fillId="0" borderId="0"/>
    <xf numFmtId="38" fontId="44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202" fontId="46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188" fontId="48" fillId="0" borderId="0"/>
    <xf numFmtId="0" fontId="43" fillId="0" borderId="0"/>
    <xf numFmtId="0" fontId="43" fillId="0" borderId="0"/>
    <xf numFmtId="189" fontId="48" fillId="0" borderId="0"/>
    <xf numFmtId="190" fontId="48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16" fillId="4" borderId="0" applyNumberFormat="0" applyBorder="0" applyAlignment="0" applyProtection="0"/>
    <xf numFmtId="38" fontId="52" fillId="22" borderId="0" applyNumberFormat="0" applyBorder="0" applyAlignment="0" applyProtection="0"/>
    <xf numFmtId="0" fontId="3" fillId="0" borderId="3" applyNumberFormat="0" applyAlignment="0" applyProtection="0">
      <alignment horizontal="left" vertical="center"/>
    </xf>
    <xf numFmtId="0" fontId="3" fillId="0" borderId="4">
      <alignment horizontal="left" vertical="center"/>
    </xf>
    <xf numFmtId="37" fontId="53" fillId="0" borderId="5" applyBorder="0" applyAlignment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17" fillId="0" borderId="6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8" fillId="0" borderId="7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19" fillId="0" borderId="8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10" fontId="52" fillId="23" borderId="9" applyNumberFormat="0" applyBorder="0" applyAlignment="0" applyProtection="0"/>
    <xf numFmtId="0" fontId="20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20" fillId="7" borderId="1" applyNumberFormat="0" applyAlignment="0" applyProtection="0"/>
    <xf numFmtId="1" fontId="59" fillId="0" borderId="0" applyProtection="0">
      <protection locked="0"/>
    </xf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21" fillId="0" borderId="10" applyNumberFormat="0" applyFill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22" fillId="24" borderId="0" applyNumberFormat="0" applyBorder="0" applyAlignment="0" applyProtection="0"/>
    <xf numFmtId="37" fontId="63" fillId="0" borderId="0"/>
    <xf numFmtId="37" fontId="1" fillId="0" borderId="11"/>
    <xf numFmtId="191" fontId="64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0" fillId="0" borderId="0"/>
    <xf numFmtId="0" fontId="35" fillId="0" borderId="0"/>
    <xf numFmtId="0" fontId="10" fillId="0" borderId="0"/>
    <xf numFmtId="0" fontId="1" fillId="0" borderId="0"/>
    <xf numFmtId="0" fontId="10" fillId="0" borderId="0"/>
    <xf numFmtId="0" fontId="27" fillId="0" borderId="0"/>
    <xf numFmtId="0" fontId="27" fillId="0" borderId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1" fillId="25" borderId="12" applyNumberFormat="0" applyFon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23" fillId="20" borderId="13" applyNumberFormat="0" applyAlignment="0" applyProtection="0"/>
    <xf numFmtId="196" fontId="50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14" applyNumberFormat="0" applyBorder="0"/>
    <xf numFmtId="1" fontId="27" fillId="0" borderId="15" applyNumberFormat="0" applyFill="0" applyAlignment="0" applyProtection="0">
      <alignment horizontal="center" vertical="center"/>
    </xf>
    <xf numFmtId="37" fontId="2" fillId="1" borderId="11"/>
    <xf numFmtId="37" fontId="66" fillId="1" borderId="11"/>
    <xf numFmtId="0" fontId="1" fillId="0" borderId="0"/>
    <xf numFmtId="0" fontId="9" fillId="0" borderId="0" applyFill="0" applyBorder="0" applyProtection="0">
      <alignment horizontal="left" vertical="top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25" fillId="0" borderId="16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2" fontId="70" fillId="0" borderId="17">
      <protection locked="0"/>
    </xf>
    <xf numFmtId="0" fontId="71" fillId="0" borderId="0" applyNumberFormat="0" applyFill="0" applyBorder="0" applyAlignment="0" applyProtection="0">
      <alignment vertical="center"/>
    </xf>
    <xf numFmtId="0" fontId="72" fillId="21" borderId="2" applyNumberFormat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36" fillId="25" borderId="12" applyNumberFormat="0" applyFont="0" applyAlignment="0" applyProtection="0">
      <alignment vertical="center"/>
    </xf>
    <xf numFmtId="0" fontId="77" fillId="0" borderId="10" applyNumberFormat="0" applyFill="0" applyAlignment="0" applyProtection="0">
      <alignment vertical="center"/>
    </xf>
    <xf numFmtId="38" fontId="50" fillId="0" borderId="0" applyFont="0" applyFill="0" applyBorder="0" applyAlignment="0" applyProtection="0"/>
    <xf numFmtId="40" fontId="69" fillId="0" borderId="0" applyFont="0" applyFill="0" applyBorder="0" applyAlignment="0" applyProtection="0"/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50" fillId="0" borderId="0"/>
    <xf numFmtId="0" fontId="4" fillId="0" borderId="0"/>
    <xf numFmtId="0" fontId="78" fillId="0" borderId="0"/>
    <xf numFmtId="0" fontId="79" fillId="7" borderId="1" applyNumberFormat="0" applyAlignment="0" applyProtection="0">
      <alignment vertical="center"/>
    </xf>
    <xf numFmtId="0" fontId="80" fillId="20" borderId="13" applyNumberFormat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2" fillId="0" borderId="0"/>
    <xf numFmtId="17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83" fillId="0" borderId="0"/>
    <xf numFmtId="169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0" fontId="84" fillId="4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6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9" fillId="0" borderId="8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20" borderId="1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97" fontId="93" fillId="0" borderId="0" applyFont="0" applyFill="0" applyBorder="0" applyAlignment="0" applyProtection="0"/>
    <xf numFmtId="198" fontId="93" fillId="0" borderId="0" applyFont="0" applyFill="0" applyBorder="0" applyAlignment="0" applyProtection="0"/>
    <xf numFmtId="0" fontId="94" fillId="0" borderId="16" applyNumberFormat="0" applyFill="0" applyAlignment="0" applyProtection="0">
      <alignment vertical="center"/>
    </xf>
  </cellStyleXfs>
  <cellXfs count="26">
    <xf numFmtId="0" fontId="0" fillId="0" borderId="0" xfId="0"/>
    <xf numFmtId="0" fontId="6" fillId="0" borderId="0" xfId="484" applyFont="1"/>
    <xf numFmtId="0" fontId="6" fillId="0" borderId="18" xfId="484" applyFont="1" applyBorder="1" applyAlignment="1">
      <alignment horizontal="left"/>
    </xf>
    <xf numFmtId="0" fontId="6" fillId="0" borderId="19" xfId="484" applyFont="1" applyBorder="1" applyAlignment="1">
      <alignment horizontal="left"/>
    </xf>
    <xf numFmtId="0" fontId="6" fillId="0" borderId="20" xfId="484" applyFont="1" applyBorder="1" applyAlignment="1">
      <alignment horizontal="left"/>
    </xf>
    <xf numFmtId="0" fontId="6" fillId="0" borderId="21" xfId="484" applyFont="1" applyBorder="1" applyAlignment="1">
      <alignment horizontal="left"/>
    </xf>
    <xf numFmtId="0" fontId="6" fillId="0" borderId="15" xfId="484" applyFont="1" applyBorder="1" applyAlignment="1">
      <alignment horizontal="left"/>
    </xf>
    <xf numFmtId="0" fontId="6" fillId="0" borderId="22" xfId="484" applyFont="1" applyBorder="1" applyAlignment="1">
      <alignment horizontal="left"/>
    </xf>
    <xf numFmtId="0" fontId="6" fillId="0" borderId="0" xfId="484" applyFont="1" applyBorder="1" applyAlignment="1">
      <alignment horizontal="left"/>
    </xf>
    <xf numFmtId="0" fontId="6" fillId="0" borderId="23" xfId="484" applyFont="1" applyBorder="1" applyAlignment="1">
      <alignment horizontal="left"/>
    </xf>
    <xf numFmtId="0" fontId="6" fillId="0" borderId="24" xfId="484" applyFont="1" applyBorder="1" applyAlignment="1">
      <alignment horizontal="left"/>
    </xf>
    <xf numFmtId="0" fontId="6" fillId="0" borderId="25" xfId="484" applyFont="1" applyBorder="1" applyAlignment="1">
      <alignment horizontal="left"/>
    </xf>
    <xf numFmtId="0" fontId="6" fillId="0" borderId="26" xfId="484" applyFont="1" applyBorder="1" applyAlignment="1">
      <alignment horizontal="left"/>
    </xf>
    <xf numFmtId="0" fontId="5" fillId="26" borderId="27" xfId="484" applyFont="1" applyFill="1" applyBorder="1" applyAlignment="1">
      <alignment horizontal="center"/>
    </xf>
    <xf numFmtId="0" fontId="6" fillId="0" borderId="0" xfId="484" applyFont="1" applyAlignment="1">
      <alignment horizontal="left"/>
    </xf>
    <xf numFmtId="0" fontId="5" fillId="26" borderId="27" xfId="484" applyFont="1" applyFill="1" applyBorder="1" applyAlignment="1">
      <alignment horizontal="left"/>
    </xf>
    <xf numFmtId="0" fontId="6" fillId="0" borderId="18" xfId="484" applyNumberFormat="1" applyFont="1" applyBorder="1" applyAlignment="1">
      <alignment horizontal="center"/>
    </xf>
    <xf numFmtId="0" fontId="6" fillId="0" borderId="15" xfId="484" applyNumberFormat="1" applyFont="1" applyBorder="1" applyAlignment="1">
      <alignment horizontal="center"/>
    </xf>
    <xf numFmtId="0" fontId="6" fillId="0" borderId="22" xfId="484" applyNumberFormat="1" applyFont="1" applyBorder="1" applyAlignment="1">
      <alignment horizontal="center"/>
    </xf>
    <xf numFmtId="0" fontId="6" fillId="0" borderId="24" xfId="484" applyNumberFormat="1" applyFont="1" applyBorder="1" applyAlignment="1">
      <alignment horizontal="center"/>
    </xf>
    <xf numFmtId="49" fontId="6" fillId="0" borderId="18" xfId="484" applyNumberFormat="1" applyFont="1" applyBorder="1" applyAlignment="1">
      <alignment horizontal="center"/>
    </xf>
    <xf numFmtId="49" fontId="6" fillId="0" borderId="15" xfId="484" applyNumberFormat="1" applyFont="1" applyBorder="1" applyAlignment="1">
      <alignment horizontal="center"/>
    </xf>
    <xf numFmtId="49" fontId="6" fillId="0" borderId="15" xfId="484" applyNumberFormat="1" applyFont="1" applyFill="1" applyBorder="1" applyAlignment="1">
      <alignment horizontal="center"/>
    </xf>
    <xf numFmtId="1" fontId="6" fillId="0" borderId="15" xfId="484" applyNumberFormat="1" applyFont="1" applyBorder="1" applyAlignment="1">
      <alignment horizontal="center"/>
    </xf>
    <xf numFmtId="49" fontId="6" fillId="0" borderId="28" xfId="484" applyNumberFormat="1" applyFont="1" applyBorder="1" applyAlignment="1">
      <alignment horizontal="center"/>
    </xf>
    <xf numFmtId="0" fontId="6" fillId="0" borderId="28" xfId="484" applyFont="1" applyBorder="1" applyAlignment="1">
      <alignment horizontal="left"/>
    </xf>
  </cellXfs>
  <cellStyles count="510">
    <cellStyle name="%" xfId="1"/>
    <cellStyle name="??" xfId="2"/>
    <cellStyle name="?? [0.00]_laroux" xfId="3"/>
    <cellStyle name="???? [0.00]_laroux" xfId="4"/>
    <cellStyle name="????_laroux" xfId="5"/>
    <cellStyle name="??_16210-67030??" xfId="6"/>
    <cellStyle name="?W準_Sheet1_1" xfId="7"/>
    <cellStyle name="_as400 11.4" xfId="8"/>
    <cellStyle name="’Ê‰Ý [0.00]_TMCA Spreadsheet(body)" xfId="9"/>
    <cellStyle name="’Ê‰Ý_TMCA Spreadsheet(body)" xfId="10"/>
    <cellStyle name="•\????nCp[“N" xfId="11"/>
    <cellStyle name="•W€_?i??•\ 40F‘??_V©E”?‘?”?•\ (2)" xfId="12"/>
    <cellStyle name="•W_AG LEADTIME SURVY" xfId="13"/>
    <cellStyle name="æØè [0.00]_PERSONAL" xfId="14"/>
    <cellStyle name="æØè_PERSONAL" xfId="15"/>
    <cellStyle name="ÊÝ [0.00]_laroux" xfId="16"/>
    <cellStyle name="ÊÝ_laroux" xfId="17"/>
    <cellStyle name="nCp[“N" xfId="18"/>
    <cellStyle name="W_16210-67030" xfId="19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1 7" xfId="25"/>
    <cellStyle name="20% - Accent1 8" xfId="26"/>
    <cellStyle name="20% - Accent1 9" xfId="27"/>
    <cellStyle name="20% - Accent2 2" xfId="28"/>
    <cellStyle name="20% - Accent2 3" xfId="29"/>
    <cellStyle name="20% - Accent2 4" xfId="30"/>
    <cellStyle name="20% - Accent2 5" xfId="31"/>
    <cellStyle name="20% - Accent2 6" xfId="32"/>
    <cellStyle name="20% - Accent2 7" xfId="33"/>
    <cellStyle name="20% - Accent2 8" xfId="34"/>
    <cellStyle name="20% - Accent2 9" xfId="35"/>
    <cellStyle name="20% - Accent3 2" xfId="36"/>
    <cellStyle name="20% - Accent3 3" xfId="37"/>
    <cellStyle name="20% - Accent3 4" xfId="38"/>
    <cellStyle name="20% - Accent3 5" xfId="39"/>
    <cellStyle name="20% - Accent3 6" xfId="40"/>
    <cellStyle name="20% - Accent3 7" xfId="41"/>
    <cellStyle name="20% - Accent3 8" xfId="42"/>
    <cellStyle name="20% - Accent3 9" xfId="43"/>
    <cellStyle name="20% - Accent4 2" xfId="44"/>
    <cellStyle name="20% - Accent4 3" xfId="45"/>
    <cellStyle name="20% - Accent4 4" xfId="46"/>
    <cellStyle name="20% - Accent4 5" xfId="47"/>
    <cellStyle name="20% - Accent4 6" xfId="48"/>
    <cellStyle name="20% - Accent4 7" xfId="49"/>
    <cellStyle name="20% - Accent4 8" xfId="50"/>
    <cellStyle name="20% - Accent4 9" xfId="51"/>
    <cellStyle name="20% - Accent5 2" xfId="52"/>
    <cellStyle name="20% - Accent5 3" xfId="53"/>
    <cellStyle name="20% - Accent5 4" xfId="54"/>
    <cellStyle name="20% - Accent5 5" xfId="55"/>
    <cellStyle name="20% - Accent5 6" xfId="56"/>
    <cellStyle name="20% - Accent5 7" xfId="57"/>
    <cellStyle name="20% - Accent5 8" xfId="58"/>
    <cellStyle name="20% - Accent5 9" xfId="59"/>
    <cellStyle name="20% - Accent6 2" xfId="60"/>
    <cellStyle name="20% - Accent6 3" xfId="61"/>
    <cellStyle name="20% - Accent6 4" xfId="62"/>
    <cellStyle name="20% - Accent6 5" xfId="63"/>
    <cellStyle name="20% - Accent6 6" xfId="64"/>
    <cellStyle name="20% - Accent6 7" xfId="65"/>
    <cellStyle name="20% - Accent6 8" xfId="66"/>
    <cellStyle name="20% - Accent6 9" xfId="67"/>
    <cellStyle name="20% - アクセント 1" xfId="68"/>
    <cellStyle name="20% - アクセント 2" xfId="69"/>
    <cellStyle name="20% - アクセント 3" xfId="70"/>
    <cellStyle name="20% - アクセント 4" xfId="71"/>
    <cellStyle name="20% - アクセント 5" xfId="72"/>
    <cellStyle name="20% - アクセント 6" xfId="73"/>
    <cellStyle name="40% - Accent1 2" xfId="74"/>
    <cellStyle name="40% - Accent1 3" xfId="75"/>
    <cellStyle name="40% - Accent1 4" xfId="76"/>
    <cellStyle name="40% - Accent1 5" xfId="77"/>
    <cellStyle name="40% - Accent1 6" xfId="78"/>
    <cellStyle name="40% - Accent1 7" xfId="79"/>
    <cellStyle name="40% - Accent1 8" xfId="80"/>
    <cellStyle name="40% - Accent1 9" xfId="81"/>
    <cellStyle name="40% - Accent2 2" xfId="82"/>
    <cellStyle name="40% - Accent2 3" xfId="83"/>
    <cellStyle name="40% - Accent2 4" xfId="84"/>
    <cellStyle name="40% - Accent2 5" xfId="85"/>
    <cellStyle name="40% - Accent2 6" xfId="86"/>
    <cellStyle name="40% - Accent2 7" xfId="87"/>
    <cellStyle name="40% - Accent2 8" xfId="88"/>
    <cellStyle name="40% - Accent2 9" xfId="89"/>
    <cellStyle name="40% - Accent3 2" xfId="90"/>
    <cellStyle name="40% - Accent3 3" xfId="91"/>
    <cellStyle name="40% - Accent3 4" xfId="92"/>
    <cellStyle name="40% - Accent3 5" xfId="93"/>
    <cellStyle name="40% - Accent3 6" xfId="94"/>
    <cellStyle name="40% - Accent3 7" xfId="95"/>
    <cellStyle name="40% - Accent3 8" xfId="96"/>
    <cellStyle name="40% - Accent3 9" xfId="97"/>
    <cellStyle name="40% - Accent4 2" xfId="98"/>
    <cellStyle name="40% - Accent4 3" xfId="99"/>
    <cellStyle name="40% - Accent4 4" xfId="100"/>
    <cellStyle name="40% - Accent4 5" xfId="101"/>
    <cellStyle name="40% - Accent4 6" xfId="102"/>
    <cellStyle name="40% - Accent4 7" xfId="103"/>
    <cellStyle name="40% - Accent4 8" xfId="104"/>
    <cellStyle name="40% - Accent4 9" xfId="105"/>
    <cellStyle name="40% - Accent5 2" xfId="106"/>
    <cellStyle name="40% - Accent5 3" xfId="107"/>
    <cellStyle name="40% - Accent5 4" xfId="108"/>
    <cellStyle name="40% - Accent5 5" xfId="109"/>
    <cellStyle name="40% - Accent5 6" xfId="110"/>
    <cellStyle name="40% - Accent5 7" xfId="111"/>
    <cellStyle name="40% - Accent5 8" xfId="112"/>
    <cellStyle name="40% - Accent5 9" xfId="113"/>
    <cellStyle name="40% - Accent6 2" xfId="114"/>
    <cellStyle name="40% - Accent6 3" xfId="115"/>
    <cellStyle name="40% - Accent6 4" xfId="116"/>
    <cellStyle name="40% - Accent6 5" xfId="117"/>
    <cellStyle name="40% - Accent6 6" xfId="118"/>
    <cellStyle name="40% - Accent6 7" xfId="119"/>
    <cellStyle name="40% - Accent6 8" xfId="120"/>
    <cellStyle name="40% - Accent6 9" xfId="121"/>
    <cellStyle name="40% - アクセント 1" xfId="122"/>
    <cellStyle name="40% - アクセント 2" xfId="123"/>
    <cellStyle name="40% - アクセント 3" xfId="124"/>
    <cellStyle name="40% - アクセント 4" xfId="125"/>
    <cellStyle name="40% - アクセント 5" xfId="126"/>
    <cellStyle name="40% - アクセント 6" xfId="127"/>
    <cellStyle name="60% - Accent1 2" xfId="128"/>
    <cellStyle name="60% - Accent1 3" xfId="129"/>
    <cellStyle name="60% - Accent1 4" xfId="130"/>
    <cellStyle name="60% - Accent1 5" xfId="131"/>
    <cellStyle name="60% - Accent1 6" xfId="132"/>
    <cellStyle name="60% - Accent1 7" xfId="133"/>
    <cellStyle name="60% - Accent1 8" xfId="134"/>
    <cellStyle name="60% - Accent1 9" xfId="135"/>
    <cellStyle name="60% - Accent2 2" xfId="136"/>
    <cellStyle name="60% - Accent2 3" xfId="137"/>
    <cellStyle name="60% - Accent2 4" xfId="138"/>
    <cellStyle name="60% - Accent2 5" xfId="139"/>
    <cellStyle name="60% - Accent2 6" xfId="140"/>
    <cellStyle name="60% - Accent2 7" xfId="141"/>
    <cellStyle name="60% - Accent2 8" xfId="142"/>
    <cellStyle name="60% - Accent2 9" xfId="143"/>
    <cellStyle name="60% - Accent3 2" xfId="144"/>
    <cellStyle name="60% - Accent3 3" xfId="145"/>
    <cellStyle name="60% - Accent3 4" xfId="146"/>
    <cellStyle name="60% - Accent3 5" xfId="147"/>
    <cellStyle name="60% - Accent3 6" xfId="148"/>
    <cellStyle name="60% - Accent3 7" xfId="149"/>
    <cellStyle name="60% - Accent3 8" xfId="150"/>
    <cellStyle name="60% - Accent3 9" xfId="151"/>
    <cellStyle name="60% - Accent4 2" xfId="152"/>
    <cellStyle name="60% - Accent4 3" xfId="153"/>
    <cellStyle name="60% - Accent4 4" xfId="154"/>
    <cellStyle name="60% - Accent4 5" xfId="155"/>
    <cellStyle name="60% - Accent4 6" xfId="156"/>
    <cellStyle name="60% - Accent4 7" xfId="157"/>
    <cellStyle name="60% - Accent4 8" xfId="158"/>
    <cellStyle name="60% - Accent4 9" xfId="159"/>
    <cellStyle name="60% - Accent5 2" xfId="160"/>
    <cellStyle name="60% - Accent5 3" xfId="161"/>
    <cellStyle name="60% - Accent5 4" xfId="162"/>
    <cellStyle name="60% - Accent5 5" xfId="163"/>
    <cellStyle name="60% - Accent5 6" xfId="164"/>
    <cellStyle name="60% - Accent5 7" xfId="165"/>
    <cellStyle name="60% - Accent5 8" xfId="166"/>
    <cellStyle name="60% - Accent5 9" xfId="167"/>
    <cellStyle name="60% - Accent6 2" xfId="168"/>
    <cellStyle name="60% - Accent6 3" xfId="169"/>
    <cellStyle name="60% - Accent6 4" xfId="170"/>
    <cellStyle name="60% - Accent6 5" xfId="171"/>
    <cellStyle name="60% - Accent6 6" xfId="172"/>
    <cellStyle name="60% - Accent6 7" xfId="173"/>
    <cellStyle name="60% - Accent6 8" xfId="174"/>
    <cellStyle name="60% - Accent6 9" xfId="175"/>
    <cellStyle name="60% - アクセント 1" xfId="176"/>
    <cellStyle name="60% - アクセント 2" xfId="177"/>
    <cellStyle name="60% - アクセント 3" xfId="178"/>
    <cellStyle name="60% - アクセント 4" xfId="179"/>
    <cellStyle name="60% - アクセント 5" xfId="180"/>
    <cellStyle name="60% - アクセント 6" xfId="181"/>
    <cellStyle name="Accent1 2" xfId="182"/>
    <cellStyle name="Accent1 3" xfId="183"/>
    <cellStyle name="Accent1 4" xfId="184"/>
    <cellStyle name="Accent1 5" xfId="185"/>
    <cellStyle name="Accent1 6" xfId="186"/>
    <cellStyle name="Accent1 7" xfId="187"/>
    <cellStyle name="Accent1 8" xfId="188"/>
    <cellStyle name="Accent1 9" xfId="189"/>
    <cellStyle name="Accent2 2" xfId="190"/>
    <cellStyle name="Accent2 3" xfId="191"/>
    <cellStyle name="Accent2 4" xfId="192"/>
    <cellStyle name="Accent2 5" xfId="193"/>
    <cellStyle name="Accent2 6" xfId="194"/>
    <cellStyle name="Accent2 7" xfId="195"/>
    <cellStyle name="Accent2 8" xfId="196"/>
    <cellStyle name="Accent2 9" xfId="197"/>
    <cellStyle name="Accent3 2" xfId="198"/>
    <cellStyle name="Accent3 3" xfId="199"/>
    <cellStyle name="Accent3 4" xfId="200"/>
    <cellStyle name="Accent3 5" xfId="201"/>
    <cellStyle name="Accent3 6" xfId="202"/>
    <cellStyle name="Accent3 7" xfId="203"/>
    <cellStyle name="Accent3 8" xfId="204"/>
    <cellStyle name="Accent3 9" xfId="205"/>
    <cellStyle name="Accent4 2" xfId="206"/>
    <cellStyle name="Accent4 3" xfId="207"/>
    <cellStyle name="Accent4 4" xfId="208"/>
    <cellStyle name="Accent4 5" xfId="209"/>
    <cellStyle name="Accent4 6" xfId="210"/>
    <cellStyle name="Accent4 7" xfId="211"/>
    <cellStyle name="Accent4 8" xfId="212"/>
    <cellStyle name="Accent4 9" xfId="213"/>
    <cellStyle name="Accent5 2" xfId="214"/>
    <cellStyle name="Accent5 3" xfId="215"/>
    <cellStyle name="Accent5 4" xfId="216"/>
    <cellStyle name="Accent5 5" xfId="217"/>
    <cellStyle name="Accent5 6" xfId="218"/>
    <cellStyle name="Accent5 7" xfId="219"/>
    <cellStyle name="Accent5 8" xfId="220"/>
    <cellStyle name="Accent5 9" xfId="221"/>
    <cellStyle name="Accent6 2" xfId="222"/>
    <cellStyle name="Accent6 3" xfId="223"/>
    <cellStyle name="Accent6 4" xfId="224"/>
    <cellStyle name="Accent6 5" xfId="225"/>
    <cellStyle name="Accent6 6" xfId="226"/>
    <cellStyle name="Accent6 7" xfId="227"/>
    <cellStyle name="Accent6 8" xfId="228"/>
    <cellStyle name="Accent6 9" xfId="229"/>
    <cellStyle name="Bad 2" xfId="230"/>
    <cellStyle name="Bad 3" xfId="231"/>
    <cellStyle name="Bad 4" xfId="232"/>
    <cellStyle name="Bad 5" xfId="233"/>
    <cellStyle name="Bad 6" xfId="234"/>
    <cellStyle name="Bad 7" xfId="235"/>
    <cellStyle name="Bad 8" xfId="236"/>
    <cellStyle name="Bad 9" xfId="237"/>
    <cellStyle name="Calc Currency (0)" xfId="238"/>
    <cellStyle name="Calculation 2" xfId="239"/>
    <cellStyle name="Calculation 3" xfId="240"/>
    <cellStyle name="Calculation 4" xfId="241"/>
    <cellStyle name="Calculation 5" xfId="242"/>
    <cellStyle name="Calculation 6" xfId="243"/>
    <cellStyle name="Calculation 7" xfId="244"/>
    <cellStyle name="Calculation 8" xfId="245"/>
    <cellStyle name="Calculation 9" xfId="246"/>
    <cellStyle name="Check Cell 2" xfId="247"/>
    <cellStyle name="Check Cell 3" xfId="248"/>
    <cellStyle name="Check Cell 4" xfId="249"/>
    <cellStyle name="Check Cell 5" xfId="250"/>
    <cellStyle name="Check Cell 6" xfId="251"/>
    <cellStyle name="Check Cell 7" xfId="252"/>
    <cellStyle name="Check Cell 8" xfId="253"/>
    <cellStyle name="Check Cell 9" xfId="254"/>
    <cellStyle name="Comma  - Style1" xfId="255"/>
    <cellStyle name="Comma [0] 2" xfId="256"/>
    <cellStyle name="Comma 10" xfId="257"/>
    <cellStyle name="Comma 11" xfId="258"/>
    <cellStyle name="Comma 12" xfId="259"/>
    <cellStyle name="Comma 13" xfId="260"/>
    <cellStyle name="Comma 14" xfId="261"/>
    <cellStyle name="Comma 15" xfId="262"/>
    <cellStyle name="Comma 16" xfId="263"/>
    <cellStyle name="Comma 17" xfId="264"/>
    <cellStyle name="Comma 18" xfId="265"/>
    <cellStyle name="Comma 19" xfId="266"/>
    <cellStyle name="Comma 2" xfId="267"/>
    <cellStyle name="Comma 2 2" xfId="268"/>
    <cellStyle name="Comma 2 3" xfId="269"/>
    <cellStyle name="Comma 2 4" xfId="270"/>
    <cellStyle name="Comma 2 5" xfId="271"/>
    <cellStyle name="Comma 2 6" xfId="272"/>
    <cellStyle name="Comma 2 7" xfId="273"/>
    <cellStyle name="Comma 2 8" xfId="274"/>
    <cellStyle name="Comma 2 9" xfId="275"/>
    <cellStyle name="Comma 2_03 DAILY FINISH GOOD STOCK MARCH  2009" xfId="276"/>
    <cellStyle name="Comma 20" xfId="277"/>
    <cellStyle name="Comma 3" xfId="278"/>
    <cellStyle name="Comma 4" xfId="279"/>
    <cellStyle name="Comma 4 2" xfId="280"/>
    <cellStyle name="Comma 4_Finishgoods  inventory 2009" xfId="281"/>
    <cellStyle name="Comma 5" xfId="282"/>
    <cellStyle name="Comma 6" xfId="283"/>
    <cellStyle name="Comma 7" xfId="284"/>
    <cellStyle name="Comma 8" xfId="285"/>
    <cellStyle name="Comma 9" xfId="286"/>
    <cellStyle name="comma zerodec" xfId="287"/>
    <cellStyle name="Curren - Style3" xfId="288"/>
    <cellStyle name="Curren - Style4" xfId="289"/>
    <cellStyle name="Currency1" xfId="290"/>
    <cellStyle name="Dollar (zero dec)" xfId="291"/>
    <cellStyle name="Explanatory Text 2" xfId="292"/>
    <cellStyle name="Explanatory Text 3" xfId="293"/>
    <cellStyle name="Explanatory Text 4" xfId="294"/>
    <cellStyle name="Explanatory Text 5" xfId="295"/>
    <cellStyle name="Explanatory Text 6" xfId="296"/>
    <cellStyle name="Explanatory Text 7" xfId="297"/>
    <cellStyle name="Explanatory Text 8" xfId="298"/>
    <cellStyle name="Explanatory Text 9" xfId="299"/>
    <cellStyle name="Good 2" xfId="300"/>
    <cellStyle name="Good 3" xfId="301"/>
    <cellStyle name="Good 4" xfId="302"/>
    <cellStyle name="Good 5" xfId="303"/>
    <cellStyle name="Good 6" xfId="304"/>
    <cellStyle name="Good 7" xfId="305"/>
    <cellStyle name="Good 8" xfId="306"/>
    <cellStyle name="Good 9" xfId="307"/>
    <cellStyle name="Grey" xfId="308"/>
    <cellStyle name="Header1" xfId="309"/>
    <cellStyle name="Header2" xfId="310"/>
    <cellStyle name="Heading" xfId="311"/>
    <cellStyle name="Heading 1 2" xfId="312"/>
    <cellStyle name="Heading 1 3" xfId="313"/>
    <cellStyle name="Heading 1 4" xfId="314"/>
    <cellStyle name="Heading 1 5" xfId="315"/>
    <cellStyle name="Heading 1 6" xfId="316"/>
    <cellStyle name="Heading 1 7" xfId="317"/>
    <cellStyle name="Heading 1 8" xfId="318"/>
    <cellStyle name="Heading 1 9" xfId="319"/>
    <cellStyle name="Heading 2 2" xfId="320"/>
    <cellStyle name="Heading 2 3" xfId="321"/>
    <cellStyle name="Heading 2 4" xfId="322"/>
    <cellStyle name="Heading 2 5" xfId="323"/>
    <cellStyle name="Heading 2 6" xfId="324"/>
    <cellStyle name="Heading 2 7" xfId="325"/>
    <cellStyle name="Heading 2 8" xfId="326"/>
    <cellStyle name="Heading 2 9" xfId="327"/>
    <cellStyle name="Heading 3 2" xfId="328"/>
    <cellStyle name="Heading 3 3" xfId="329"/>
    <cellStyle name="Heading 3 4" xfId="330"/>
    <cellStyle name="Heading 3 5" xfId="331"/>
    <cellStyle name="Heading 3 6" xfId="332"/>
    <cellStyle name="Heading 3 7" xfId="333"/>
    <cellStyle name="Heading 3 8" xfId="334"/>
    <cellStyle name="Heading 3 9" xfId="335"/>
    <cellStyle name="Heading 4 2" xfId="336"/>
    <cellStyle name="Heading 4 3" xfId="337"/>
    <cellStyle name="Heading 4 4" xfId="338"/>
    <cellStyle name="Heading 4 5" xfId="339"/>
    <cellStyle name="Heading 4 6" xfId="340"/>
    <cellStyle name="Heading 4 7" xfId="341"/>
    <cellStyle name="Heading 4 8" xfId="342"/>
    <cellStyle name="Heading 4 9" xfId="343"/>
    <cellStyle name="Hyperlink 2" xfId="344"/>
    <cellStyle name="Input [yellow]" xfId="345"/>
    <cellStyle name="Input 10" xfId="346"/>
    <cellStyle name="Input 2" xfId="347"/>
    <cellStyle name="Input 3" xfId="348"/>
    <cellStyle name="Input 4" xfId="349"/>
    <cellStyle name="Input 5" xfId="350"/>
    <cellStyle name="Input 6" xfId="351"/>
    <cellStyle name="Input 7" xfId="352"/>
    <cellStyle name="Input 8" xfId="353"/>
    <cellStyle name="Input 9" xfId="354"/>
    <cellStyle name="KWE標準" xfId="355"/>
    <cellStyle name="Linked Cell 2" xfId="356"/>
    <cellStyle name="Linked Cell 3" xfId="357"/>
    <cellStyle name="Linked Cell 4" xfId="358"/>
    <cellStyle name="Linked Cell 5" xfId="359"/>
    <cellStyle name="Linked Cell 6" xfId="360"/>
    <cellStyle name="Linked Cell 7" xfId="361"/>
    <cellStyle name="Linked Cell 8" xfId="362"/>
    <cellStyle name="Linked Cell 9" xfId="363"/>
    <cellStyle name="Milliers [0]_AR1194" xfId="364"/>
    <cellStyle name="Milliers_AR1194" xfId="365"/>
    <cellStyle name="Mon?aire [0]_AR1194" xfId="366"/>
    <cellStyle name="Mon?aire_AR1194" xfId="367"/>
    <cellStyle name="Mon?taire [0]_AR1194" xfId="368"/>
    <cellStyle name="Mon?taire_AR1194" xfId="369"/>
    <cellStyle name="Monétaire [0]_AR1194" xfId="370"/>
    <cellStyle name="Monétaire_AR1194" xfId="371"/>
    <cellStyle name="Mon้taire [0]_AR1194" xfId="372"/>
    <cellStyle name="Mon้taire_AR1194" xfId="373"/>
    <cellStyle name="Mon騁aire [0]_AR1194" xfId="374"/>
    <cellStyle name="Mon騁aire_AR1194" xfId="375"/>
    <cellStyle name="Neutral 2" xfId="376"/>
    <cellStyle name="Neutral 3" xfId="377"/>
    <cellStyle name="Neutral 4" xfId="378"/>
    <cellStyle name="Neutral 5" xfId="379"/>
    <cellStyle name="Neutral 6" xfId="380"/>
    <cellStyle name="Neutral 7" xfId="381"/>
    <cellStyle name="Neutral 8" xfId="382"/>
    <cellStyle name="Neutral 9" xfId="383"/>
    <cellStyle name="no dec" xfId="384"/>
    <cellStyle name="norm" xfId="385"/>
    <cellStyle name="Normal" xfId="0" builtinId="0"/>
    <cellStyle name="Normal - Style1" xfId="386"/>
    <cellStyle name="Normal - Style5" xfId="387"/>
    <cellStyle name="Normal 2" xfId="388"/>
    <cellStyle name="Normal 2 2" xfId="389"/>
    <cellStyle name="Normal 2 3" xfId="390"/>
    <cellStyle name="Normal 2 4" xfId="391"/>
    <cellStyle name="Normal 2 5" xfId="392"/>
    <cellStyle name="Normal 2 6" xfId="393"/>
    <cellStyle name="Normal 2 7" xfId="394"/>
    <cellStyle name="Normal 2 8" xfId="395"/>
    <cellStyle name="Normal 2 9" xfId="396"/>
    <cellStyle name="Normal 2_03 DAILY FINISH GOOD STOCK MARCH  2009" xfId="397"/>
    <cellStyle name="Normal 25" xfId="398"/>
    <cellStyle name="Normal 25 10" xfId="399"/>
    <cellStyle name="Normal 25 2 2 2 2 2 18" xfId="400"/>
    <cellStyle name="Normal 25 7" xfId="401"/>
    <cellStyle name="Normal 3" xfId="402"/>
    <cellStyle name="Normal 3 2" xfId="403"/>
    <cellStyle name="Normal 3_08'05 MRP Plant A Brake 2" xfId="404"/>
    <cellStyle name="Normal 4" xfId="405"/>
    <cellStyle name="Normal 4 2" xfId="406"/>
    <cellStyle name="Normal 4_0901-CPF Report of Jan'09(Revise1)" xfId="407"/>
    <cellStyle name="Normal 5" xfId="408"/>
    <cellStyle name="Normal 6" xfId="409"/>
    <cellStyle name="Normal 7" xfId="410"/>
    <cellStyle name="Normal 8" xfId="411"/>
    <cellStyle name="Normal 9" xfId="412"/>
    <cellStyle name="Note 2" xfId="413"/>
    <cellStyle name="Note 3" xfId="414"/>
    <cellStyle name="Note 4" xfId="415"/>
    <cellStyle name="Note 5" xfId="416"/>
    <cellStyle name="Note 6" xfId="417"/>
    <cellStyle name="Note 7" xfId="418"/>
    <cellStyle name="Note 8" xfId="419"/>
    <cellStyle name="Note 9" xfId="420"/>
    <cellStyle name="Output 2" xfId="421"/>
    <cellStyle name="Output 3" xfId="422"/>
    <cellStyle name="Output 4" xfId="423"/>
    <cellStyle name="Output 5" xfId="424"/>
    <cellStyle name="Output 6" xfId="425"/>
    <cellStyle name="Output 7" xfId="426"/>
    <cellStyle name="Output 8" xfId="427"/>
    <cellStyle name="Output 9" xfId="428"/>
    <cellStyle name="Percent (0)" xfId="429"/>
    <cellStyle name="Percent [2]" xfId="430"/>
    <cellStyle name="Percent 2" xfId="431"/>
    <cellStyle name="Percent 3" xfId="432"/>
    <cellStyle name="Percent 4" xfId="433"/>
    <cellStyle name="PERCENTAGE" xfId="434"/>
    <cellStyle name="Quantity" xfId="435"/>
    <cellStyle name="revisi" xfId="436"/>
    <cellStyle name="Shade" xfId="437"/>
    <cellStyle name="Style 1" xfId="438"/>
    <cellStyle name="Tickmark" xfId="439"/>
    <cellStyle name="Title 2" xfId="440"/>
    <cellStyle name="Title 3" xfId="441"/>
    <cellStyle name="Title 4" xfId="442"/>
    <cellStyle name="Title 5" xfId="443"/>
    <cellStyle name="Title 6" xfId="444"/>
    <cellStyle name="Title 7" xfId="445"/>
    <cellStyle name="Title 8" xfId="446"/>
    <cellStyle name="Title 9" xfId="447"/>
    <cellStyle name="Total 2" xfId="448"/>
    <cellStyle name="Total 3" xfId="449"/>
    <cellStyle name="Total 4" xfId="450"/>
    <cellStyle name="Total 5" xfId="451"/>
    <cellStyle name="Total 6" xfId="452"/>
    <cellStyle name="Total 7" xfId="453"/>
    <cellStyle name="Total 8" xfId="454"/>
    <cellStyle name="Total 9" xfId="455"/>
    <cellStyle name="Warning Text 2" xfId="456"/>
    <cellStyle name="Warning Text 3" xfId="457"/>
    <cellStyle name="Warning Text 4" xfId="458"/>
    <cellStyle name="Warning Text 5" xfId="459"/>
    <cellStyle name="Warning Text 6" xfId="460"/>
    <cellStyle name="Warning Text 7" xfId="461"/>
    <cellStyle name="Warning Text 8" xfId="462"/>
    <cellStyle name="Warning Text 9" xfId="463"/>
    <cellStyle name="アクセント 1" xfId="464"/>
    <cellStyle name="アクセント 2" xfId="465"/>
    <cellStyle name="アクセント 3" xfId="466"/>
    <cellStyle name="アクセント 4" xfId="467"/>
    <cellStyle name="アクセント 5" xfId="468"/>
    <cellStyle name="アクセント 6" xfId="469"/>
    <cellStyle name="ｺﾞｼｯｸ" xfId="470"/>
    <cellStyle name="タイトル" xfId="471"/>
    <cellStyle name="チェック セル" xfId="472"/>
    <cellStyle name="どちらでもない" xfId="473"/>
    <cellStyle name="ハイパーリンク" xfId="474"/>
    <cellStyle name="ハイパーリンクSheet1H" xfId="475"/>
    <cellStyle name="ハイパーリンクSheet1HECK FS " xfId="476"/>
    <cellStyle name="メモ" xfId="477"/>
    <cellStyle name="リンク セル" xfId="478"/>
    <cellStyle name="เครื่องหมายจุลภาค [0]_#3 PL 25.Oct.'01approved-P" xfId="479"/>
    <cellStyle name="เครื่องหมายจุลภาค_1-lspv feb forecast FOR PRINT" xfId="480"/>
    <cellStyle name="เครื่องหมายสกุลเงิน [0]_Excel_MD97DL" xfId="481"/>
    <cellStyle name="เครื่องหมายสกุลเงิน_Excel_MD97DL" xfId="482"/>
    <cellStyle name="ปกติ_#3 PL 25.Oct.'01approved-P" xfId="483"/>
    <cellStyle name="ปกติ_Distributor,Dealer,T1,T2 &amp; Sublet type Code" xfId="484"/>
    <cellStyle name="一般_186W見積書_Quotation of AISIN ASTRALIA 042L Door Frame--050721" xfId="485"/>
    <cellStyle name="入力" xfId="486"/>
    <cellStyle name="出力" xfId="487"/>
    <cellStyle name="悪い" xfId="488"/>
    <cellStyle name="未定義" xfId="489"/>
    <cellStyle name="桁区切り [0.00]_050608 Long sales plan" xfId="490"/>
    <cellStyle name="桁区切り_050608 Long sales plan" xfId="491"/>
    <cellStyle name="標準_03年当初年計(見本）" xfId="492"/>
    <cellStyle name="爨ﾃﾗ靉ｧﾋﾁﾒﾂｨﾘﾅﾀﾒ､ [0]_Excel_MD97DL" xfId="493"/>
    <cellStyle name="爨ﾃﾗ靉ｧﾋﾁﾒﾂｨﾘﾅﾀﾒ､_Excel_MD97DL" xfId="494"/>
    <cellStyle name="爨ﾃﾗ靉ｧﾋﾁﾒﾂﾊ｡ﾘﾅ爰ﾔｹ [0]_Excel_MD97DL" xfId="495"/>
    <cellStyle name="爨ﾃﾗ靉ｧﾋﾁﾒﾂﾊ｡ﾘﾅ爰ﾔｹ_Excel_MD97DL" xfId="496"/>
    <cellStyle name="良い" xfId="497"/>
    <cellStyle name="表示済みのハイパーリンク" xfId="498"/>
    <cellStyle name="表示済みのハイパーリンク1HECK FS DWG" xfId="499"/>
    <cellStyle name="見出し 1" xfId="500"/>
    <cellStyle name="見出し 2" xfId="501"/>
    <cellStyle name="見出し 3" xfId="502"/>
    <cellStyle name="見出し 4" xfId="503"/>
    <cellStyle name="計算" xfId="504"/>
    <cellStyle name="説明文" xfId="505"/>
    <cellStyle name="警告文" xfId="506"/>
    <cellStyle name="通貨 [0.00]_2nd Nenkei 2003-06 10 mail TMC" xfId="507"/>
    <cellStyle name="通貨_2nd Nenkei 2003-06 10 mail TMC" xfId="508"/>
    <cellStyle name="集計" xfId="5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-10\d\Sopon\TOYOTA%20warranty\Code%20&amp;%20Meaning%20in%20Warranty%20(In%20TWC%20program)\Distributor,Dealer,T1,T2%20&amp;%20Sublet%20type%20Cod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or &amp; Dealer code"/>
      <sheetName val="Distributor &amp; Dealer code (2)"/>
      <sheetName val="T1 &amp; T2 Code"/>
      <sheetName val="Sublet Type Code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workbookViewId="0">
      <selection activeCell="E2" sqref="E2"/>
    </sheetView>
  </sheetViews>
  <sheetFormatPr defaultRowHeight="12.75"/>
  <cols>
    <col min="1" max="1" width="16.42578125" style="14" bestFit="1" customWidth="1"/>
    <col min="2" max="2" width="69.42578125" style="1" bestFit="1" customWidth="1"/>
    <col min="3" max="3" width="13.5703125" style="1" customWidth="1"/>
    <col min="4" max="4" width="13.7109375" style="1" bestFit="1" customWidth="1"/>
    <col min="5" max="5" width="51.42578125" style="1" bestFit="1" customWidth="1"/>
    <col min="6" max="9" width="10.140625" style="1" customWidth="1"/>
    <col min="10" max="16384" width="9.140625" style="1"/>
  </cols>
  <sheetData>
    <row r="1" spans="1:9" ht="15" thickBot="1">
      <c r="A1" s="15" t="s">
        <v>144</v>
      </c>
      <c r="B1" s="13" t="s">
        <v>143</v>
      </c>
      <c r="C1" s="13"/>
      <c r="D1" s="13" t="s">
        <v>145</v>
      </c>
      <c r="E1" s="13" t="s">
        <v>146</v>
      </c>
      <c r="F1" s="13"/>
      <c r="G1" s="13"/>
      <c r="H1" s="13"/>
      <c r="I1" s="13"/>
    </row>
    <row r="2" spans="1:9">
      <c r="A2" s="20" t="str">
        <f>"01"</f>
        <v>01</v>
      </c>
      <c r="B2" s="2" t="s">
        <v>0</v>
      </c>
      <c r="C2" s="2"/>
      <c r="D2" s="16" t="str">
        <f>"01"</f>
        <v>01</v>
      </c>
      <c r="E2" s="3" t="s">
        <v>86</v>
      </c>
      <c r="F2" s="4"/>
      <c r="G2" s="4"/>
      <c r="H2" s="4"/>
      <c r="I2" s="5"/>
    </row>
    <row r="3" spans="1:9">
      <c r="A3" s="21" t="str">
        <f>"02"</f>
        <v>02</v>
      </c>
      <c r="B3" s="6" t="s">
        <v>1</v>
      </c>
      <c r="C3" s="6"/>
      <c r="D3" s="17" t="str">
        <f>"02"</f>
        <v>02</v>
      </c>
      <c r="E3" s="7" t="s">
        <v>87</v>
      </c>
      <c r="F3" s="8"/>
      <c r="G3" s="8"/>
      <c r="H3" s="8"/>
      <c r="I3" s="9"/>
    </row>
    <row r="4" spans="1:9">
      <c r="A4" s="21" t="str">
        <f>"03"</f>
        <v>03</v>
      </c>
      <c r="B4" s="6" t="s">
        <v>2</v>
      </c>
      <c r="C4" s="6"/>
      <c r="D4" s="17" t="str">
        <f>"10"</f>
        <v>10</v>
      </c>
      <c r="E4" s="7" t="s">
        <v>88</v>
      </c>
      <c r="F4" s="8"/>
      <c r="G4" s="8"/>
      <c r="H4" s="8"/>
      <c r="I4" s="9"/>
    </row>
    <row r="5" spans="1:9">
      <c r="A5" s="21" t="str">
        <f>"04"</f>
        <v>04</v>
      </c>
      <c r="B5" s="6" t="s">
        <v>3</v>
      </c>
      <c r="C5" s="6"/>
      <c r="D5" s="17" t="str">
        <f>"11"</f>
        <v>11</v>
      </c>
      <c r="E5" s="7" t="s">
        <v>89</v>
      </c>
      <c r="F5" s="8"/>
      <c r="G5" s="8"/>
      <c r="H5" s="8"/>
      <c r="I5" s="9"/>
    </row>
    <row r="6" spans="1:9">
      <c r="A6" s="21" t="str">
        <f>"05"</f>
        <v>05</v>
      </c>
      <c r="B6" s="6" t="s">
        <v>4</v>
      </c>
      <c r="C6" s="6"/>
      <c r="D6" s="17" t="str">
        <f>"12"</f>
        <v>12</v>
      </c>
      <c r="E6" s="7" t="s">
        <v>90</v>
      </c>
      <c r="F6" s="8"/>
      <c r="G6" s="8"/>
      <c r="H6" s="8"/>
      <c r="I6" s="9"/>
    </row>
    <row r="7" spans="1:9">
      <c r="A7" s="17" t="str">
        <f>"06"</f>
        <v>06</v>
      </c>
      <c r="B7" s="6" t="s">
        <v>5</v>
      </c>
      <c r="C7" s="9"/>
      <c r="D7" s="17" t="str">
        <f>"13"</f>
        <v>13</v>
      </c>
      <c r="E7" s="7" t="s">
        <v>91</v>
      </c>
      <c r="F7" s="8"/>
      <c r="G7" s="8"/>
      <c r="H7" s="8"/>
      <c r="I7" s="9"/>
    </row>
    <row r="8" spans="1:9">
      <c r="A8" s="21" t="str">
        <f>"07"</f>
        <v>07</v>
      </c>
      <c r="B8" s="6" t="s">
        <v>6</v>
      </c>
      <c r="C8" s="8"/>
      <c r="D8" s="17" t="str">
        <f>"14"</f>
        <v>14</v>
      </c>
      <c r="E8" s="7" t="s">
        <v>92</v>
      </c>
      <c r="F8" s="8"/>
      <c r="G8" s="8"/>
      <c r="H8" s="8"/>
      <c r="I8" s="9"/>
    </row>
    <row r="9" spans="1:9">
      <c r="A9" s="21" t="str">
        <f>"08"</f>
        <v>08</v>
      </c>
      <c r="B9" s="6" t="s">
        <v>7</v>
      </c>
      <c r="C9" s="9"/>
      <c r="D9" s="17" t="str">
        <f>"15"</f>
        <v>15</v>
      </c>
      <c r="E9" s="7" t="s">
        <v>93</v>
      </c>
      <c r="F9" s="8"/>
      <c r="G9" s="8"/>
      <c r="H9" s="8"/>
      <c r="I9" s="9"/>
    </row>
    <row r="10" spans="1:9">
      <c r="A10" s="21" t="str">
        <f>"10"</f>
        <v>10</v>
      </c>
      <c r="B10" s="6" t="s">
        <v>8</v>
      </c>
      <c r="C10" s="8"/>
      <c r="D10" s="17" t="str">
        <f>"16"</f>
        <v>16</v>
      </c>
      <c r="E10" s="7" t="s">
        <v>94</v>
      </c>
      <c r="F10" s="8"/>
      <c r="G10" s="8"/>
      <c r="H10" s="8"/>
      <c r="I10" s="9"/>
    </row>
    <row r="11" spans="1:9">
      <c r="A11" s="21" t="str">
        <f>"11"</f>
        <v>11</v>
      </c>
      <c r="B11" s="6" t="s">
        <v>9</v>
      </c>
      <c r="C11" s="8"/>
      <c r="D11" s="17" t="str">
        <f>"17"</f>
        <v>17</v>
      </c>
      <c r="E11" s="7" t="s">
        <v>95</v>
      </c>
      <c r="F11" s="8"/>
      <c r="G11" s="8"/>
      <c r="H11" s="8"/>
      <c r="I11" s="9"/>
    </row>
    <row r="12" spans="1:9">
      <c r="A12" s="21" t="str">
        <f>"13"</f>
        <v>13</v>
      </c>
      <c r="B12" s="6" t="s">
        <v>10</v>
      </c>
      <c r="C12" s="8"/>
      <c r="D12" s="17" t="str">
        <f>"18"</f>
        <v>18</v>
      </c>
      <c r="E12" s="7" t="s">
        <v>96</v>
      </c>
      <c r="F12" s="8"/>
      <c r="G12" s="8"/>
      <c r="H12" s="8"/>
      <c r="I12" s="9"/>
    </row>
    <row r="13" spans="1:9">
      <c r="A13" s="21" t="str">
        <f>"14"</f>
        <v>14</v>
      </c>
      <c r="B13" s="6" t="s">
        <v>11</v>
      </c>
      <c r="C13" s="8"/>
      <c r="D13" s="17" t="str">
        <f>"19"</f>
        <v>19</v>
      </c>
      <c r="E13" s="7" t="s">
        <v>97</v>
      </c>
      <c r="F13" s="8"/>
      <c r="G13" s="8"/>
      <c r="H13" s="8"/>
      <c r="I13" s="9"/>
    </row>
    <row r="14" spans="1:9">
      <c r="A14" s="21" t="str">
        <f>"15"</f>
        <v>15</v>
      </c>
      <c r="B14" s="6" t="s">
        <v>12</v>
      </c>
      <c r="C14" s="8"/>
      <c r="D14" s="23" t="str">
        <f>"31"</f>
        <v>31</v>
      </c>
      <c r="E14" s="7" t="s">
        <v>98</v>
      </c>
      <c r="F14" s="8"/>
      <c r="G14" s="8"/>
      <c r="H14" s="8"/>
      <c r="I14" s="9"/>
    </row>
    <row r="15" spans="1:9">
      <c r="A15" s="21" t="str">
        <f>"17"</f>
        <v>17</v>
      </c>
      <c r="B15" s="6" t="s">
        <v>13</v>
      </c>
      <c r="C15" s="8"/>
      <c r="D15" s="17" t="str">
        <f>"32"</f>
        <v>32</v>
      </c>
      <c r="E15" s="7" t="s">
        <v>99</v>
      </c>
      <c r="F15" s="8"/>
      <c r="G15" s="8"/>
      <c r="H15" s="8"/>
      <c r="I15" s="9"/>
    </row>
    <row r="16" spans="1:9">
      <c r="A16" s="21" t="str">
        <f>"18"</f>
        <v>18</v>
      </c>
      <c r="B16" s="6" t="s">
        <v>14</v>
      </c>
      <c r="C16" s="8"/>
      <c r="D16" s="17" t="str">
        <f>"33"</f>
        <v>33</v>
      </c>
      <c r="E16" s="7" t="s">
        <v>100</v>
      </c>
      <c r="F16" s="8"/>
      <c r="G16" s="8"/>
      <c r="H16" s="8"/>
      <c r="I16" s="9"/>
    </row>
    <row r="17" spans="1:9">
      <c r="A17" s="21" t="str">
        <f>"19"</f>
        <v>19</v>
      </c>
      <c r="B17" s="6" t="s">
        <v>15</v>
      </c>
      <c r="C17" s="8"/>
      <c r="D17" s="17" t="str">
        <f>"34"</f>
        <v>34</v>
      </c>
      <c r="E17" s="7" t="s">
        <v>101</v>
      </c>
      <c r="F17" s="8"/>
      <c r="G17" s="8"/>
      <c r="H17" s="8"/>
      <c r="I17" s="9"/>
    </row>
    <row r="18" spans="1:9">
      <c r="A18" s="21" t="str">
        <f>"1A"</f>
        <v>1A</v>
      </c>
      <c r="B18" s="6" t="s">
        <v>16</v>
      </c>
      <c r="C18" s="9"/>
      <c r="D18" s="17" t="str">
        <f>"35"</f>
        <v>35</v>
      </c>
      <c r="E18" s="7" t="s">
        <v>102</v>
      </c>
      <c r="F18" s="8"/>
      <c r="G18" s="8"/>
      <c r="H18" s="8"/>
      <c r="I18" s="9"/>
    </row>
    <row r="19" spans="1:9">
      <c r="A19" s="21" t="str">
        <f>"1B"</f>
        <v>1B</v>
      </c>
      <c r="B19" s="6" t="s">
        <v>17</v>
      </c>
      <c r="C19" s="9"/>
      <c r="D19" s="17" t="str">
        <f>"36"</f>
        <v>36</v>
      </c>
      <c r="E19" s="7" t="s">
        <v>103</v>
      </c>
      <c r="F19" s="8"/>
      <c r="G19" s="8"/>
      <c r="H19" s="8"/>
      <c r="I19" s="9"/>
    </row>
    <row r="20" spans="1:9">
      <c r="A20" s="21" t="str">
        <f>"1C"</f>
        <v>1C</v>
      </c>
      <c r="B20" s="6" t="s">
        <v>18</v>
      </c>
      <c r="C20" s="9"/>
      <c r="D20" s="17" t="str">
        <f>"37"</f>
        <v>37</v>
      </c>
      <c r="E20" s="7" t="s">
        <v>104</v>
      </c>
      <c r="F20" s="8"/>
      <c r="G20" s="8"/>
      <c r="H20" s="8"/>
      <c r="I20" s="9"/>
    </row>
    <row r="21" spans="1:9">
      <c r="A21" s="21" t="str">
        <f>"22"</f>
        <v>22</v>
      </c>
      <c r="B21" s="6" t="s">
        <v>19</v>
      </c>
      <c r="C21" s="6"/>
      <c r="D21" s="17" t="str">
        <f>"38"</f>
        <v>38</v>
      </c>
      <c r="E21" s="7" t="s">
        <v>105</v>
      </c>
      <c r="F21" s="8"/>
      <c r="G21" s="8"/>
      <c r="H21" s="8"/>
      <c r="I21" s="9"/>
    </row>
    <row r="22" spans="1:9">
      <c r="A22" s="21" t="str">
        <f>"23"</f>
        <v>23</v>
      </c>
      <c r="B22" s="6" t="s">
        <v>20</v>
      </c>
      <c r="C22" s="6"/>
      <c r="D22" s="17" t="str">
        <f>"39"</f>
        <v>39</v>
      </c>
      <c r="E22" s="7" t="s">
        <v>106</v>
      </c>
      <c r="F22" s="8"/>
      <c r="G22" s="8"/>
      <c r="H22" s="8"/>
      <c r="I22" s="9"/>
    </row>
    <row r="23" spans="1:9">
      <c r="A23" s="21" t="str">
        <f>"24"</f>
        <v>24</v>
      </c>
      <c r="B23" s="6" t="s">
        <v>21</v>
      </c>
      <c r="C23" s="6"/>
      <c r="D23" s="17" t="str">
        <f>"40"</f>
        <v>40</v>
      </c>
      <c r="E23" s="7" t="s">
        <v>107</v>
      </c>
      <c r="F23" s="8"/>
      <c r="G23" s="8"/>
      <c r="H23" s="8"/>
      <c r="I23" s="9"/>
    </row>
    <row r="24" spans="1:9">
      <c r="A24" s="21" t="str">
        <f>"25"</f>
        <v>25</v>
      </c>
      <c r="B24" s="6" t="s">
        <v>22</v>
      </c>
      <c r="C24" s="6"/>
      <c r="D24" s="17" t="str">
        <f>"41"</f>
        <v>41</v>
      </c>
      <c r="E24" s="7" t="s">
        <v>108</v>
      </c>
      <c r="F24" s="8"/>
      <c r="G24" s="8"/>
      <c r="H24" s="8"/>
      <c r="I24" s="9"/>
    </row>
    <row r="25" spans="1:9">
      <c r="A25" s="21" t="str">
        <f>"26"</f>
        <v>26</v>
      </c>
      <c r="B25" s="6" t="s">
        <v>23</v>
      </c>
      <c r="C25" s="6"/>
      <c r="D25" s="17" t="str">
        <f>"42"</f>
        <v>42</v>
      </c>
      <c r="E25" s="7" t="s">
        <v>109</v>
      </c>
      <c r="F25" s="8"/>
      <c r="G25" s="8"/>
      <c r="H25" s="8"/>
      <c r="I25" s="9"/>
    </row>
    <row r="26" spans="1:9">
      <c r="A26" s="21" t="str">
        <f>"27"</f>
        <v>27</v>
      </c>
      <c r="B26" s="6" t="s">
        <v>24</v>
      </c>
      <c r="C26" s="6"/>
      <c r="D26" s="17" t="str">
        <f>"43"</f>
        <v>43</v>
      </c>
      <c r="E26" s="7" t="s">
        <v>110</v>
      </c>
      <c r="F26" s="8"/>
      <c r="G26" s="8"/>
      <c r="H26" s="8"/>
      <c r="I26" s="9"/>
    </row>
    <row r="27" spans="1:9">
      <c r="A27" s="21" t="str">
        <f>"28"</f>
        <v>28</v>
      </c>
      <c r="B27" s="6" t="s">
        <v>25</v>
      </c>
      <c r="C27" s="6"/>
      <c r="D27" s="17" t="str">
        <f>"44"</f>
        <v>44</v>
      </c>
      <c r="E27" s="7" t="s">
        <v>111</v>
      </c>
      <c r="F27" s="8"/>
      <c r="G27" s="8"/>
      <c r="H27" s="8"/>
      <c r="I27" s="9"/>
    </row>
    <row r="28" spans="1:9">
      <c r="A28" s="21" t="str">
        <f>"29"</f>
        <v>29</v>
      </c>
      <c r="B28" s="6" t="s">
        <v>26</v>
      </c>
      <c r="C28" s="6"/>
      <c r="D28" s="17" t="str">
        <f>"48"</f>
        <v>48</v>
      </c>
      <c r="E28" s="7" t="s">
        <v>112</v>
      </c>
      <c r="F28" s="8"/>
      <c r="G28" s="8"/>
      <c r="H28" s="8"/>
      <c r="I28" s="9"/>
    </row>
    <row r="29" spans="1:9">
      <c r="A29" s="21" t="str">
        <f>"2A"</f>
        <v>2A</v>
      </c>
      <c r="B29" s="6" t="s">
        <v>27</v>
      </c>
      <c r="C29" s="6"/>
      <c r="D29" s="17" t="str">
        <f>"49"</f>
        <v>49</v>
      </c>
      <c r="E29" s="7" t="s">
        <v>113</v>
      </c>
      <c r="F29" s="8"/>
      <c r="G29" s="8"/>
      <c r="H29" s="8"/>
      <c r="I29" s="9"/>
    </row>
    <row r="30" spans="1:9">
      <c r="A30" s="21" t="str">
        <f>"30"</f>
        <v>30</v>
      </c>
      <c r="B30" s="6" t="s">
        <v>28</v>
      </c>
      <c r="C30" s="6"/>
      <c r="D30" s="17" t="str">
        <f>"50"</f>
        <v>50</v>
      </c>
      <c r="E30" s="7" t="s">
        <v>114</v>
      </c>
      <c r="F30" s="8"/>
      <c r="G30" s="8"/>
      <c r="H30" s="8"/>
      <c r="I30" s="9"/>
    </row>
    <row r="31" spans="1:9">
      <c r="A31" s="21" t="str">
        <f>"31"</f>
        <v>31</v>
      </c>
      <c r="B31" s="6" t="s">
        <v>29</v>
      </c>
      <c r="C31" s="6"/>
      <c r="D31" s="17" t="str">
        <f>"52"</f>
        <v>52</v>
      </c>
      <c r="E31" s="7" t="s">
        <v>115</v>
      </c>
      <c r="F31" s="8"/>
      <c r="G31" s="8"/>
      <c r="H31" s="8"/>
      <c r="I31" s="9"/>
    </row>
    <row r="32" spans="1:9">
      <c r="A32" s="21" t="str">
        <f>"34"</f>
        <v>34</v>
      </c>
      <c r="B32" s="6" t="s">
        <v>30</v>
      </c>
      <c r="C32" s="6"/>
      <c r="D32" s="17" t="str">
        <f>"53"</f>
        <v>53</v>
      </c>
      <c r="E32" s="7" t="s">
        <v>116</v>
      </c>
      <c r="F32" s="8"/>
      <c r="G32" s="8"/>
      <c r="H32" s="8"/>
      <c r="I32" s="9"/>
    </row>
    <row r="33" spans="1:9">
      <c r="A33" s="21" t="str">
        <f>"36"</f>
        <v>36</v>
      </c>
      <c r="B33" s="6" t="s">
        <v>31</v>
      </c>
      <c r="C33" s="6"/>
      <c r="D33" s="17" t="str">
        <f>"54"</f>
        <v>54</v>
      </c>
      <c r="E33" s="7" t="s">
        <v>117</v>
      </c>
      <c r="F33" s="8"/>
      <c r="G33" s="8"/>
      <c r="H33" s="8"/>
      <c r="I33" s="9"/>
    </row>
    <row r="34" spans="1:9">
      <c r="A34" s="21" t="str">
        <f>"37"</f>
        <v>37</v>
      </c>
      <c r="B34" s="6" t="s">
        <v>32</v>
      </c>
      <c r="C34" s="6"/>
      <c r="D34" s="17" t="str">
        <f>"55"</f>
        <v>55</v>
      </c>
      <c r="E34" s="7" t="s">
        <v>118</v>
      </c>
      <c r="F34" s="8"/>
      <c r="G34" s="8"/>
      <c r="H34" s="8"/>
      <c r="I34" s="9"/>
    </row>
    <row r="35" spans="1:9">
      <c r="A35" s="21" t="str">
        <f>"38"</f>
        <v>38</v>
      </c>
      <c r="B35" s="6" t="s">
        <v>33</v>
      </c>
      <c r="C35" s="6"/>
      <c r="D35" s="17" t="str">
        <f>"57"</f>
        <v>57</v>
      </c>
      <c r="E35" s="7" t="s">
        <v>119</v>
      </c>
      <c r="F35" s="8"/>
      <c r="G35" s="8"/>
      <c r="H35" s="8"/>
      <c r="I35" s="9"/>
    </row>
    <row r="36" spans="1:9">
      <c r="A36" s="21" t="str">
        <f>"3A"</f>
        <v>3A</v>
      </c>
      <c r="B36" s="6" t="s">
        <v>34</v>
      </c>
      <c r="C36" s="6"/>
      <c r="D36" s="17" t="str">
        <f>"58"</f>
        <v>58</v>
      </c>
      <c r="E36" s="7" t="s">
        <v>120</v>
      </c>
      <c r="F36" s="8"/>
      <c r="G36" s="8"/>
      <c r="H36" s="8"/>
      <c r="I36" s="9"/>
    </row>
    <row r="37" spans="1:9">
      <c r="A37" s="21" t="str">
        <f>"3B"</f>
        <v>3B</v>
      </c>
      <c r="B37" s="6" t="s">
        <v>35</v>
      </c>
      <c r="C37" s="6"/>
      <c r="D37" s="17" t="str">
        <f>"59"</f>
        <v>59</v>
      </c>
      <c r="E37" s="7" t="s">
        <v>121</v>
      </c>
      <c r="F37" s="8"/>
      <c r="G37" s="8"/>
      <c r="H37" s="8"/>
      <c r="I37" s="9"/>
    </row>
    <row r="38" spans="1:9">
      <c r="A38" s="21" t="str">
        <f>"3C"</f>
        <v>3C</v>
      </c>
      <c r="B38" s="6" t="s">
        <v>36</v>
      </c>
      <c r="C38" s="6"/>
      <c r="D38" s="17" t="str">
        <f>"60"</f>
        <v>60</v>
      </c>
      <c r="E38" s="7" t="s">
        <v>122</v>
      </c>
      <c r="F38" s="8"/>
      <c r="G38" s="8"/>
      <c r="H38" s="8"/>
      <c r="I38" s="9"/>
    </row>
    <row r="39" spans="1:9">
      <c r="A39" s="21" t="str">
        <f>"41"</f>
        <v>41</v>
      </c>
      <c r="B39" s="6" t="s">
        <v>37</v>
      </c>
      <c r="C39" s="6"/>
      <c r="D39" s="17" t="str">
        <f>"61"</f>
        <v>61</v>
      </c>
      <c r="E39" s="7" t="s">
        <v>123</v>
      </c>
      <c r="F39" s="8"/>
      <c r="G39" s="8"/>
      <c r="H39" s="8"/>
      <c r="I39" s="9"/>
    </row>
    <row r="40" spans="1:9">
      <c r="A40" s="21" t="str">
        <f>"45"</f>
        <v>45</v>
      </c>
      <c r="B40" s="6" t="s">
        <v>38</v>
      </c>
      <c r="C40" s="6"/>
      <c r="D40" s="17" t="str">
        <f>"62"</f>
        <v>62</v>
      </c>
      <c r="E40" s="7" t="s">
        <v>124</v>
      </c>
      <c r="F40" s="8"/>
      <c r="G40" s="8"/>
      <c r="H40" s="8"/>
      <c r="I40" s="9"/>
    </row>
    <row r="41" spans="1:9">
      <c r="A41" s="21" t="str">
        <f>"46"</f>
        <v>46</v>
      </c>
      <c r="B41" s="6" t="s">
        <v>39</v>
      </c>
      <c r="C41" s="6"/>
      <c r="D41" s="17" t="str">
        <f>"63"</f>
        <v>63</v>
      </c>
      <c r="E41" s="7" t="s">
        <v>125</v>
      </c>
      <c r="F41" s="8"/>
      <c r="G41" s="8"/>
      <c r="H41" s="8"/>
      <c r="I41" s="9"/>
    </row>
    <row r="42" spans="1:9">
      <c r="A42" s="22" t="str">
        <f>"47"</f>
        <v>47</v>
      </c>
      <c r="B42" s="6" t="s">
        <v>40</v>
      </c>
      <c r="C42" s="6"/>
      <c r="D42" s="17" t="str">
        <f>"68"</f>
        <v>68</v>
      </c>
      <c r="E42" s="7" t="s">
        <v>126</v>
      </c>
      <c r="F42" s="8"/>
      <c r="G42" s="8"/>
      <c r="H42" s="8"/>
      <c r="I42" s="9"/>
    </row>
    <row r="43" spans="1:9">
      <c r="A43" s="21" t="str">
        <f>"48"</f>
        <v>48</v>
      </c>
      <c r="B43" s="7" t="s">
        <v>41</v>
      </c>
      <c r="C43" s="6"/>
      <c r="D43" s="17" t="str">
        <f>"71"</f>
        <v>71</v>
      </c>
      <c r="E43" s="7" t="s">
        <v>127</v>
      </c>
      <c r="F43" s="8"/>
      <c r="G43" s="8"/>
      <c r="H43" s="8"/>
      <c r="I43" s="9"/>
    </row>
    <row r="44" spans="1:9">
      <c r="A44" s="21" t="str">
        <f>"49"</f>
        <v>49</v>
      </c>
      <c r="B44" s="7" t="s">
        <v>42</v>
      </c>
      <c r="C44" s="6"/>
      <c r="D44" s="17" t="str">
        <f>"73"</f>
        <v>73</v>
      </c>
      <c r="E44" s="7" t="s">
        <v>128</v>
      </c>
      <c r="F44" s="8"/>
      <c r="G44" s="8"/>
      <c r="H44" s="8"/>
      <c r="I44" s="9"/>
    </row>
    <row r="45" spans="1:9">
      <c r="A45" s="21" t="str">
        <f>"4A"</f>
        <v>4A</v>
      </c>
      <c r="B45" s="7" t="s">
        <v>43</v>
      </c>
      <c r="C45" s="6"/>
      <c r="D45" s="17" t="str">
        <f>"74"</f>
        <v>74</v>
      </c>
      <c r="E45" s="7" t="s">
        <v>129</v>
      </c>
      <c r="F45" s="8"/>
      <c r="G45" s="8"/>
      <c r="H45" s="8"/>
      <c r="I45" s="9"/>
    </row>
    <row r="46" spans="1:9">
      <c r="A46" s="21" t="str">
        <f>"4B"</f>
        <v>4B</v>
      </c>
      <c r="B46" s="7" t="s">
        <v>44</v>
      </c>
      <c r="C46" s="6"/>
      <c r="D46" s="17" t="str">
        <f>"75"</f>
        <v>75</v>
      </c>
      <c r="E46" s="7" t="s">
        <v>130</v>
      </c>
      <c r="F46" s="8"/>
      <c r="G46" s="8"/>
      <c r="H46" s="8"/>
      <c r="I46" s="9"/>
    </row>
    <row r="47" spans="1:9">
      <c r="A47" s="21" t="str">
        <f>"4C"</f>
        <v>4C</v>
      </c>
      <c r="B47" s="7" t="s">
        <v>45</v>
      </c>
      <c r="C47" s="6"/>
      <c r="D47" s="17" t="str">
        <f>"77"</f>
        <v>77</v>
      </c>
      <c r="E47" s="7" t="s">
        <v>131</v>
      </c>
      <c r="F47" s="8"/>
      <c r="G47" s="8"/>
      <c r="H47" s="8"/>
      <c r="I47" s="9"/>
    </row>
    <row r="48" spans="1:9">
      <c r="A48" s="21" t="str">
        <f>"59"</f>
        <v>59</v>
      </c>
      <c r="B48" s="7" t="s">
        <v>46</v>
      </c>
      <c r="C48" s="6"/>
      <c r="D48" s="17" t="str">
        <f>"78"</f>
        <v>78</v>
      </c>
      <c r="E48" s="7" t="s">
        <v>132</v>
      </c>
      <c r="F48" s="8"/>
      <c r="G48" s="8"/>
      <c r="H48" s="8"/>
      <c r="I48" s="9"/>
    </row>
    <row r="49" spans="1:9">
      <c r="A49" s="21" t="str">
        <f>"5A"</f>
        <v>5A</v>
      </c>
      <c r="B49" s="7" t="s">
        <v>47</v>
      </c>
      <c r="C49" s="6"/>
      <c r="D49" s="17" t="str">
        <f>"79"</f>
        <v>79</v>
      </c>
      <c r="E49" s="7" t="s">
        <v>133</v>
      </c>
      <c r="F49" s="8"/>
      <c r="G49" s="8"/>
      <c r="H49" s="8"/>
      <c r="I49" s="9"/>
    </row>
    <row r="50" spans="1:9">
      <c r="A50" s="21" t="str">
        <f>"60"</f>
        <v>60</v>
      </c>
      <c r="B50" s="7" t="s">
        <v>48</v>
      </c>
      <c r="C50" s="6"/>
      <c r="D50" s="17" t="str">
        <f>"80"</f>
        <v>80</v>
      </c>
      <c r="E50" s="7" t="s">
        <v>134</v>
      </c>
      <c r="F50" s="8"/>
      <c r="G50" s="8"/>
      <c r="H50" s="8"/>
      <c r="I50" s="9"/>
    </row>
    <row r="51" spans="1:9">
      <c r="A51" s="21" t="str">
        <f>"62"</f>
        <v>62</v>
      </c>
      <c r="B51" s="7" t="s">
        <v>49</v>
      </c>
      <c r="C51" s="6"/>
      <c r="D51" s="17" t="str">
        <f>"81"</f>
        <v>81</v>
      </c>
      <c r="E51" s="7" t="s">
        <v>135</v>
      </c>
      <c r="F51" s="8"/>
      <c r="G51" s="8"/>
      <c r="H51" s="8"/>
      <c r="I51" s="9"/>
    </row>
    <row r="52" spans="1:9">
      <c r="A52" s="23" t="str">
        <f>"64"</f>
        <v>64</v>
      </c>
      <c r="B52" s="7" t="s">
        <v>50</v>
      </c>
      <c r="C52" s="6"/>
      <c r="D52" s="17" t="str">
        <f>"82"</f>
        <v>82</v>
      </c>
      <c r="E52" s="7" t="s">
        <v>136</v>
      </c>
      <c r="F52" s="8"/>
      <c r="G52" s="8"/>
      <c r="H52" s="8"/>
      <c r="I52" s="9"/>
    </row>
    <row r="53" spans="1:9">
      <c r="A53" s="23" t="str">
        <f>"65"</f>
        <v>65</v>
      </c>
      <c r="B53" s="7" t="s">
        <v>51</v>
      </c>
      <c r="C53" s="6"/>
      <c r="D53" s="17" t="str">
        <f>"83"</f>
        <v>83</v>
      </c>
      <c r="E53" s="7" t="s">
        <v>137</v>
      </c>
      <c r="F53" s="8"/>
      <c r="G53" s="8"/>
      <c r="H53" s="8"/>
      <c r="I53" s="9"/>
    </row>
    <row r="54" spans="1:9">
      <c r="A54" s="23" t="str">
        <f>"66"</f>
        <v>66</v>
      </c>
      <c r="B54" s="7" t="s">
        <v>52</v>
      </c>
      <c r="C54" s="6"/>
      <c r="D54" s="17" t="str">
        <f>"84"</f>
        <v>84</v>
      </c>
      <c r="E54" s="7" t="s">
        <v>138</v>
      </c>
      <c r="F54" s="8"/>
      <c r="G54" s="8"/>
      <c r="H54" s="8"/>
      <c r="I54" s="9"/>
    </row>
    <row r="55" spans="1:9">
      <c r="A55" s="21" t="str">
        <f>"67"</f>
        <v>67</v>
      </c>
      <c r="B55" s="7" t="s">
        <v>53</v>
      </c>
      <c r="C55" s="6"/>
      <c r="D55" s="17" t="str">
        <f>"85"</f>
        <v>85</v>
      </c>
      <c r="E55" s="7" t="s">
        <v>139</v>
      </c>
      <c r="F55" s="8"/>
      <c r="G55" s="8"/>
      <c r="H55" s="8"/>
      <c r="I55" s="9"/>
    </row>
    <row r="56" spans="1:9">
      <c r="A56" s="21" t="str">
        <f>"68"</f>
        <v>68</v>
      </c>
      <c r="B56" s="7" t="s">
        <v>54</v>
      </c>
      <c r="C56" s="6"/>
      <c r="D56" s="17" t="str">
        <f>"86"</f>
        <v>86</v>
      </c>
      <c r="E56" s="7" t="s">
        <v>140</v>
      </c>
      <c r="F56" s="8"/>
      <c r="G56" s="8"/>
      <c r="H56" s="8"/>
      <c r="I56" s="9"/>
    </row>
    <row r="57" spans="1:9">
      <c r="A57" s="21" t="str">
        <f>"69"</f>
        <v>69</v>
      </c>
      <c r="B57" s="7" t="s">
        <v>55</v>
      </c>
      <c r="C57" s="6"/>
      <c r="D57" s="17" t="str">
        <f>"87"</f>
        <v>87</v>
      </c>
      <c r="E57" s="7" t="s">
        <v>141</v>
      </c>
      <c r="F57" s="8"/>
      <c r="G57" s="8"/>
      <c r="H57" s="8"/>
      <c r="I57" s="9"/>
    </row>
    <row r="58" spans="1:9">
      <c r="A58" s="21" t="str">
        <f>"70"</f>
        <v>70</v>
      </c>
      <c r="B58" s="7" t="s">
        <v>56</v>
      </c>
      <c r="C58" s="6"/>
      <c r="D58" s="17" t="str">
        <f>"88"</f>
        <v>88</v>
      </c>
      <c r="E58" s="7" t="s">
        <v>142</v>
      </c>
      <c r="F58" s="8"/>
      <c r="G58" s="8"/>
      <c r="H58" s="8"/>
      <c r="I58" s="9"/>
    </row>
    <row r="59" spans="1:9">
      <c r="A59" s="21" t="str">
        <f>"71"</f>
        <v>71</v>
      </c>
      <c r="B59" s="7" t="s">
        <v>57</v>
      </c>
      <c r="C59" s="6"/>
      <c r="D59" s="17" t="str">
        <f>"99"</f>
        <v>99</v>
      </c>
      <c r="E59" s="7" t="s">
        <v>82</v>
      </c>
      <c r="F59" s="8"/>
      <c r="G59" s="8"/>
      <c r="H59" s="8"/>
      <c r="I59" s="9"/>
    </row>
    <row r="60" spans="1:9">
      <c r="A60" s="21" t="str">
        <f>"72"</f>
        <v>72</v>
      </c>
      <c r="B60" s="7" t="s">
        <v>58</v>
      </c>
      <c r="C60" s="6"/>
      <c r="D60" s="18"/>
      <c r="E60" s="7"/>
      <c r="F60" s="8"/>
      <c r="G60" s="8"/>
      <c r="H60" s="8"/>
      <c r="I60" s="9"/>
    </row>
    <row r="61" spans="1:9">
      <c r="A61" s="21" t="str">
        <f>"73"</f>
        <v>73</v>
      </c>
      <c r="B61" s="7" t="s">
        <v>59</v>
      </c>
      <c r="C61" s="6"/>
      <c r="D61" s="18"/>
      <c r="E61" s="7"/>
      <c r="F61" s="8"/>
      <c r="G61" s="8"/>
      <c r="H61" s="8"/>
      <c r="I61" s="9"/>
    </row>
    <row r="62" spans="1:9">
      <c r="A62" s="21" t="str">
        <f>"74"</f>
        <v>74</v>
      </c>
      <c r="B62" s="7" t="s">
        <v>60</v>
      </c>
      <c r="C62" s="6"/>
      <c r="D62" s="18"/>
      <c r="E62" s="7"/>
      <c r="F62" s="8"/>
      <c r="G62" s="8"/>
      <c r="H62" s="8"/>
      <c r="I62" s="9"/>
    </row>
    <row r="63" spans="1:9">
      <c r="A63" s="21" t="str">
        <f>"75"</f>
        <v>75</v>
      </c>
      <c r="B63" s="7" t="s">
        <v>61</v>
      </c>
      <c r="C63" s="6"/>
      <c r="D63" s="18"/>
      <c r="E63" s="7"/>
      <c r="F63" s="8"/>
      <c r="G63" s="8"/>
      <c r="H63" s="8"/>
      <c r="I63" s="9"/>
    </row>
    <row r="64" spans="1:9">
      <c r="A64" s="21" t="str">
        <f>"76"</f>
        <v>76</v>
      </c>
      <c r="B64" s="7" t="s">
        <v>62</v>
      </c>
      <c r="C64" s="6"/>
      <c r="D64" s="18"/>
      <c r="E64" s="7"/>
      <c r="F64" s="8"/>
      <c r="G64" s="8"/>
      <c r="H64" s="8"/>
      <c r="I64" s="9"/>
    </row>
    <row r="65" spans="1:9">
      <c r="A65" s="21" t="str">
        <f>"78"</f>
        <v>78</v>
      </c>
      <c r="B65" s="7" t="s">
        <v>63</v>
      </c>
      <c r="C65" s="6"/>
      <c r="D65" s="18"/>
      <c r="E65" s="7"/>
      <c r="F65" s="8"/>
      <c r="G65" s="8"/>
      <c r="H65" s="8"/>
      <c r="I65" s="9"/>
    </row>
    <row r="66" spans="1:9">
      <c r="A66" s="21" t="str">
        <f>"7A"</f>
        <v>7A</v>
      </c>
      <c r="B66" s="7" t="s">
        <v>64</v>
      </c>
      <c r="C66" s="6"/>
      <c r="D66" s="18"/>
      <c r="E66" s="7"/>
      <c r="F66" s="8"/>
      <c r="G66" s="8"/>
      <c r="H66" s="8"/>
      <c r="I66" s="9"/>
    </row>
    <row r="67" spans="1:9">
      <c r="A67" s="21" t="str">
        <f>"7B"</f>
        <v>7B</v>
      </c>
      <c r="B67" s="7" t="s">
        <v>65</v>
      </c>
      <c r="C67" s="6"/>
      <c r="D67" s="18"/>
      <c r="E67" s="7"/>
      <c r="F67" s="8"/>
      <c r="G67" s="8"/>
      <c r="H67" s="8"/>
      <c r="I67" s="9"/>
    </row>
    <row r="68" spans="1:9">
      <c r="A68" s="21" t="str">
        <f>"7C"</f>
        <v>7C</v>
      </c>
      <c r="B68" s="7" t="s">
        <v>66</v>
      </c>
      <c r="C68" s="6"/>
      <c r="D68" s="18"/>
      <c r="E68" s="7"/>
      <c r="F68" s="8"/>
      <c r="G68" s="8"/>
      <c r="H68" s="8"/>
      <c r="I68" s="9"/>
    </row>
    <row r="69" spans="1:9">
      <c r="A69" s="21" t="str">
        <f>"81"</f>
        <v>81</v>
      </c>
      <c r="B69" s="7" t="s">
        <v>67</v>
      </c>
      <c r="C69" s="6"/>
      <c r="D69" s="18"/>
      <c r="E69" s="7"/>
      <c r="F69" s="8"/>
      <c r="G69" s="8"/>
      <c r="H69" s="8"/>
      <c r="I69" s="9"/>
    </row>
    <row r="70" spans="1:9">
      <c r="A70" s="21" t="str">
        <f>"82"</f>
        <v>82</v>
      </c>
      <c r="B70" s="7" t="s">
        <v>68</v>
      </c>
      <c r="C70" s="6"/>
      <c r="D70" s="18"/>
      <c r="E70" s="7"/>
      <c r="F70" s="8"/>
      <c r="G70" s="8"/>
      <c r="H70" s="8"/>
      <c r="I70" s="9"/>
    </row>
    <row r="71" spans="1:9">
      <c r="A71" s="21" t="str">
        <f>"83"</f>
        <v>83</v>
      </c>
      <c r="B71" s="7" t="s">
        <v>69</v>
      </c>
      <c r="C71" s="6"/>
      <c r="D71" s="18"/>
      <c r="E71" s="7"/>
      <c r="F71" s="8"/>
      <c r="G71" s="8"/>
      <c r="H71" s="8"/>
      <c r="I71" s="9"/>
    </row>
    <row r="72" spans="1:9">
      <c r="A72" s="21" t="str">
        <f>"84"</f>
        <v>84</v>
      </c>
      <c r="B72" s="7" t="s">
        <v>70</v>
      </c>
      <c r="C72" s="6"/>
      <c r="D72" s="18"/>
      <c r="E72" s="7"/>
      <c r="F72" s="8"/>
      <c r="G72" s="8"/>
      <c r="H72" s="8"/>
      <c r="I72" s="9"/>
    </row>
    <row r="73" spans="1:9">
      <c r="A73" s="21" t="str">
        <f>"85"</f>
        <v>85</v>
      </c>
      <c r="B73" s="7" t="s">
        <v>71</v>
      </c>
      <c r="C73" s="6"/>
      <c r="D73" s="18"/>
      <c r="E73" s="7"/>
      <c r="F73" s="8"/>
      <c r="G73" s="8"/>
      <c r="H73" s="8"/>
      <c r="I73" s="9"/>
    </row>
    <row r="74" spans="1:9">
      <c r="A74" s="21" t="str">
        <f>"87"</f>
        <v>87</v>
      </c>
      <c r="B74" s="7" t="s">
        <v>72</v>
      </c>
      <c r="C74" s="6"/>
      <c r="D74" s="18"/>
      <c r="E74" s="7"/>
      <c r="F74" s="8"/>
      <c r="G74" s="8"/>
      <c r="H74" s="8"/>
      <c r="I74" s="9"/>
    </row>
    <row r="75" spans="1:9">
      <c r="A75" s="21" t="str">
        <f>"8A"</f>
        <v>8A</v>
      </c>
      <c r="B75" s="7" t="s">
        <v>73</v>
      </c>
      <c r="C75" s="6"/>
      <c r="D75" s="18"/>
      <c r="E75" s="7"/>
      <c r="F75" s="8"/>
      <c r="G75" s="8"/>
      <c r="H75" s="8"/>
      <c r="I75" s="9"/>
    </row>
    <row r="76" spans="1:9">
      <c r="A76" s="21" t="str">
        <f>"8B"</f>
        <v>8B</v>
      </c>
      <c r="B76" s="7" t="s">
        <v>74</v>
      </c>
      <c r="C76" s="6"/>
      <c r="D76" s="18"/>
      <c r="E76" s="7"/>
      <c r="F76" s="8"/>
      <c r="G76" s="8"/>
      <c r="H76" s="8"/>
      <c r="I76" s="9"/>
    </row>
    <row r="77" spans="1:9">
      <c r="A77" s="21" t="str">
        <f>"8C"</f>
        <v>8C</v>
      </c>
      <c r="B77" s="7" t="s">
        <v>75</v>
      </c>
      <c r="C77" s="6"/>
      <c r="D77" s="18"/>
      <c r="E77" s="7"/>
      <c r="F77" s="8"/>
      <c r="G77" s="8"/>
      <c r="H77" s="8"/>
      <c r="I77" s="9"/>
    </row>
    <row r="78" spans="1:9">
      <c r="A78" s="21" t="str">
        <f>"8D"</f>
        <v>8D</v>
      </c>
      <c r="B78" s="7" t="s">
        <v>76</v>
      </c>
      <c r="C78" s="6"/>
      <c r="D78" s="18"/>
      <c r="E78" s="7"/>
      <c r="F78" s="8"/>
      <c r="G78" s="8"/>
      <c r="H78" s="8"/>
      <c r="I78" s="9"/>
    </row>
    <row r="79" spans="1:9">
      <c r="A79" s="21" t="str">
        <f>"91"</f>
        <v>91</v>
      </c>
      <c r="B79" s="7" t="s">
        <v>77</v>
      </c>
      <c r="C79" s="6"/>
      <c r="D79" s="18"/>
      <c r="E79" s="7"/>
      <c r="F79" s="8"/>
      <c r="G79" s="8"/>
      <c r="H79" s="8"/>
      <c r="I79" s="9"/>
    </row>
    <row r="80" spans="1:9">
      <c r="A80" s="21" t="str">
        <f>"93"</f>
        <v>93</v>
      </c>
      <c r="B80" s="7" t="s">
        <v>78</v>
      </c>
      <c r="C80" s="6"/>
      <c r="D80" s="18"/>
      <c r="E80" s="7"/>
      <c r="F80" s="8"/>
      <c r="G80" s="8"/>
      <c r="H80" s="8"/>
      <c r="I80" s="9"/>
    </row>
    <row r="81" spans="1:9">
      <c r="A81" s="21" t="str">
        <f>"94"</f>
        <v>94</v>
      </c>
      <c r="B81" s="7" t="s">
        <v>79</v>
      </c>
      <c r="C81" s="6"/>
      <c r="D81" s="18"/>
      <c r="E81" s="7"/>
      <c r="F81" s="8"/>
      <c r="G81" s="8"/>
      <c r="H81" s="8"/>
      <c r="I81" s="9"/>
    </row>
    <row r="82" spans="1:9" ht="12.75" customHeight="1">
      <c r="A82" s="21" t="str">
        <f>"97"</f>
        <v>97</v>
      </c>
      <c r="B82" s="7" t="s">
        <v>80</v>
      </c>
      <c r="C82" s="6"/>
      <c r="D82" s="18"/>
      <c r="E82" s="7"/>
      <c r="F82" s="8"/>
      <c r="G82" s="8"/>
      <c r="H82" s="8"/>
      <c r="I82" s="9"/>
    </row>
    <row r="83" spans="1:9" ht="12.75" customHeight="1">
      <c r="A83" s="21" t="str">
        <f>"98"</f>
        <v>98</v>
      </c>
      <c r="B83" s="7" t="s">
        <v>81</v>
      </c>
      <c r="C83" s="6"/>
      <c r="D83" s="18"/>
      <c r="E83" s="7"/>
      <c r="F83" s="8"/>
      <c r="G83" s="8"/>
      <c r="H83" s="8"/>
      <c r="I83" s="9"/>
    </row>
    <row r="84" spans="1:9" ht="16.5" customHeight="1">
      <c r="A84" s="21" t="str">
        <f>"99"</f>
        <v>99</v>
      </c>
      <c r="B84" s="7" t="s">
        <v>82</v>
      </c>
      <c r="C84" s="6"/>
      <c r="D84" s="18"/>
      <c r="E84" s="7"/>
      <c r="F84" s="8"/>
      <c r="G84" s="8"/>
      <c r="H84" s="8"/>
      <c r="I84" s="9"/>
    </row>
    <row r="85" spans="1:9">
      <c r="A85" s="21" t="str">
        <f>"9A"</f>
        <v>9A</v>
      </c>
      <c r="B85" s="7" t="s">
        <v>83</v>
      </c>
      <c r="C85" s="6"/>
      <c r="D85" s="18"/>
      <c r="E85" s="7"/>
      <c r="F85" s="8"/>
      <c r="G85" s="8"/>
      <c r="H85" s="8"/>
      <c r="I85" s="9"/>
    </row>
    <row r="86" spans="1:9">
      <c r="A86" s="21" t="str">
        <f>"9B"</f>
        <v>9B</v>
      </c>
      <c r="B86" s="7" t="s">
        <v>84</v>
      </c>
      <c r="C86" s="6"/>
      <c r="D86" s="18"/>
      <c r="E86" s="7"/>
      <c r="F86" s="8"/>
      <c r="G86" s="8"/>
      <c r="H86" s="8"/>
      <c r="I86" s="9"/>
    </row>
    <row r="87" spans="1:9">
      <c r="A87" s="24" t="str">
        <f>"9C"</f>
        <v>9C</v>
      </c>
      <c r="B87" s="10" t="s">
        <v>85</v>
      </c>
      <c r="C87" s="25"/>
      <c r="D87" s="19"/>
      <c r="E87" s="10"/>
      <c r="F87" s="11"/>
      <c r="G87" s="11"/>
      <c r="H87" s="11"/>
      <c r="I87" s="12"/>
    </row>
    <row r="88" spans="1:9" ht="12.75" customHeight="1"/>
    <row r="95" spans="1:9" ht="15" customHeight="1"/>
    <row r="96" spans="1:9" ht="12.75" customHeight="1"/>
    <row r="97" ht="13.5" customHeight="1"/>
  </sheetData>
  <phoneticPr fontId="4" type="noConversion"/>
  <printOptions horizontalCentered="1"/>
  <pageMargins left="0.15748031496062992" right="0.15748031496062992" top="0.19685039370078741" bottom="0.19685039370078741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5CF18077AF742B5C092B58800C2FE" ma:contentTypeVersion="16" ma:contentTypeDescription="Create a new document." ma:contentTypeScope="" ma:versionID="ff61f3c1f49cb34af634211a33097dfe">
  <xsd:schema xmlns:xsd="http://www.w3.org/2001/XMLSchema" xmlns:xs="http://www.w3.org/2001/XMLSchema" xmlns:p="http://schemas.microsoft.com/office/2006/metadata/properties" xmlns:ns2="d47e03b8-8149-4907-8f9e-278972404738" xmlns:ns3="18c8d681-ddec-4951-8f41-117e63400e45" targetNamespace="http://schemas.microsoft.com/office/2006/metadata/properties" ma:root="true" ma:fieldsID="66bf70de01eca7d8ca7c2800dd85a53b" ns2:_="" ns3:_="">
    <xsd:import namespace="d47e03b8-8149-4907-8f9e-278972404738"/>
    <xsd:import namespace="18c8d681-ddec-4951-8f41-117e63400e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03b8-8149-4907-8f9e-2789724047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43a3974-e09d-4065-87b4-28ecf956477d}" ma:internalName="TaxCatchAll" ma:showField="CatchAllData" ma:web="d47e03b8-8149-4907-8f9e-2789724047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d681-ddec-4951-8f41-117e63400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25a1e3b-8f94-4404-9dbf-efddb875b7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e03b8-8149-4907-8f9e-278972404738"/>
    <lcf76f155ced4ddcb4097134ff3c332f xmlns="18c8d681-ddec-4951-8f41-117e63400e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19262D-032C-4E46-BCF8-380AA0D44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e03b8-8149-4907-8f9e-278972404738"/>
    <ds:schemaRef ds:uri="18c8d681-ddec-4951-8f41-117e63400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A56698-9EA3-4087-841C-0B89B52FF2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8FFDE5-2DBE-46B3-9496-6B60A72B7C6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ED576F1-82C2-4A55-98EF-E59E2D0913FC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1967048A-012D-427A-86A4-167D9DAF5546}">
  <ds:schemaRefs>
    <ds:schemaRef ds:uri="d47e03b8-8149-4907-8f9e-278972404738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18c8d681-ddec-4951-8f41-117e63400e4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&amp; T2 Code</vt:lpstr>
    </vt:vector>
  </TitlesOfParts>
  <Company>Hino Motors (Thailand)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Hino Motors (Thailand) Ltd.</dc:creator>
  <cp:lastModifiedBy>Prachaya Chotchoung</cp:lastModifiedBy>
  <cp:lastPrinted>2009-10-02T07:40:00Z</cp:lastPrinted>
  <dcterms:created xsi:type="dcterms:W3CDTF">2004-06-15T09:16:29Z</dcterms:created>
  <dcterms:modified xsi:type="dcterms:W3CDTF">2023-02-20T04:09:40Z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NP6Q33EQZT46-189710164-6030</vt:lpwstr>
  </property>
  <property fmtid="{D5CDD505-2E9C-101B-9397-08002B2CF9AE}" pid="3" name="_dlc_DocIdItemGuid">
    <vt:lpwstr>07d800bf-03c4-4f73-97aa-e9f451e7aab4</vt:lpwstr>
  </property>
  <property fmtid="{D5CDD505-2E9C-101B-9397-08002B2CF9AE}" pid="4" name="_dlc_DocIdUrl">
    <vt:lpwstr>https://hinoth365.sharepoint.com/sites/HMMT-WarrantyClaim/_layouts/15/DocIdRedir.aspx?ID=NP6Q33EQZT46-189710164-6030, NP6Q33EQZT46-189710164-6030</vt:lpwstr>
  </property>
</Properties>
</file>